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მეტა აღწერები" sheetId="1" state="visible" r:id="rId3"/>
    <sheet name="განმარტება" sheetId="2" state="visible" r:id="rId4"/>
  </sheets>
  <definedNames>
    <definedName function="false" hidden="true" localSheetId="0" name="_xlnm._FilterDatabase" vbProcedure="false">'მეტა აღწერები'!$A$1:$O$1134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<sst xmlns="http://schemas.openxmlformats.org/spreadsheetml/2006/main" count="7981" uniqueCount="5762">
  <si>
    <t xml:space="preserve">#</t>
  </si>
  <si>
    <t xml:space="preserve">პრიორიტეტი</t>
  </si>
  <si>
    <t xml:space="preserve">პრობლემა</t>
  </si>
  <si>
    <t xml:space="preserve">პროდუქტი</t>
  </si>
  <si>
    <t xml:space="preserve">კოდი</t>
  </si>
  <si>
    <t xml:space="preserve">ID</t>
  </si>
  <si>
    <t xml:space="preserve">კატეგორია</t>
  </si>
  <si>
    <t xml:space="preserve">ფასი ₾</t>
  </si>
  <si>
    <t xml:space="preserve">Google ჩვენება</t>
  </si>
  <si>
    <t xml:space="preserve">Google დაკლიკება</t>
  </si>
  <si>
    <t xml:space="preserve">ბმული</t>
  </si>
  <si>
    <t xml:space="preserve">ახლანდელი მეტა აღწერა (ასე ჩანს Google-ში)</t>
  </si>
  <si>
    <t xml:space="preserve">შემოთავაზება (შაბლონი)</t>
  </si>
  <si>
    <t xml:space="preserve">ახალი აღწერა (შენი)</t>
  </si>
  <si>
    <t xml:space="preserve">სიმბოლო</t>
  </si>
  <si>
    <t xml:space="preserve">ავტომატურად მოჭრილი გვერდის ტექსტი</t>
  </si>
  <si>
    <t xml:space="preserve">გაზის ღუმელი TAM-KERA AG-10M</t>
  </si>
  <si>
    <t xml:space="preserve">150767</t>
  </si>
  <si>
    <t xml:space="preserve">ტექნიკა &gt; კლიმატური ტექნიკა &gt; გაზის გამათბობლები</t>
  </si>
  <si>
    <t xml:space="preserve">https://superi.ge/ag-10m/</t>
  </si>
  <si>
    <t xml:space="preserve">• ტიპი გაზის • მართვის ტიპი მექანიკური • სიმძლავრე 5 5 kW • გაზის ხარჯი 0 64 მ³/სთ • კონფორები არა • გრილი არა • გაზკონტროლი არა • ელექტრონული ანთება არა • მოხმ...</t>
  </si>
  <si>
    <t xml:space="preserve">შეიძინეთ გაზის ღუმელი TAM-KERA AG-10M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</si>
  <si>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ჩასაშენებელი მაცივარი BOSCH KBN96ADD0</t>
  </si>
  <si>
    <t xml:space="preserve">S75614</t>
  </si>
  <si>
    <t xml:space="preserve">ტექნიკა &gt; საყოფაცხოვრებო ტექნიკა &gt; მაცივრები</t>
  </si>
  <si>
    <t xml:space="preserve">https://superi.ge/bosch-kbn96add0/</t>
  </si>
  <si>
    <t xml:space="preserve">• ტიპი ორკამერიანი • მართვის ტიპი ელექტრონული • საერთო სასარგებლო მოცულობა 382 ლ • მაცივრის კამერის სასარგებლო მოცულობა 284 ლ • საყინულე კამერის სასარგებლო მოცუ...</t>
  </si>
  <si>
    <t xml:space="preserve">შეიძინეთ ჩასაშენებელი მაცივარი BOSCH KBN96ADD0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</si>
  <si>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მტვერსასრუტი DYSON SV30 V12 SLIM ABSOLUTE GREY</t>
  </si>
  <si>
    <t xml:space="preserve">227353</t>
  </si>
  <si>
    <t xml:space="preserve">ტექნიკა &gt; წვრილი საყოფაცხოვრებო ტექნიკა &gt; მტვერსასრუტები</t>
  </si>
  <si>
    <t xml:space="preserve">https://superi.ge/dyson-sv30-v12-slim-absolute-grey/</t>
  </si>
  <si>
    <t xml:space="preserve">• ტიპი ვერტიკალური ელექტრო ცოცხი • სიმძლავრე 545 W • შესრუტვის სიმძლავრე 150 W • კონტეინერის ტევადობა 350 მლ • დასუფთავების ტიპი მშრალი • ხმაურის დონე 89 dB • კ...</t>
  </si>
  <si>
    <t xml:space="preserve">შეიძინეთ მტვერსასრუტი DYSON SV30 V12 SLIM ABSOLUTE GREY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</si>
  <si>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სარბენი ბილიკი SPORT</t>
  </si>
  <si>
    <t xml:space="preserve">JS-100007</t>
  </si>
  <si>
    <t xml:space="preserve">სპორტი და დასვენება &gt; ტრენაჟორები &gt; სარბენი ბილიკები</t>
  </si>
  <si>
    <t xml:space="preserve">https://superi.ge/sport/</t>
  </si>
  <si>
    <t xml:space="preserve">• მაქსიმალური სიჩქარე 12km/h • მაქსიმალური წონითი დატვირთვა 120 კგ • ზომები სიგრძე 1700მმ სიგანე 700მმ სიმაღლე 1250მმ • კალორია პულსი • mp3 პორტი დინამიკები • მ...</t>
  </si>
  <si>
    <t xml:space="preserve">შეიძინეთ სარბენი ბილიკი SPORT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</si>
  <si>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აეროგრილი NINJA AF160EU</t>
  </si>
  <si>
    <t xml:space="preserve">I90995</t>
  </si>
  <si>
    <t xml:space="preserve">ტექნიკა &gt; სამზარეულოს ტექნიკა &gt; აეროგრილი</t>
  </si>
  <si>
    <t xml:space="preserve">https://superi.ge/ninja-af160eu/</t>
  </si>
  <si>
    <t xml:space="preserve">• სიმძლავრე 1750 W • მოცულობა 5 2 ლ • ტემპერატურული დიაპაზონი 40°C - 230°C • LCD ეკრანი • მართვის ტიპი ღილაკი ელექტრონული მახასიათებლები • პორცია 6 პორცია 1 4 გ...</t>
  </si>
  <si>
    <t xml:space="preserve">შეიძინეთ აეროგრილი NINJA AF160EU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</si>
  <si>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ჭურჭლის სარეცხი მანქანა BEKO BDFN26430XC</t>
  </si>
  <si>
    <t xml:space="preserve">215643</t>
  </si>
  <si>
    <t xml:space="preserve">ტექნიკა &gt; საყოფაცხოვრებო ტექნიკა &gt; ჭურჭლის სარეცხი მანქანები</t>
  </si>
  <si>
    <t xml:space="preserve">https://superi.ge/beko-bdfn26430xc/</t>
  </si>
  <si>
    <t xml:space="preserve">• ტიპი ცალკე მდგომი • ძრავის ტიპი ინვერტორული • ტევადობა 14 კომპლექტი • წყლის მოხმარება 9 5 ლ • ენერგოეფექტურობის კლასი D • ხმაურის დონე 44 dBA • LED დისპლეი პრ...</t>
  </si>
  <si>
    <t xml:space="preserve">შეიძინეთ ჭურჭლის სარეცხი მანქანა BEKO BDFN26430XC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</si>
  <si>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სახლის ტელეფონი PANASONIC KX-TS2350UAB</t>
  </si>
  <si>
    <t xml:space="preserve">130728</t>
  </si>
  <si>
    <t xml:space="preserve">ტექნიკა &gt; ტელეფონები, ტაბლეტები, ელექტრონული წიგნები &gt; სტაციონალური ტელეფონები</t>
  </si>
  <si>
    <t xml:space="preserve">https://superi.ge/panasonic-kx-ts2350uab/</t>
  </si>
  <si>
    <t xml:space="preserve">ნომრის აკრეფა • რადიოკავშირის ტიპი ანალოგური • ნომრის აკრეფა იმპულსური / ტონური • Redial ნომრის განმეირებითი აკრეფა გამოძახება • ხმის დონის რეგულირება საუბარი •...</t>
  </si>
  <si>
    <t xml:space="preserve">შეიძინეთ სახლის ტელეფონი PANASONIC KX-TS2350UAB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</si>
  <si>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სხვა მოდელი წერია</t>
  </si>
  <si>
    <t xml:space="preserve">გაზქურა BOSCH HXS59AI21Q</t>
  </si>
  <si>
    <t xml:space="preserve">S50366</t>
  </si>
  <si>
    <t xml:space="preserve">ტექნიკა &gt; საყოფაცხოვრებო ტექნიკა &gt; გაზქურები</t>
  </si>
  <si>
    <t xml:space="preserve">https://superi.ge/bosch-hxs59ai21q/</t>
  </si>
  <si>
    <t xml:space="preserve">Bosch HXS59AI20Q კომბინირებული ღუმელი აერთიანებს გაზის ქურას და ელექტრო ღუმელს 66 ლიტრიანი ტევადობითა და 8 რეჟიმით. WOK კონფორა 3.5 კვტ სიმძლავრით, 3D ცხელი ჰაერი და ჰიდროლიზური წმენდა უზრუნველყოფს ეფექტურ და კომფორტულ მომზადებას.</t>
  </si>
  <si>
    <t xml:space="preserve">შეიძინეთ გაზქურა BOSCH HXS59AI21Q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</si>
  <si>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სახლის ტელეფონი PANASONIC KX-TG1611UAR</t>
  </si>
  <si>
    <t xml:space="preserve">180748</t>
  </si>
  <si>
    <t xml:space="preserve">https://superi.ge/panasonic-kx-tg1611uar/</t>
  </si>
  <si>
    <t xml:space="preserve">• ყურმილის ტიპი უსადენო • კავშირი DECT • ნომრის ამომცნობი კი Caller ID AOH ნომრის აკრეფა • მეხსიერება სატელეფონო წიგნაკი 50 ნომერი • განმეორებითი აკრეფა 10 ჩანა...</t>
  </si>
  <si>
    <t xml:space="preserve">შეიძინეთ სახლის ტელეფონი PANASONIC KX-TG1611UAR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</si>
  <si>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HISENSE RD39WCWD-BI</t>
  </si>
  <si>
    <t xml:space="preserve">694530</t>
  </si>
  <si>
    <t xml:space="preserve">https://superi.ge/hisense-rd39wcwd-bi/</t>
  </si>
  <si>
    <t xml:space="preserve">• ტიპი ცალკე მდგომი • საერთო სასარგებლო მოცულობა 300 ლ • მაცივრის კამერის სასარგებლო მოცულობა 207 ლ • საყინულე კამერის სასარგებლო მოცულობა 93 ლ • საყინულე კამერ...</t>
  </si>
  <si>
    <t xml:space="preserve">შეიძინეთ მაცივარი HISENSE RD39WCWD-BI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</si>
  <si>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ელექტრო სკუტერი KUGOO M2 PRO</t>
  </si>
  <si>
    <t xml:space="preserve">180893</t>
  </si>
  <si>
    <t xml:space="preserve">სპორტი და დასვენება &gt; სკუტერები</t>
  </si>
  <si>
    <t xml:space="preserve">https://superi.ge/kugoo-m2-pro/</t>
  </si>
  <si>
    <t xml:space="preserve">• საბურავის ზომა 8 5 • მაქსიმალური დატვირთვა 120 კგ • ასაკი 7 წლიდან • სიმძლავრე 350 W ფუნქციები და მახასიათებლები • განათება • მაქსიმალური სიჩქარე 30 კმ/ სთ • ...</t>
  </si>
  <si>
    <t xml:space="preserve">შეიძინეთ ელექტრო სკუტერი KUGOO M2 PRO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</si>
  <si>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ვენტილატორი MIDEA FS40-21MR</t>
  </si>
  <si>
    <t xml:space="preserve">S51582</t>
  </si>
  <si>
    <t xml:space="preserve">ტექნიკა &gt; კლიმატური ტექნიკა &gt; ვენტილატორები</t>
  </si>
  <si>
    <t xml:space="preserve">https://superi.ge/midea-fs40-21mrb/</t>
  </si>
  <si>
    <t xml:space="preserve">• ტიპი იატაკზე დასადგმელი • მართვის ტიპი სენსორული დისტანციური • მაქსიმალური სიმძლავრე 40 W • სიჩქარეების რაოდენობა 3 • კვების ტიპი ქსელის მახასიათებლები • ძრავ...</t>
  </si>
  <si>
    <t xml:space="preserve">შეიძინეთ ვენტილატორი MIDEA FS40-21MR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</si>
  <si>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ველოტრენაჟორი CYCLING 1</t>
  </si>
  <si>
    <t xml:space="preserve">208387</t>
  </si>
  <si>
    <t xml:space="preserve">სპორტი და დასვენება &gt; ტრენაჟორები</t>
  </si>
  <si>
    <t xml:space="preserve">https://superi.ge/cycling-1/</t>
  </si>
  <si>
    <t xml:space="preserve">• ტიპი ველოტრენაჟორი • დანიშნულება სპორტ-დარბაზი სახლი • მაქსიმალური დატვირთვა 110 კგ • ფუნქცია ტაიმერი სიჩქარე კალორიები დისტანცია ფიზიკური პარამეტრები • ზომა ...</t>
  </si>
  <si>
    <t xml:space="preserve">შეიძინეთ ველოტრენაჟორი CYCLING 1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</si>
  <si>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ჩასაშენებელი ღუმელები BOSCH HBG536HB0R</t>
  </si>
  <si>
    <t xml:space="preserve">I74927</t>
  </si>
  <si>
    <t xml:space="preserve">ტექნიკა &gt; საყოფაცხოვრებო ტექნიკა &gt; ჩასაშენებელი ღუმელები</t>
  </si>
  <si>
    <t xml:space="preserve">https://superi.ge/bosch-hbg536hb0r/</t>
  </si>
  <si>
    <t xml:space="preserve">• ღუმელის საერთო სასარგებლო მოცულობა 71 ლ • რეჟიმების რაოდენობა 7 • ენერგოეფექტურობის კლასი A ფუნქციები და თავისებურებები • მართვის ტიპი მექანიკური • მინანქრის ...</t>
  </si>
  <si>
    <t xml:space="preserve">შეიძინეთ ჩასაშენებელი ღუმელები BOSCH HBG536HB0R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</si>
  <si>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ჩასაშენებელი ღუმელი BOSCH HBF534ES0Q</t>
  </si>
  <si>
    <t xml:space="preserve">I57386</t>
  </si>
  <si>
    <t xml:space="preserve">https://superi.ge/bosch-hbf534es0q/</t>
  </si>
  <si>
    <t xml:space="preserve">• ტიპი ჩასაშენებელი • ღუმელის საერთო სასარგებლო მოცულობა 66 ლ • სიმძლავრე 3300 W • პროგრამების რაოდენობა 8 • ენერგოეფექტურობის კლასი A • მასიმალური ტემპერატურა ...</t>
  </si>
  <si>
    <t xml:space="preserve">შეიძინეთ ჩასაშენებელი ღუმელი BOSCH HBF534ES0Q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</si>
  <si>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ხელის ტრაქტორი ROYAL TURBO RTGT186FAE</t>
  </si>
  <si>
    <t xml:space="preserve">177344</t>
  </si>
  <si>
    <t xml:space="preserve">ბაღი და ეზო &gt; ხელის ტრაქტორები</t>
  </si>
  <si>
    <t xml:space="preserve">https://superi.ge/royal-turbo-rtgt186fae/</t>
  </si>
  <si>
    <t xml:space="preserve">• ტიპი მოტობლოკი • საწვავის ტიპი დიზელი • ძრავი 186 FAE • ძრავის სიმძლავრე 10 HP / 3600 ბრ • ხვნის სიგანე 140 სმ • ხვნის სიღრმე 15-30 სმ • თოხების რაოდენობა 40 ...</t>
  </si>
  <si>
    <t xml:space="preserve">შეიძინეთ ხელის ტრაქტორი ROYAL TURBO RTGT186FAE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</si>
  <si>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GORENJE AC REA53 KC INVERTER</t>
  </si>
  <si>
    <t xml:space="preserve">S99210</t>
  </si>
  <si>
    <t xml:space="preserve">ტექნიკა &gt; კლიმატური ტექნიკა &gt; კონდიციონერები</t>
  </si>
  <si>
    <t xml:space="preserve">https://superi.ge/gorenje-ac-rea53-kc/</t>
  </si>
  <si>
    <t xml:space="preserve">• ტიპი კედლის სპლიტ სისტემა • რეკომენდირებული ფართი 55 მ² -მდე • სიმძლავრე გაგრილების რეჟიმში 18000 BTU/სთ • სიმძლავრე გათბობის რეჟიმში 18000 BTU/სთ • ენერგომოხ...</t>
  </si>
  <si>
    <t xml:space="preserve">შეიძინეთ კონდიციონერი GORENJE AC REA53 KC INVERTER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</si>
  <si>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გენერატორი დიზელის ძრავზე INGCO GDE30001 (3 კვტ )</t>
  </si>
  <si>
    <t xml:space="preserve">1030806</t>
  </si>
  <si>
    <t xml:space="preserve">სამშენებლო ხელსაწყოები &gt; გენერატორები</t>
  </si>
  <si>
    <t xml:space="preserve">https://superi.ge/ingco-gde30001-3/</t>
  </si>
  <si>
    <t xml:space="preserve">• გენერატორი დიზელის ძრავზე 3 კვტ INGCO GDE30001 პროდუქტის დეტალები • ავზის მოცულობა 15 ლ • აქსესუარები კომპლექტში 1 დამხმარე სახელური და ბორბლები • ბრუნთა რიცხ...</t>
  </si>
  <si>
    <t xml:space="preserve">შეიძინეთ გენერატორი დიზელის ძრავზე INGCO GDE30001 (3 კვტ 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</si>
  <si>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ვენტილატორი ZILAN ZLN1314</t>
  </si>
  <si>
    <t xml:space="preserve">193594</t>
  </si>
  <si>
    <t xml:space="preserve">https://superi.ge/zilan-zln1314/</t>
  </si>
  <si>
    <t xml:space="preserve">• ტიპი იატაკზე დასადგმელი • მართვის ტიპი ელექტრონული • მაქსიმალური სიმძლავრე 65 W • სიჩქარეების რაოდენობა 3 • წყლის რეზერვუარის მოცულობა 7 ლ მახასიათებლები • დი...</t>
  </si>
  <si>
    <t xml:space="preserve">შეიძინეთ ვენტილატორი ZILAN ZLN1314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</si>
  <si>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ჭურჭლის სარეცხი მანქანა GORENJE GI520E15X</t>
  </si>
  <si>
    <t xml:space="preserve">S13541</t>
  </si>
  <si>
    <t xml:space="preserve">https://superi.ge/gorenje-gi520e15x/</t>
  </si>
  <si>
    <t xml:space="preserve">• ტიპი ჩასაშენებელი • ტევადობა 9 კომპლექტი • მართვის ტიპი ელექტრონული • ენერგომოხმარების კლასი A++ • რეცხვის კლასი A • წყლის მოხმარება ეკო პროგრამაში 9 ლ • ენერ...</t>
  </si>
  <si>
    <t xml:space="preserve">შეიძინეთ ჭურჭლის სარეცხი მანქანა GORENJE GI520E15X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</si>
  <si>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ინდუქციური ქურის ზედაპირი Midea MC-IF7454AJ1-A</t>
  </si>
  <si>
    <t xml:space="preserve">S50616</t>
  </si>
  <si>
    <t xml:space="preserve">ტექნიკა &gt; საყოფაცხოვრებო ტექნიკა &gt; ქურის ზედაპირი</t>
  </si>
  <si>
    <t xml:space="preserve">https://superi.ge/midea-mc-if7454aj1-a/</t>
  </si>
  <si>
    <t xml:space="preserve">მახასიათებლები • პროდუქტის ტიპი ჩასაშენებელი ინდუქციური ქურის ზედაპირი • ინდუქციური ქურის რაოდენობა 4 • მართვის ტიპი სენსორული • მასალა მინა-კერამიკა • ჯამური ს...</t>
  </si>
  <si>
    <t xml:space="preserve">შეიძინეთ ინდუქციური ქურის ზედაპირი Midea MC-IF7454AJ1-A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</si>
  <si>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მტვერსასრუტი BOSCH BCS711PET</t>
  </si>
  <si>
    <t xml:space="preserve">S45308</t>
  </si>
  <si>
    <t xml:space="preserve">https://superi.ge/bosch-bcs711pet/</t>
  </si>
  <si>
    <t xml:space="preserve">• ტიპი ვერტიკალური ელექტრო ცოცხი • მტვრის კონტეინერის მოცულობა 0 3 ლ • დასუფთავების ტიპი მშრალი • ხმაურის დონე 82 dB • კვების ტიპი აკუმულატორი მახასიათებლები • ...</t>
  </si>
  <si>
    <t xml:space="preserve">შეიძინეთ მტვერსასრუტი BOSCH BCS711PET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</si>
  <si>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SONY PLAYSTATION 5 SLIM EDITION 1TB DISC VERSION</t>
  </si>
  <si>
    <t xml:space="preserve">S97637</t>
  </si>
  <si>
    <t xml:space="preserve">ტექნიკა &gt; ნოუთბუქები, კომპიუტერები, მონიტორები &gt; კონსოლები და აქსესუარები</t>
  </si>
  <si>
    <t xml:space="preserve">https://superi.ge/sony-playstation-5-slim-edition-disc-version-2023/</t>
  </si>
  <si>
    <t xml:space="preserve">• ტიპი დისკიანი • გამოშვების თარიღი 2023 • მწარმოებელი SONY PLAYSTATION • ოპერატიული მეხსიერება RAM 16GB GDDR6 პროცესორი • x86-64-AMD Ryzen “Zen 2” 8C / 16T up ...</t>
  </si>
  <si>
    <t xml:space="preserve">შეიძინეთ SONY PLAYSTATION 5 SLIM EDITION 1TB DISC VERSION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</si>
  <si>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LG GR-B459FQFW.AEPQMER</t>
  </si>
  <si>
    <t xml:space="preserve">I95794</t>
  </si>
  <si>
    <t xml:space="preserve">https://superi.ge/lg-gr-b459fqfw-aepqmer/</t>
  </si>
  <si>
    <t xml:space="preserve">მახასიათებლები • ტიპი კომბინირებული მაცივარი-საყინულე • კონსტრუქციის ტიპი ცალკე მდგომი • ეკრანი დიახ • ძრავის ტიპი ინვენტერი ტევადობა/მოცულობა • ჯამური მოცულობა...</t>
  </si>
  <si>
    <t xml:space="preserve">შეიძინეთ მაცივარი LG GR-B459FQFW.AEPQMER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</si>
  <si>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ცენტრალური გათბობის ქვაბი MIDEA L1PB28-C28WM (28 kW)</t>
  </si>
  <si>
    <t xml:space="preserve">S92663</t>
  </si>
  <si>
    <t xml:space="preserve">ტექნიკა &gt; კლიმატური ტექნიკა &gt; ცენტრალური გათბობის ქვაბი</t>
  </si>
  <si>
    <t xml:space="preserve">https://superi.ge/midea-l1pb28-c28wm-28-kw/</t>
  </si>
  <si>
    <t xml:space="preserve">• მონტაჟის ტიპი კედლის ვერტიკალური • სიმძლავრე 28 kW • ანთების ტიპი ელექტრონული • ავზის მოცულობა 6 ლ • წვის კამერის ტიპი დახურული დამატებითი მახასიათებლები • Wi...</t>
  </si>
  <si>
    <t xml:space="preserve">შეიძინეთ ცენტრალური გათბობის ქვაბი MIDEA L1PB28-C28WM (28 kW)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</si>
  <si>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ვირტუალური რეალობის სათვალე APPLE VISION PRO 256GB (7456)</t>
  </si>
  <si>
    <t xml:space="preserve">SU-138286</t>
  </si>
  <si>
    <t xml:space="preserve">https://superi.ge/apple-vision-pro-256gb-7456/</t>
  </si>
  <si>
    <t xml:space="preserve">ეკრანი • ეკრანის ტიპი Micro‑OLED • ეკრანის გაფართოება 3660 x 3142 • ეკრანის ზომა 7 5‑micron pixel pitch • 92% DCI‑P3 • განახლების სიხშირე 90Hz / 96Hz / 100Hz პრ...</t>
  </si>
  <si>
    <t xml:space="preserve">შეიძინეთ ვირტუალური რეალობის სათვალე APPLE VISION PRO 256GB (7456)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</si>
  <si>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გენერატორი დიზელის ძრავზე (5 კვტ) INGCO GDE50001</t>
  </si>
  <si>
    <t xml:space="preserve">1016315</t>
  </si>
  <si>
    <t xml:space="preserve">https://superi.ge/5-ingco-gde50001/</t>
  </si>
  <si>
    <t xml:space="preserve">• გენერატორი დიზელის ძრავზე 5 კვტ INGCO GDE50001 • პროდუქტის დეტალები • ბრუნთა რიცხვი 3000 ბრ/წთ • გაგრილების სისტემა ჰაერით გაგრილება • მაქსიმალური გამომავალი ...</t>
  </si>
  <si>
    <t xml:space="preserve">შეიძინეთ გენერატორი დიზელის ძრავზე (5 კვტ) INGCO GDE50001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</si>
  <si>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ავტომობილის მაცივარი ZILAN ZLN4759 (33ლ)</t>
  </si>
  <si>
    <t xml:space="preserve">SA0000008853</t>
  </si>
  <si>
    <t xml:space="preserve">https://superi.ge/zilan-zln4759-33/</t>
  </si>
  <si>
    <t xml:space="preserve">ბრენდი ZILAN მოდელი ZLN4759მოცულობა 33ლგაგრილების სისტემა Peltier cellCOOL-WARM გადამრთველიმუდმივი ტემპერატურა გაგრილების პალატაში 10°C-ით დაბალია ვიდრე გარემოგ...</t>
  </si>
  <si>
    <t xml:space="preserve">შეიძინეთ ავტომობილის მაცივარი ZILAN ZLN4759 (33ლ)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</si>
  <si>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ხელის ბლენდერი BOSCH MSM6M821</t>
  </si>
  <si>
    <t xml:space="preserve">I93353</t>
  </si>
  <si>
    <t xml:space="preserve">ტექნიკა &gt; სამზარეულოს ტექნიკა &gt; ბლენდერები</t>
  </si>
  <si>
    <t xml:space="preserve">https://superi.ge/bosch-msm6m821/</t>
  </si>
  <si>
    <t xml:space="preserve">Bosch ErgoMaster MSM6M871 ბლენდერი 1200 ვატიანი სიმძლავრითა და 4-ფრთიანი დანით უზრუნველყოფს სწრაფ და ეფექტურ შერევას, დაკეპვასა და თქვეფას. იდეალურია ყოველდღიური მოხმარებისთვის Click სისტემითა და მრავალფუნქციური აქსესუარებით.</t>
  </si>
  <si>
    <t xml:space="preserve">შეიძინეთ ხელის ბლენდერი BOSCH MSM6M821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</si>
  <si>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GORENJE REA35 KC INVERTER (35-40 მ²)</t>
  </si>
  <si>
    <t xml:space="preserve">S98526</t>
  </si>
  <si>
    <t xml:space="preserve">https://superi.ge/gorenje-rea35-kc-inverter-35-40/</t>
  </si>
  <si>
    <t xml:space="preserve">• ტიპი კედლის სპლიტ-სისტემა • რეჟიმი გაგრილება/გათბობა • რეკომენდირებული ფართი 35-40 მ² -მდე • ძრავის ტიპი ინვენტორული • სიმძლავრე გაგრილების რეჟიმში 3 4 kW / 1...</t>
  </si>
  <si>
    <t xml:space="preserve">შეიძინეთ კონდიციონერი GORENJE REA35 KC INVERTER (35-40 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</si>
  <si>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ქვაბების ნაკრები ARSHIA 15205 (10 PcS)</t>
  </si>
  <si>
    <t xml:space="preserve">31012</t>
  </si>
  <si>
    <t xml:space="preserve">სახლი და დეკორი &gt; სამზარეულოს აქსესუარები &gt; ქვაბებისა და ტაფების ნაკრებები</t>
  </si>
  <si>
    <t xml:space="preserve">https://superi.ge/arshia-15205/</t>
  </si>
  <si>
    <t xml:space="preserve">მახასიათებლები ბრენდი ARSHIAმოდელი 15205ტიპი ქვაბების ნაკრები პროდუქტის აღწერილობა შიდა ზედაპირის მასალა ემალითავსახურის მასალა ემალიარ წარმოქმნის ისეთ ტოქსიკურ...</t>
  </si>
  <si>
    <t xml:space="preserve">შეიძინეთ ქვაბების ნაკრები ARSHIA 15205 (10 PcS)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</si>
  <si>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იატაკის საწმენდი VILEDA TURBO SMART (4023103208476)</t>
  </si>
  <si>
    <t xml:space="preserve">231865</t>
  </si>
  <si>
    <t xml:space="preserve">სახლი და დეკორი &gt; სარეცხ-საწმენდი საშუალებები</t>
  </si>
  <si>
    <t xml:space="preserve">https://superi.ge/vileda-turbo-smart-4023103208476/</t>
  </si>
  <si>
    <t xml:space="preserve">• ტიპი იატაკის დასუფთავება • დანიშნულება ხე ფილა ლამინატი ლინოლეუმი პარკეტი • მოპის 60°С გრადუსამდე გარეცხვის შესაძლებლობა • გამძლე ფეხის პედალი • გაწურვისას წყ...</t>
  </si>
  <si>
    <t xml:space="preserve">შეიძინეთ იატაკის საწმენდი VILEDA TURBO SMART (4023103208476)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</si>
  <si>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რობოტი მტვერსასრუტი MIDEA S8+</t>
  </si>
  <si>
    <t xml:space="preserve">S32601</t>
  </si>
  <si>
    <t xml:space="preserve">https://superi.ge/midea-s8/</t>
  </si>
  <si>
    <t xml:space="preserve">• ტიპი რობოტი მტვერსასრუტი • მართვის ტიპი ელექტრონული • ნავიგაციის სისტემა LDS • შესრუტვის ძალა 4000Pa +19000Pa • წყლის ავზის მოცულობა 150 &amp; 210 მლ • მტვრის კონ...</t>
  </si>
  <si>
    <t xml:space="preserve">შეიძინეთ რობოტი მტვერსასრუტი MIDEA S8+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</si>
  <si>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TOSHIBA 43C350LE</t>
  </si>
  <si>
    <t xml:space="preserve">SU-138469</t>
  </si>
  <si>
    <t xml:space="preserve">ტექნიკა &gt; TV-ფოტო-ვიდეო &gt; ტელევიზორები</t>
  </si>
  <si>
    <t xml:space="preserve">https://superi.ge/toshiba-43c350le/</t>
  </si>
  <si>
    <t xml:space="preserve">• ტელევიზორის კლასი D-LED • ტიპი LCD • ეკრანის დიაგონალი 43 109 22 სმ • ეკრანის გაფართოება 4k 3840 х 2160 • სიხშირე 60Hz • Smart ტექნოლოგია UHD Smart TV ვიდეო •...</t>
  </si>
  <si>
    <t xml:space="preserve">შეიძინეთ ტელევიზორი TOSHIBA 43C350LE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</si>
  <si>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MIDEA MFA01W70B/W (7კგ)</t>
  </si>
  <si>
    <t xml:space="preserve">S37884</t>
  </si>
  <si>
    <t xml:space="preserve">ტექნიკა &gt; საყოფაცხოვრებო ტექნიკა &gt; სარეცხი მანქანები</t>
  </si>
  <si>
    <t xml:space="preserve">https://superi.ge/midea-mfa01w70b-w-7/</t>
  </si>
  <si>
    <t xml:space="preserve">• ჩატვირთვის ტიპი ფრონტალური • სარეცხის მაქსიმალური ჩატვირთვა 7 კგ • ბრუნვის მაქსიმალური სიჩქარე 1200 ბრ/წთ • მართვის ტიპი სენსორული • ელექტრო ეფექტურობის კლასი...</t>
  </si>
  <si>
    <t xml:space="preserve">შეიძინეთ სარეცხი მანქანა MIDEA MFA01W70B/W (7კგ)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</si>
  <si>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დანების ნაკრები NINJA K32006EU</t>
  </si>
  <si>
    <t xml:space="preserve">K32006EU</t>
  </si>
  <si>
    <t xml:space="preserve">სახლი და დეკორი &gt; სამზარეულოს აქსესუარები &gt; სამზარეულოს დანები</t>
  </si>
  <si>
    <t xml:space="preserve">https://superi.ge/ninja-k32006eu/</t>
  </si>
  <si>
    <t xml:space="preserve">• მწარმოებელი NINJA • ტიპი სამზარეულოს დანების ნაკრები • კომპლექტში შემავალი ნივთების რაოდენობა 8 • მოსახერხებელი სახელური • მწარმოებელი ქვეყანა გერმანია • 5 კო...</t>
  </si>
  <si>
    <t xml:space="preserve">შეიძინეთ დანების ნაკრები NINJA K32006EU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</si>
  <si>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ველოტრენაჟორი XIAOMI LYDSTO XD-DGDCS101 S1</t>
  </si>
  <si>
    <t xml:space="preserve">DGDCS101</t>
  </si>
  <si>
    <t xml:space="preserve">https://superi.ge/xiaomi-lydsto-xd-dgdcs101-s1/</t>
  </si>
  <si>
    <t xml:space="preserve">ბრენდი Lydstoმოდელი XD-DGDCS101პროდუქტის ტიპი ველო ტრენაჟორიმახასიათებლებიინტელექტუალური აპლიკაციის კონტროლიგულისცემის მონიტორინგისრულად დახურული მექანიზმიჩუმი ...</t>
  </si>
  <si>
    <t xml:space="preserve">შეიძინეთ ველოტრენაჟორი XIAOMI LYDSTO XD-DGDCS101 S1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</si>
  <si>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TOSHIBA GR-RB449WE-PMJ(06)</t>
  </si>
  <si>
    <t xml:space="preserve">S69935</t>
  </si>
  <si>
    <t xml:space="preserve">https://superi.ge/toshiba-gr-rb449we-pmj-06/</t>
  </si>
  <si>
    <t xml:space="preserve">• ტიპი ერთ კამერიანი • მართვის ტიპი ელექტრონული • საერთო მოცულობა 320 ლ • მაცივრის კამერის სასარგებლო მოცულობა 216 ლ • საყინულის სასარგებლო მოცულობა 104 ლ • საყ...</t>
  </si>
  <si>
    <t xml:space="preserve">შეიძინეთ მაცივარი TOSHIBA GR-RB449WE-PMJ(06)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</si>
  <si>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ცენტრალური გათბობის ქვაბი MIDEA L1PB20-C28WM</t>
  </si>
  <si>
    <t xml:space="preserve">S25738</t>
  </si>
  <si>
    <t xml:space="preserve">https://superi.ge/midea-l1pb20-c28wm/</t>
  </si>
  <si>
    <t xml:space="preserve">• მონტაჟის ტიპი კედლის ვერტიკალური • სიმძლავრე 20 kW • ანთების ტიპი ელექტრონული • ავზის მოცულობა 6 ლ • წვის კამერის ტიპი დახურული დამატებითი მახასიათებლები • Wi...</t>
  </si>
  <si>
    <t xml:space="preserve">შეიძინეთ ცენტრალური გათბობის ქვაბი MIDEA L1PB20-C28WM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</si>
  <si>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ელექტრო ჩაიდანი BOSCH TWK8613P</t>
  </si>
  <si>
    <t xml:space="preserve">S49806</t>
  </si>
  <si>
    <t xml:space="preserve">ტექნიკა &gt; სამზარეულოს ტექნიკა &gt; ელექტრო ჩაიდნები</t>
  </si>
  <si>
    <t xml:space="preserve">https://superi.ge/bosch-twk8613p/</t>
  </si>
  <si>
    <t xml:space="preserve">• ტიპი სტანდარტული • სიმძლავრე 2400 W • მოცულობა 1 5 ლ • მართვის ტიპი მექანიკური/ელექტრონული მახასიათებლები • ტემპერატურის შერჩევა 70°C 80°C 90°C • გამაცხელებელ...</t>
  </si>
  <si>
    <t xml:space="preserve">შეიძინეთ ელექტრო ჩაიდანი BOSCH TWK8613P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</si>
  <si>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MIDEA MFA01W80B/W (8კგ)</t>
  </si>
  <si>
    <t xml:space="preserve">S10132</t>
  </si>
  <si>
    <t xml:space="preserve">https://superi.ge/midea-mfa01w80b-w-8/</t>
  </si>
  <si>
    <t xml:space="preserve">• ჩატვირთვის ტიპი ფრონტალური • სარეცხის მაქსიმალური ჩატვირთვა 8 კგ • ბრუნვის მაქსიმალური სიჩქარე 1400 ბრ/წთ • მართვის ტიპი სენსორული • ელექტრო ეფექტურობის კლასი...</t>
  </si>
  <si>
    <t xml:space="preserve">შეიძინეთ სარეცხი მანქანა MIDEA MFA01W80B/W (8კგ)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</si>
  <si>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ქვაბებისა და ტაფების ნაკრები FALEZ EX27</t>
  </si>
  <si>
    <t xml:space="preserve">199385</t>
  </si>
  <si>
    <t xml:space="preserve">https://superi.ge/falez-ex27/</t>
  </si>
  <si>
    <t xml:space="preserve">• ტიპი ქავაბის და ტაფის ნაკრები • რაოდენობა 4 მახასიათებლები • ეკოლოგიურად სუფთა • ბიო გრანიტის გრილის ქვაბი • პროდუქტი არ შეიცავს არანაირ მავნე ნივთიერებებს რა...</t>
  </si>
  <si>
    <t xml:space="preserve">შეიძინეთ ქვაბებისა და ტაფების ნაკრები FALEZ EX27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</si>
  <si>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COOPER &amp; HUNTER CH-S18 XN8</t>
  </si>
  <si>
    <t xml:space="preserve">228239</t>
  </si>
  <si>
    <t xml:space="preserve">https://superi.ge/cooper-and-hunter-ch-s18-xn8/</t>
  </si>
  <si>
    <t xml:space="preserve">• ტიპი კედლის სპლიტ-სისტემა • რეჟიმი გაგრილება / გათბობა / გამოშრობა / ცირკულაცია • რეკომენდირებული ფართი 50 მ² -მდე • ენერგომოხმარების კლასი A • მოხმარებადი სი...</t>
  </si>
  <si>
    <t xml:space="preserve">შეიძინეთ კონდიციონერი COOPER &amp; HUNTER CH-S18 XN8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</si>
  <si>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BOSCH ASX18VW30U (55-60მ²)</t>
  </si>
  <si>
    <t xml:space="preserve">S59810</t>
  </si>
  <si>
    <t xml:space="preserve">https://superi.ge/bosch-asx18vw30u-55-60/</t>
  </si>
  <si>
    <t xml:space="preserve">ბრენდი Bosch მოდელი ASX18VW30Uპროდუქტის ტიპი კონდინციონერიინვენტორული დიახტემპერატურის დიაპაზონი -15 - +50 ფაზა 1გათბობა / გაგრილება დიახტემპერატურის კონტროლი დ...</t>
  </si>
  <si>
    <t xml:space="preserve">შეიძინეთ კონდიციონერი BOSCH ASX18VW30U (55-60მ²)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</si>
  <si>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HOTPOINT ARISTON NM11 845 WS A EU N</t>
  </si>
  <si>
    <t xml:space="preserve">190613</t>
  </si>
  <si>
    <t xml:space="preserve">https://superi.ge/hotpoint-ariston-nm11-845-ws-a-eu-n/</t>
  </si>
  <si>
    <t xml:space="preserve">• ჩატვირთვის ტიპი ფრონტალური • ტევადობა 8 კგ • ბრუნვის მაქსიმალური სიჩქარე 1351 ბრ/წთ • გაწურვის კლასი B • წყლის მოხმარება თითო ციკლზე 47 ლ • ენერგომოხმარების კ...</t>
  </si>
  <si>
    <t xml:space="preserve">შეიძინეთ სარეცხი მანქანა HOTPOINT ARISTON NM11 845 WS A EU N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</si>
  <si>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ელექტრო ჩაიდანი SMEG KLF03RDEU RED</t>
  </si>
  <si>
    <t xml:space="preserve">I96468</t>
  </si>
  <si>
    <t xml:space="preserve">https://superi.ge/smeg-klf03rdeu-red/</t>
  </si>
  <si>
    <t xml:space="preserve">• ტიპი სტანდარტული • სიმძლავრე 2400 W • მოცულობა 1 7 ლ • მართვის ტიპი მექანიკური/ელექტრონული მახასიათებლები • LED ინდიკაცია • წყლის დონის ინდიკატორი • ფილტრი უჟ...</t>
  </si>
  <si>
    <t xml:space="preserve">შეიძინეთ ელექტრო ჩაიდანი SMEG KLF03RDEU RED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</si>
  <si>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ELECTROLUX EW6T4RF061</t>
  </si>
  <si>
    <t xml:space="preserve">137603</t>
  </si>
  <si>
    <t xml:space="preserve">https://superi.ge/electrolux-ew6t4rf061/</t>
  </si>
  <si>
    <t xml:space="preserve">• ჩატვირთვის ტიპი ვერტიკალური ზედა • სარეცხის მაქსიმალური ჩატვირთვა 6 კგ • ბრუნვის მაქსიმალური სიჩქარე 1000 ბრ/წთ • მართვის ტიპი ელექტრონული / მექანიკური • დისპ...</t>
  </si>
  <si>
    <t xml:space="preserve">შეიძინეთ სარეცხი მანქანა ELECTROLUX EW6T4RF061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</si>
  <si>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ელექტრო ღუმელი NINJA SP101EU 8IN1</t>
  </si>
  <si>
    <t xml:space="preserve">S15425</t>
  </si>
  <si>
    <t xml:space="preserve">ტექნიკა &gt; სამზარეულოს ტექნიკა &gt; ელექტრო ღუმელები</t>
  </si>
  <si>
    <t xml:space="preserve">https://superi.ge/ninja-sp101eu-8in1/</t>
  </si>
  <si>
    <t xml:space="preserve">• მართვის ტიპი მექანიკური • სიმძლავრე 2400 W • დანიშნულება მრავალფუნქციური • ტემპერატურის დიაპაზონი 40°C - 230°C • მოცულობა პიცა 33 სმ / ფრი 1 კგ • ფუნქციების რ...</t>
  </si>
  <si>
    <t xml:space="preserve">შეიძინეთ ელექტრო ღუმელი NINJA SP101EU 8IN1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</si>
  <si>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გამწოვი MIDEA MH60AN895GB</t>
  </si>
  <si>
    <t xml:space="preserve">S85354</t>
  </si>
  <si>
    <t xml:space="preserve">ტექნიკა &gt; საყოფაცხოვრებო ტექნიკა &gt; გამწოვი</t>
  </si>
  <si>
    <t xml:space="preserve">https://superi.ge/midea-mh60an895gb/</t>
  </si>
  <si>
    <t xml:space="preserve">• ტიპი გუმბათოვანი • ძრავის სიმძლავრე 250 W • მართვის ტიპი სენსორული • სიჩქარეების რაოდენობა 4 • ძრავის რაოდენობა 1 • ჰაერის ნაკადი 800/1150 მ3/სთ • ხმაურის დონ...</t>
  </si>
  <si>
    <t xml:space="preserve">შეიძინეთ გამწოვი MIDEA MH60AN895GB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</si>
  <si>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ქვაბებისა და ტაფების ნაკრები GORENJE CWSA08HC</t>
  </si>
  <si>
    <t xml:space="preserve">S45233</t>
  </si>
  <si>
    <t xml:space="preserve">https://superi.ge/gorenje-cwsa08hc/</t>
  </si>
  <si>
    <t xml:space="preserve">• მწარმოებელი GORENJE • ნაკრებში შემავალი პროდუქტის რაოდენობა 5 • ინდუქციურ ქურასთან თავსებადობა • არ იკრავს საკვებს • მაღალი გამძლეობის მასალა • ჭურჭლის სარეცხ...</t>
  </si>
  <si>
    <t xml:space="preserve">შეიძინეთ ქვაბებისა და ტაფების ნაკრები GORENJE CWSA08HC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</si>
  <si>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მიქსერი SMEG SMF03PGEU</t>
  </si>
  <si>
    <t xml:space="preserve">I89949</t>
  </si>
  <si>
    <t xml:space="preserve">ტექნიკა &gt; სამზარეულოს ტექნიკა &gt; მიქსერები</t>
  </si>
  <si>
    <t xml:space="preserve">https://superi.ge/smeg-smf03pgeu/</t>
  </si>
  <si>
    <t xml:space="preserve">• ტიპი სტაციონარული • სიმძლავრე 800 W • სიჩქარეების რაოდენობა 10 • ჯამის მოცულობა 4 8 ლ • მართვის ტიპი ელექტრონული ფუნქციები და მახასიათებლები • ჩართვა გამორთვი...</t>
  </si>
  <si>
    <t xml:space="preserve">შეიძინეთ მიქსერი SMEG SMF03PGEU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</si>
  <si>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საკერავი მანქანა JANOME ARTDECOR 724A</t>
  </si>
  <si>
    <t xml:space="preserve">S70869</t>
  </si>
  <si>
    <t xml:space="preserve">სახლი და დეკორი &gt; საკერავი ტექნიკა</t>
  </si>
  <si>
    <t xml:space="preserve">https://superi.ge/janome-artdecor-724a/</t>
  </si>
  <si>
    <t xml:space="preserve">• ტიპი ელექტრომექანიკური • კერვის ოპერაციების რაოდენობა 25 • შატლი ჰორიზონტალური • მარყუჟი ავტომატური • დეკორატიული ნაკერი • ნაქსოვი ნაკერი • ფარული ნაკერები • ...</t>
  </si>
  <si>
    <t xml:space="preserve">შეიძინეთ საკერავი მანქანა JANOME ARTDECOR 724A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</si>
  <si>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საკერავი მანქანა SINGER START 1306</t>
  </si>
  <si>
    <t xml:space="preserve">158041</t>
  </si>
  <si>
    <t xml:space="preserve">https://superi.ge/singer-start-1306/</t>
  </si>
  <si>
    <t xml:space="preserve">• ტიპი ელექტრომექანიკური • ვერტიკალური მაქო • კერვის ოპერაციების რაოდენობა 12 ფუნქციები და მახასიათებლები • ჩაშენებული გვირისტი 6 4 საბაზისო 1 დეკოტარიული 4-საფ...</t>
  </si>
  <si>
    <t xml:space="preserve">შეიძინეთ საკერავი მანქანა SINGER START 1306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</si>
  <si>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გაზის გამათბობელი FUJIYAMA FHS 11000 F BROWN</t>
  </si>
  <si>
    <t xml:space="preserve">236585</t>
  </si>
  <si>
    <t xml:space="preserve">https://superi.ge/fujiyama-fhs-11000-f-brown/</t>
  </si>
  <si>
    <t xml:space="preserve">• ტიპი დასადგამი • მწარმოებელი ქვეყანა თურქეთი • რეკომენდირებული ფართი 100 მ² • გათბობის მაქსიმალური სიმძლავრე 10 kW • ბუნებრივი აირის ხარჯი 1 33 მ³/სთ • გამაცხ...</t>
  </si>
  <si>
    <t xml:space="preserve">შეიძინეთ გაზის გამათბობელი FUJIYAMA FHS 11000 F BROWN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</si>
  <si>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გვერდის ტექსტის ასლი</t>
  </si>
  <si>
    <t xml:space="preserve">მაცივარი HISENSE RD-23DC SILVER</t>
  </si>
  <si>
    <t xml:space="preserve">RD-23DC</t>
  </si>
  <si>
    <t xml:space="preserve">https://superi.ge/hisense-rd-23dc-silver/</t>
  </si>
  <si>
    <t xml:space="preserve">• ტიპი: ორკამერიანი • მართვის ტიპი: მექანიკური • საერთო სასარგებლო მოცულობა: 225 ლ • მაცივრის კამერის სასარგებლო მოცულობა: 159 ლ • საყინულე კამერის სასარგებლო მოცულობა: 66 ლ • საყინულე კამერის განლაგება: ქვედა • გაგრილების სისტემა: ნახევრად მშრალი</t>
  </si>
  <si>
    <t xml:space="preserve">შეიძინეთ მაცივარი HISENSE RD-23DC SILVER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</si>
  <si>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HISENSE DB35DCUR-INOX</t>
  </si>
  <si>
    <t xml:space="preserve">DB35DCUR</t>
  </si>
  <si>
    <t xml:space="preserve">https://superi.ge/hisense-db35dcur-inox/</t>
  </si>
  <si>
    <t xml:space="preserve">• ტიპი ორკამერიანი • საერთო სასარგებლო მოცულობა 264 ლ • მაცივრის კამერის სასარგებლო მოცულობა 198 ლ • საყინულე კამერის სასარგებლო მოცულობა 66 ლ • საყინულე კამერი...</t>
  </si>
  <si>
    <t xml:space="preserve">შეიძინეთ მაცივარი HISENSE DB35DCUR-INOX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</si>
  <si>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HISENSE RD-33WCRWD-INOX</t>
  </si>
  <si>
    <t xml:space="preserve">33WCRWD</t>
  </si>
  <si>
    <t xml:space="preserve">https://superi.ge/hisense-rd-33wcrwd-inox/</t>
  </si>
  <si>
    <t xml:space="preserve">• ტიპი ორკამერიანი • საერთო სასარგებლო მოცულობა 251 ლ • მაცივრის კამერის სასარგებლო მოცულობა 171 ლ • საყინულე კამერის სასარგებლო მოცულობა 80 ლ • საყინულე კამერი...</t>
  </si>
  <si>
    <t xml:space="preserve">შეიძინეთ მაცივარი HISENSE RD-33WCRWD-INOX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</si>
  <si>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სარეცხის საშრობი მანქანა BOSCH WQG1420AME (9კგ)</t>
  </si>
  <si>
    <t xml:space="preserve">S78810</t>
  </si>
  <si>
    <t xml:space="preserve">ტექნიკა &gt; საყოფაცხოვრებო ტექნიკა &gt; საშრობი მანქანები</t>
  </si>
  <si>
    <t xml:space="preserve">https://superi.ge/bosch-wqg1420ame-9/</t>
  </si>
  <si>
    <t xml:space="preserve">• ბრენდი Bosch • მოდელი WQG1420AME • პროდუქტის ტიპი ცალკე მდგომი • შრობის მოცულობა 9 კგ • კონდენსაციის ეფექტურობის კლასი B • შრობის ტიპი კონდენსაციური • ჩატვირთ...</t>
  </si>
  <si>
    <t xml:space="preserve">შეიძინეთ სარეცხის საშრობი მანქანა BOSCH WQG1420AME (9კგ)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</si>
  <si>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ბუდე საქანელა SC-025</t>
  </si>
  <si>
    <t xml:space="preserve">227406</t>
  </si>
  <si>
    <t xml:space="preserve">სპორტი და დასვენება &gt; ჰამაკები &amp; საქანელები</t>
  </si>
  <si>
    <t xml:space="preserve">https://superi.ge/sc-025/</t>
  </si>
  <si>
    <t xml:space="preserve">• ტიპი ბუდე საქანელა • მწარმოებელი ქვეყანა თურქეთი • ადგილების რაოდენობა 2 ფიზიკური პარამეტრები • ბუდის ზომა სიგანე/სიმაღლე/სიღრმე 130 x 120 x 80 სმ • ღერძის სი...</t>
  </si>
  <si>
    <t xml:space="preserve">შეიძინეთ ბუდე საქანელა SC-025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</si>
  <si>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აეროგრილი FRANKO FAF-1218</t>
  </si>
  <si>
    <t xml:space="preserve">I90332</t>
  </si>
  <si>
    <t xml:space="preserve">https://superi.ge/franko-faf-1218/</t>
  </si>
  <si>
    <t xml:space="preserve">• სიმძლავრე 1500 W • მოცულობა 5 5 ლ • ტემპერატურული დიაპაზონი 80°C - 200°C • მართვის ტიპი მექანიკური მახასიათებლები • ტაიმერი 60 წთ • მიმწვრობის საწინააღმდეგო ზ...</t>
  </si>
  <si>
    <t xml:space="preserve">შეიძინეთ აეროგრილი FRANKO FAF-1218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</si>
  <si>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BOSCH ASX12VW30U</t>
  </si>
  <si>
    <t xml:space="preserve">S17075</t>
  </si>
  <si>
    <t xml:space="preserve">https://superi.ge/bosch-asx12vw30u/</t>
  </si>
  <si>
    <t xml:space="preserve">• ტიპი კედლის • რეკომენდირებული ფართი 40 • რეჟმები გაგრილება/გათბობა • ენერგო ეფექტურობის კლასი A+ • სიმძლავრე გაგრილება/გათბობა 3600/3800 W • სიმძლავრე გაგრილე...</t>
  </si>
  <si>
    <t xml:space="preserve">შეიძინეთ კონდიციონერი BOSCH ASX12VW30U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</si>
  <si>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ჩასაშენებელი მაცივარი HISENSE RS-16DRQ</t>
  </si>
  <si>
    <t xml:space="preserve">275588</t>
  </si>
  <si>
    <t xml:space="preserve">https://superi.ge/hisense-rs-16drq/</t>
  </si>
  <si>
    <t xml:space="preserve">• ტიპი ერთკამერიანი • მართვის ტიპი ელექტრონული • საერთო სასარგებლო მოცულობა 121 ლ • საყინულე კამერის განლაგება შიდა • გაგრილების სისტემა ნახევრად მშრალი • ენერგ...</t>
  </si>
  <si>
    <t xml:space="preserve">შეიძინეთ ჩასაშენებელი მაცივარი HISENSE RS-16DRQ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</si>
  <si>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HYUNDAI ESAF-24HFN8 (80მ²)</t>
  </si>
  <si>
    <t xml:space="preserve">I84375</t>
  </si>
  <si>
    <t xml:space="preserve">https://superi.ge/hyundai-esaf-24hfn8-80/</t>
  </si>
  <si>
    <t xml:space="preserve">• ტიპი კედლის სპლიტ სისტემა • რეკომენდირებული ფართი 80 მ² -მდე • სიმძლავრე გაგრილების რეჟიმში 24000 BTU/სთ • სიმძლავრე გათბობის რეჟიმში 25000 BTU/სთ • გაგრილები...</t>
  </si>
  <si>
    <t xml:space="preserve">შეიძინეთ კონდიციონერი HYUNDAI ESAF-24HFN8 (80მ²)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</si>
  <si>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HISENSE RD-31DR4SA</t>
  </si>
  <si>
    <t xml:space="preserve">184934</t>
  </si>
  <si>
    <t xml:space="preserve">https://superi.ge/hisense-rd-31dr4sa/</t>
  </si>
  <si>
    <t xml:space="preserve">• ტიპი ორკამერიანი • მართვის ტიპი ელექტრონული • საერთო მოცულობა 242 ლ • მაცივრის კამერის მოცულობა 201 ლ • საყინულე კამერის მოცულობა 41 ლ • საყინულე კამერის განლ...</t>
  </si>
  <si>
    <t xml:space="preserve">შეიძინეთ მაცივარი HISENSE RD-31DR4SA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</si>
  <si>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BOSCH WGA24400ME (9კგ)</t>
  </si>
  <si>
    <t xml:space="preserve">I91229</t>
  </si>
  <si>
    <t xml:space="preserve">https://superi.ge/bosch-wga24400me-9/</t>
  </si>
  <si>
    <t xml:space="preserve">• ჩატვირთვის ტიპი ფრონტალური • სარეცხის მაქსიმალური ჩატვირთვა 9 კგ • ბრუნვის მაქსიმალური სიჩქარე 1400 ბრ/წთ • ენერგომოხმარების კლასი A+++ • მართვის ტიპი ელექტრო...</t>
  </si>
  <si>
    <t xml:space="preserve">შეიძინეთ სარეცხი მანქანა BOSCH WGA24400ME (9კგ)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</si>
  <si>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საშრობით GORENJE W1D2A164ADS (10/6კგ)</t>
  </si>
  <si>
    <t xml:space="preserve">S69827</t>
  </si>
  <si>
    <t xml:space="preserve">https://superi.ge/gorenje-w1d2a164ads-10-6/</t>
  </si>
  <si>
    <t xml:space="preserve">• ჩატვირთვის ტიპი ფრონტალური • ტევადობა 10 კგ • საშრობი სარეცხის ტევადობა 6 კგ • ბრუნვის მაქსიმალური სიჩქარე 1400 ბრ/წთ • ენერგო მოხმარების კლასი A • რეცხვის კლ...</t>
  </si>
  <si>
    <t xml:space="preserve">შეიძინეთ სარეცხი მანქანა საშრობით GORENJE W1D2A164ADS (10/6კგ)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</si>
  <si>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სარბენი ბილიკი SPORT G-207</t>
  </si>
  <si>
    <t xml:space="preserve">SU-138141</t>
  </si>
  <si>
    <t xml:space="preserve">https://superi.ge/sport-g-207/</t>
  </si>
  <si>
    <t xml:space="preserve">• ტიპი სარბენი ბილიკი აღმართით • მომხმარებლის მაქსიმალური წონა 130 კგ • სიჩქარე 0-12 კმ/სთ • დახრის კუთხე 0-15&gt; მახასიათებლები • მაჩვენებლები კალორია პულსი • ექ...</t>
  </si>
  <si>
    <t xml:space="preserve">შეიძინეთ სარბენი ბილიკი SPORT G-207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</si>
  <si>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LG GR-X267CQES (side by side)</t>
  </si>
  <si>
    <t xml:space="preserve">07067</t>
  </si>
  <si>
    <t xml:space="preserve">https://superi.ge/lg-gr-x267cqes-side-by-side/</t>
  </si>
  <si>
    <t xml:space="preserve">• ტიპი side-by-side • ძრავის ტიპი ინვერტორული • მართვის ტიპი ელექტრონული / სენსორული • საერთო სასარგებლო მოცულობა 647 ლ • მაცივრის სასარგებლო მოცულობა 412 ლ • ს...</t>
  </si>
  <si>
    <t xml:space="preserve">შეიძინეთ მაცივარი LG GR-X267CQES (side by side)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</si>
  <si>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სმარტ საათი SAMSUNG GALAXY WATCH 6 (SM-R960) 47MM</t>
  </si>
  <si>
    <t xml:space="preserve">Z-030986</t>
  </si>
  <si>
    <t xml:space="preserve">ტექნიკა &gt; ტელეფონები, ტაბლეტები, ელექტრონული წიგნები &gt; SMART WATCHES</t>
  </si>
  <si>
    <t xml:space="preserve">https://superi.ge/samsung-galaxy-watch-6-sm-r960-47mm/</t>
  </si>
  <si>
    <t xml:space="preserve">• ბრენდი Samsung • მოდელი SM-R960NZKACIS • პროდუქტის ტიპი სმარტ საათი • სერია Galaxy Watch 6 • წყალგამძლეობა 50 მ წყალგაუმტარი IP68 • კორპუსის ზომა 47 მმ ეკრანი...</t>
  </si>
  <si>
    <t xml:space="preserve">შეიძინეთ სმარტ საათი SAMSUNG GALAXY WATCH 6 (SM-R960) 47MM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</si>
  <si>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HYUNDAI AC ESAF-12HN8</t>
  </si>
  <si>
    <t xml:space="preserve">211249</t>
  </si>
  <si>
    <t xml:space="preserve">https://superi.ge/hyundai-ac-esaf-12hn8/</t>
  </si>
  <si>
    <t xml:space="preserve">• ტიპი კედლის სპლიტ სისტემა • რეკომენდირებული ფართი 35 მ² -მდე • სიმძლავრე გაგრილების რეჟიმში 12000BTU/სთ • სიმძლავრე გათბობის რეჟიმში 12000BTU/სთ • გაგრილების ...</t>
  </si>
  <si>
    <t xml:space="preserve">შეიძინეთ კონდიციონერი HYUNDAI AC ESAF-12HN8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</si>
  <si>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საყინულე FRANKO FCF-198DW (198ლ)</t>
  </si>
  <si>
    <t xml:space="preserve">FCF-198DW</t>
  </si>
  <si>
    <t xml:space="preserve">ტექნიკა &gt; საყოფაცხოვრებო ტექნიკა &gt; საყინულეები</t>
  </si>
  <si>
    <t xml:space="preserve">https://superi.ge/franko-fcf-198dw-198/</t>
  </si>
  <si>
    <t xml:space="preserve">• ტიპი ჰორიზონტალური საყინულე • მოცულობა ლ/ფტ 198/7 0 • LED განათება – დიახ • მაცივარი R600a • გასაღები და დაბლოკვა – დიახ • ტემპ კონტროლი/დისპლეი – მექანიკური ...</t>
  </si>
  <si>
    <t xml:space="preserve">შეიძინეთ საყინულე FRANKO FCF-198DW (198ლ)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</si>
  <si>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საყინულე მაცივარი ALNEO S13OW01 (400ლ)</t>
  </si>
  <si>
    <t xml:space="preserve">08016</t>
  </si>
  <si>
    <t xml:space="preserve">https://superi.ge/alneo-s13ow01-400/</t>
  </si>
  <si>
    <t xml:space="preserve">• ტიპი ჰორიზონტალური • საერთო მოცულობა 400 ლ • ენერგო მოხმარება A+ • ხმაურის დონე 42 DB • სწრაფი გაყინვის ფუნქცა კი • კომპლექტაცია 1 X BADE • ფერი თეთრი</t>
  </si>
  <si>
    <t xml:space="preserve">შეიძინეთ საყინულე მაცივარი ALNEO S13OW01 (400ლ)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</si>
  <si>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LG F2V5HYLYJ.AMBPMER (7კგ)</t>
  </si>
  <si>
    <t xml:space="preserve">07024</t>
  </si>
  <si>
    <t xml:space="preserve">https://superi.ge/lg-f2v5hylyj-ambpmer-7/</t>
  </si>
  <si>
    <t xml:space="preserve">მახასიათებლები • კონსტრუქციის ტიპი ცალკე მდგომი • კონტროლის ტიპი ელექტრონული • ეკრანი LED • ძრავის ტიპი ინვერტერი • მაქსიმალური ჩატვირთვა 7 კგ • მაქსიმალური ბრუ...</t>
  </si>
  <si>
    <t xml:space="preserve">შეიძინეთ სარეცხი მანქანა LG F2V5HYLYJ.AMBPMER (7კგ)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</si>
  <si>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LG F4J3VYG6J (9კგ)</t>
  </si>
  <si>
    <t xml:space="preserve">07019</t>
  </si>
  <si>
    <t xml:space="preserve">https://superi.ge/lg-f4j3vyg6j-9/</t>
  </si>
  <si>
    <t xml:space="preserve">• მაქსიმალური ჩატვირთვა 9 კგ • ჩატვირთვის ტიპი ფრონტალური • ბრუნვის მაქსიმალური სიჩქარე 1400 ბრ/წთ • ენერგომოხმარების კლასი A • რეცხვის კლასი A • გაწურვის კლასი...</t>
  </si>
  <si>
    <t xml:space="preserve">შეიძინეთ სარეცხი მანქანა LG F4J3VYG6J (9კგ)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</si>
  <si>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MIDEA MSAF-24HRN8-W</t>
  </si>
  <si>
    <t xml:space="preserve">S29335</t>
  </si>
  <si>
    <t xml:space="preserve">https://superi.ge/midea-msaf-24hrn8-w/</t>
  </si>
  <si>
    <t xml:space="preserve">• ტიპი კედლის სპლიტ-სისტემა • საფარის ტიპი Hydrophilic aluminium ანტიკოროზიული • რეჟიმი გაგრილება/გათბობა • სიჩქარეები მაღ/საშ/დაბ 1180/1000/850 • რეკომენდირებუ...</t>
  </si>
  <si>
    <t xml:space="preserve">შეიძინეთ კონდიციონერი MIDEA MSAF-24HRN8-W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</si>
  <si>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საყინულე GORENJE F492PW</t>
  </si>
  <si>
    <t xml:space="preserve">S99685</t>
  </si>
  <si>
    <t xml:space="preserve">https://superi.ge/gorenje-f492pw/</t>
  </si>
  <si>
    <t xml:space="preserve">• ტიპი ვერტიკალური • მთლიანი მოცულობა 91 ლ • სასარგებლო მოცულობა 81 ლ • ენერგოეფექტურობის კლასი A++ • კლიმატის კლასი ST/T/N • კომპრესორების რაოდენობა 1 • მართვი...</t>
  </si>
  <si>
    <t xml:space="preserve">შეიძინეთ საყინულე GORENJE F492PW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</si>
  <si>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HITACHI R-WB720VUC0 GBK</t>
  </si>
  <si>
    <t xml:space="preserve">I69974</t>
  </si>
  <si>
    <t xml:space="preserve">https://superi.ge/hitachi-r-wb720vuc0-gbk/</t>
  </si>
  <si>
    <t xml:space="preserve">• ტიპი Side-By-Side • საერთო სასარგებლო მოცულობა 569 ლ • მაცივრის კამერის სასარგებლო მოცულობა 357 ლ • საყინულე კამერის სასარგებლო მოცულობა 100 ლ • საყინულე კამე...</t>
  </si>
  <si>
    <t xml:space="preserve">შეიძინეთ მაცივარი HITACHI R-WB720VUC0 GBK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</si>
  <si>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გაზის გამათბობელი GILAN GDS-301 (120მ²) BEIGE</t>
  </si>
  <si>
    <t xml:space="preserve">0811</t>
  </si>
  <si>
    <t xml:space="preserve">https://superi.ge/gilan-gds-301-120-beige/</t>
  </si>
  <si>
    <t xml:space="preserve">• ტიპი კედლის • რეკომინდებული ფართი 110-120მ² • სიმძლავრე 10 kW • წვის კამერის ტიპი დახურული • თბოგადამცემლის მასალა ემალირებული ფოლადი • მოხმარებადი აირის ტიპი...</t>
  </si>
  <si>
    <t xml:space="preserve">შეიძინეთ გაზის გამათბობელი GILAN GDS-301 (120მ²) BEIGE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</si>
  <si>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გენერატორი INGCO GE30005</t>
  </si>
  <si>
    <t xml:space="preserve">1021103</t>
  </si>
  <si>
    <t xml:space="preserve">https://superi.ge/ingco-ge30005/</t>
  </si>
  <si>
    <t xml:space="preserve">გენერატორი: ერთფაზიანი ძრავის ტიპი: ბენზინი, ოთხ ცილინდრიანი დაქოქვის ტიპი: მექანიკური მაქსიმალური სიმძლავრე: 2.8 KW მუდმივი სიმძლავრე: 2.5 KW</t>
  </si>
  <si>
    <t xml:space="preserve">შეიძინეთ გენერატორი INGCO GE30005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</si>
  <si>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HISENSE RD-43WRN INOX</t>
  </si>
  <si>
    <t xml:space="preserve">RD-43WR</t>
  </si>
  <si>
    <t xml:space="preserve">https://superi.ge/hisense-rd-43wrn-inox/</t>
  </si>
  <si>
    <t xml:space="preserve">• ტიპი ორკამერიანი • მართვის ტიპი მექანიკური • საერთო სასარგებლო მოცულობა 325 ლ • მაცივრის კამერის სასარგებლო მოცულობა 252 ლ • საყინულე კამერის სასარგებლო მოცულ...</t>
  </si>
  <si>
    <t xml:space="preserve">შეიძინეთ მაცივარი HISENSE RD-43WRN INOX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</si>
  <si>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მტვერსასრუტი GORENJE SVC216GFW</t>
  </si>
  <si>
    <t xml:space="preserve">I70145</t>
  </si>
  <si>
    <t xml:space="preserve">https://superi.ge/gorenje-svc216gfw/</t>
  </si>
  <si>
    <t xml:space="preserve">• ტიპი ვერტიკალური ელექტრო ცოცხი • მტვრის კონტეინერის მოცულობა 500 მლ • კვების ტიპი უსადენო • დასუფთავების ტიპი მშრალი • LED განათება • ფილტრის ტიპი HEPA • ხმაუ...</t>
  </si>
  <si>
    <t xml:space="preserve">შეიძინეთ მტვერსასრუტი GORENJE SVC216GFW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</si>
  <si>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ხელის ბლენდერი GORENJE HBC806QW</t>
  </si>
  <si>
    <t xml:space="preserve">I71677</t>
  </si>
  <si>
    <t xml:space="preserve">https://superi.ge/gorenje-hbc806qw/</t>
  </si>
  <si>
    <t xml:space="preserve">Gorenje HBC807QB ჩასაშვები ბლენდერი 800 ვტ სიმძლავრით, უჟანგავი ფოლადის ნაწილით, სიჩქარის გლუვი რეგულირებით და 3 საცმით პრაქტიკული და ეფექტური სამზარეულოსთვის.</t>
  </si>
  <si>
    <t xml:space="preserve">შეიძინეთ ხელის ბლენდერი GORENJE HBC806QW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</si>
  <si>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ჩასაშენებელი მაცივარი GORENJE NRKI517E42</t>
  </si>
  <si>
    <t xml:space="preserve">S13061</t>
  </si>
  <si>
    <t xml:space="preserve">https://superi.ge/gorenje-nrki517e42/</t>
  </si>
  <si>
    <t xml:space="preserve">Gorenje NRKI519141 ჩასაშენებელი მაცივარი 275 ლ სასარგებლო მოცულობით, No Frost და MultiFlow სისტემებით, ინვერტორული კომპრესორით, SuperCooling, SuperFreezing და ECO ფუნქციებით.</t>
  </si>
  <si>
    <t xml:space="preserve">შეიძინეთ ჩასაშენებელი მაცივარი GORENJE NRKI517E42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</si>
  <si>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გენერატორი დიზელის დახურული SHINEVER LD1032 100kw</t>
  </si>
  <si>
    <t xml:space="preserve">S14350</t>
  </si>
  <si>
    <t xml:space="preserve">https://superi.ge/shinever-ld1032-100kw/</t>
  </si>
  <si>
    <t xml:space="preserve">SHINEVER LD1030 დახურული დიზელის გენერატორი 50 kW სიმძლავრით, 230/400 V ძაბვით, YN38GBZ ძრავით, წყლით გაგრილების სისტემით, 220 ლ საწვავის ავზითა და 8 საათამდე უწყვეტი მუშაობის შესაძლებლობით.</t>
  </si>
  <si>
    <t xml:space="preserve">შეიძინეთ გენერატორი დიზელის დახურული SHINEVER LD1032 100kw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</si>
  <si>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ნოუთბუქი Lenovo Legion 5 15IRX10 83LY00HTLK</t>
  </si>
  <si>
    <t xml:space="preserve">S29136</t>
  </si>
  <si>
    <t xml:space="preserve">ტექნიკა &gt; ნოუთბუქები, კომპიუტერები, მონიტორები &gt; ნოუთბუქები</t>
  </si>
  <si>
    <t xml:space="preserve">https://superi.ge/notebook-lenovo-legion-legion-5-15-1-oled-165hz-i7-13650hx-16gb-512gb-ssd-rtx-5050-8gb-eclipse-black-win-11-home-eng/</t>
  </si>
  <si>
    <t xml:space="preserve">Lenovo Legion 5 83LY00XYRK გეიმინგ ლეპტოპი 15.1" WQXGA OLED 165 Hz ეკრანით, Intel Core i7-13650HX პროცესორით, 16 GB DDR5 მეხსიერებით, 512 GB NVMe SSD-ითა და 8 GB GDDR7 ვიდეომეხსიერებით.</t>
  </si>
  <si>
    <t xml:space="preserve">შეიძინეთ ნოუთბუქი Lenovo Legion 5 15IRX10 83LY00HTLK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</si>
  <si>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HAIER HWD100-BD14397U1 (11კგ)</t>
  </si>
  <si>
    <t xml:space="preserve">S39117</t>
  </si>
  <si>
    <t xml:space="preserve">https://superi.ge/haier-hwd100-bd14397u1-11/</t>
  </si>
  <si>
    <t xml:space="preserve">Haier HW110-BD14397U1 X Series 11 ცალკე მდგომი სარეცხი მანქანა 11 კგ ჩატვირთვით, 1400 ბრ/წთ გაწურვის სიჩქარით, 16 პროგრამით, Direct Motion ძრავით, Ultra Fresh Air, Smart Dosing, Refresh და hOn ფუნქციებით.</t>
  </si>
  <si>
    <t xml:space="preserve">შეიძინეთ სარეცხი მანქანა HAIER HWD100-BD14397U1 (11კგ)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</si>
  <si>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ჭურჭლის სარეცხი მანქანა LG DFB325HM.ABMPARA (14PCS)</t>
  </si>
  <si>
    <t xml:space="preserve">I93987</t>
  </si>
  <si>
    <t xml:space="preserve">https://superi.ge/lg-dfb325hm-abmpara-14pcs/</t>
  </si>
  <si>
    <t xml:space="preserve">LG DFB425FP.APZPARA ცალკე მდგომი ჭურჭლის სარეცხი მანქანა 14 პერსონაზე. ენერგოეფექტურობა A+, ორთქლის ფუნქცია, ინტენსიური შრობა და მრავალრეჟიმიანი სარეცხი პროგრამები</t>
  </si>
  <si>
    <t xml:space="preserve">შეიძინეთ ჭურჭლის სარეცხი მანქანა LG DFB325HM.ABMPARA (14PCS)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</si>
  <si>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საშრობი მანქანა AEG TR838P4JE</t>
  </si>
  <si>
    <t xml:space="preserve">S33649</t>
  </si>
  <si>
    <t xml:space="preserve">https://superi.ge/dryer-aeg-promo-aeg-tr838p4je/</t>
  </si>
  <si>
    <t xml:space="preserve">AEG TR838P4R ცალკე მდგომი საშრობი 8 კგ ჩატვირთვით, ინვერტორული ძრავით, ელექტრონული მართვით, ეკრანითა და 6 გაშრობის პროგრამით.</t>
  </si>
  <si>
    <t xml:space="preserve">შეიძინეთ საშრობი მანქანა AEG TR838P4JE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</si>
  <si>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HAIER HW110-BD14397U1 (11კგ)</t>
  </si>
  <si>
    <t xml:space="preserve">S44884</t>
  </si>
  <si>
    <t xml:space="preserve">https://superi.ge/haier-hw110-bd14397u1-11/</t>
  </si>
  <si>
    <t xml:space="preserve">Haier HWD100-BD14397U1 X Series 11 ცალკე მდგომი სარეცხი მანქანა 11 კგ ჩატვირთვით, 1400 ბრ/წთ გაწურვის სიჩქარით, 16 პროგრამით, Direct Motion ძრავით, Ultra Fresh Air, Smart Dosing, Refresh და hOn ფუნქციებით</t>
  </si>
  <si>
    <t xml:space="preserve">შეიძინეთ სარეცხი მანქანა HAIER HW110-BD14397U1 (11კგ)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</si>
  <si>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საშრობი Midea MD210H100WB/W 10კგ</t>
  </si>
  <si>
    <t xml:space="preserve">S38873</t>
  </si>
  <si>
    <t xml:space="preserve">https://superi.ge/midea-md210h100wb-w-10/</t>
  </si>
  <si>
    <t xml:space="preserve">შეარჩიე Midea MD210H100BW/W — 10 კგ სარეცხის საშრობი თბური ტუმბოთი, 14 პროგრამით, BLDC ძრავით, შიდა განათებით, Wi-Fi-ითა და A+++ კლასით.</t>
  </si>
  <si>
    <t xml:space="preserve">შეიძინეთ საშრობი Midea MD210H100WB/W 10კგ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</si>
  <si>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ჩასაშენებელი ჭურჭლის სარეცხი მანქანა BOSCH SMI4IKS50T (13PCS)</t>
  </si>
  <si>
    <t xml:space="preserve">I93599</t>
  </si>
  <si>
    <t xml:space="preserve">https://superi.ge/bosch-smi4iks50t-13pcs/</t>
  </si>
  <si>
    <t xml:space="preserve">Bosch SMI4IMS60T ნახევრად ჩაშენებული ჭურჭლის სარეცხი მანქანა 13 პერსონაზე, Wi-Fi და Home Connect-ით. ენერგოეფექტურობა A++, უსაფრთხოება და მრავალი პროგრამა.</t>
  </si>
  <si>
    <t xml:space="preserve">შეიძინეთ ჩასაშენებელი ჭურჭლის სარეცხი მანქანა BOSCH SMI4IKS50T (13PCS)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</si>
  <si>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მტვერსასრუტი SAMSUNG Jet 85S VS70H25WFT/EV</t>
  </si>
  <si>
    <t xml:space="preserve">S89007</t>
  </si>
  <si>
    <t xml:space="preserve">https://superi.ge/vs70h25wft-ev/</t>
  </si>
  <si>
    <t xml:space="preserve">Samsung Jet 85S Complete VS70H25WFT/EU ვერტიკალური მტვერსასრუტი 250 W შეწოვის სიმძლავრით, 60 წუთამდე მუშაობის დროით, HEPA ფილტრაციით, 0.8 ლ მტვრის კონტეინერითა და მრავალფუნქციური ჯაგრისების კომპლექტით.</t>
  </si>
  <si>
    <t xml:space="preserve">შეიძინეთ მტვერსასრუტი SAMSUNG Jet 85S VS70H25WFT/EV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</si>
  <si>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LG F2V7GWL1W.ABWPMER - White (8.5კგ)</t>
  </si>
  <si>
    <t xml:space="preserve">07028</t>
  </si>
  <si>
    <t xml:space="preserve">https://superi.ge/lg-f2v7gwl1w-abwpmer-white-8-5/</t>
  </si>
  <si>
    <t xml:space="preserve">LG F2V7GW1W.ABWPCOM თეთრი 8.5 კგ ინვერტორული სარეცხი მანქანა ორთქლით რეცხვით, A კლასის ენერგოეფექტურობით და ბრუნვის 1200 ბრ/წთ სიჩქარით – სისუფთავე და ხარისხი ყოველდღიურობაში.</t>
  </si>
  <si>
    <t xml:space="preserve">შეიძინეთ სარეცხი მანქანა LG F2V7GWL1W.ABWPMER - White (8.5კგ)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</si>
  <si>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GORENJE APD35 (40მ²)</t>
  </si>
  <si>
    <t xml:space="preserve">S17210</t>
  </si>
  <si>
    <t xml:space="preserve">https://superi.ge/gorenje-apd35-40/</t>
  </si>
  <si>
    <t xml:space="preserve">შეარჩიე GORENJE APD26 ინვერტორული სპლიტ კონდიციონერი 30–40 მ² სივრცისთვის, 12000 BTU გაგრილების სიმძლავრით, R32 ფრეონით, Wi-Fi მართვითა და A++ ენერგოეფექტურობით.</t>
  </si>
  <si>
    <t xml:space="preserve">შეიძინეთ კონდიციონერი GORENJE APD35 (40მ²)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</si>
  <si>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THOMSON 50UG4S14 (127 სმ)</t>
  </si>
  <si>
    <t xml:space="preserve">50UG4S14</t>
  </si>
  <si>
    <t xml:space="preserve">https://superi.ge/thomson-55ug4s14-140/</t>
  </si>
  <si>
    <t xml:space="preserve">ჩაეფლო კინოსეანსის ეფექტში სახლიდან გაუსვლელად! THOMSON 55UG4S14 (140სმ) 4K UHD Google TV, 1 მილიარდი ფერი, Dolby Audio და Google Assistant - შენი ახალი გასართობი ცენტრი.</t>
  </si>
  <si>
    <t xml:space="preserve">შეიძინეთ ტელევიზორი THOMSON 50UG4S14 (127 სმ)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</si>
  <si>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ქურის ზედაპირი GORENJE GTW641EB</t>
  </si>
  <si>
    <t xml:space="preserve">S58060</t>
  </si>
  <si>
    <t xml:space="preserve">https://superi.ge/gorenje-gtw641eb/</t>
  </si>
  <si>
    <t xml:space="preserve">Gorenje WHI629EB შავი კედლის სამზარეულოს გამწოვი 429 მ³/სთ მაქსიმალური წარმადობით, 3 სიჩქარით, LED განათებითა და რეცხვადი ალუმინის ცხიმის ფილტრით.</t>
  </si>
  <si>
    <t xml:space="preserve">შეიძინეთ ქურის ზედაპირი GORENJE GTW641EB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</si>
  <si>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THOMSON 43UG4S14 (109 სმ)</t>
  </si>
  <si>
    <t xml:space="preserve">43UG4S14</t>
  </si>
  <si>
    <t xml:space="preserve">https://superi.ge/thomson-43ug4s14-109/</t>
  </si>
  <si>
    <t xml:space="preserve">შეიძინეთ ტელევიზორი THOMSON 43UG4S14 (109 სმ)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</si>
  <si>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BHCB66641BBBHS b300</t>
  </si>
  <si>
    <t xml:space="preserve">S32820</t>
  </si>
  <si>
    <t xml:space="preserve">https://superi.ge/bhcb66641bbbhs-b300/</t>
  </si>
  <si>
    <t xml:space="preserve">BEKO BHCB66641BBHS დეკორატიული გამწოვი 425 მ3/სთ მაქსიმალური წარმადობით, 710 მ3/სთ Booster რეჟიმით, A კლასის ენერგოეფექტურობით, LED განათებითა და მეტალის კასეტური ფილტრებით.</t>
  </si>
  <si>
    <t xml:space="preserve">შეიძინეთ BHCB66641BBBHS b300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</si>
  <si>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მიქსერი KENWOOD KMX750ARD</t>
  </si>
  <si>
    <t xml:space="preserve">S44757</t>
  </si>
  <si>
    <t xml:space="preserve">https://superi.ge/kitchen-machine-kenwood-kmx750ard/</t>
  </si>
  <si>
    <t xml:space="preserve">Kenwood kMix KMX750RD სამზარეულოს მანქანა 1000 W სიმძლავრით, 5 ლ უჟანგავი ფოლადის თასით, 6 სიჩქარით, პლანეტარული შერევითა და ცომის მოსაზელი, სათქვეფი და შესარევი საცმებით.</t>
  </si>
  <si>
    <t xml:space="preserve">შეიძინეთ მიქსერი KENWOOD KMX750ARD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</si>
  <si>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საყინულე MIDEA MDRC211FZE01 (143L)</t>
  </si>
  <si>
    <t xml:space="preserve">S15021</t>
  </si>
  <si>
    <t xml:space="preserve">https://superi.ge/midea-mdrc211fze01-143l/</t>
  </si>
  <si>
    <t xml:space="preserve">შეარჩიე Midea MDRC211FZF01 — 143 ლიტრიანი თეთრი საყინულე ნახევრად მშრალი მუშაობით, R600a ფრეონით, 15-საათიანი შენარჩუნებით და 6.5 კგ/24სთ გაყინვით.</t>
  </si>
  <si>
    <t xml:space="preserve">შეიძინეთ საყინულე MIDEA MDRC211FZE01 (143L)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</si>
  <si>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ყინულის აპარატი GORENJE IMDW1200W</t>
  </si>
  <si>
    <t xml:space="preserve">S46148</t>
  </si>
  <si>
    <t xml:space="preserve">https://superi.ge/gorenje-imdw1200w/</t>
  </si>
  <si>
    <t xml:space="preserve">Gorenje IMD1200W ყინულის დასამზადებელი აპარატი 1.8 ლ წყლის ავზით, 12 კგ-მდე დღიური წარმადობით, 9-წუთიანი მომზადების ციკლით, XL ზომის ყინულის კუბებითა და ავტომატური თვითწმენდის ფუნქციით</t>
  </si>
  <si>
    <t xml:space="preserve">შეიძინეთ ყინულის აპარატი GORENJE IMDW1200W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</si>
  <si>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ელექტრო ღუმელი Beko BMO45EAB</t>
  </si>
  <si>
    <t xml:space="preserve">S66330</t>
  </si>
  <si>
    <t xml:space="preserve">https://superi.ge/beko-bmo45eab/</t>
  </si>
  <si>
    <t xml:space="preserve">BMOF38B ელექტრო ღუმელი 25 ლ მოცულობით, 1600 W სიმძლავრით, ვენტილატორით მომზადების სისტემით, 4 ფუნქციით, სტანდარტული ლანგრითა და ბადისებრი თაროთი.</t>
  </si>
  <si>
    <t xml:space="preserve">შეიძინეთ ელექტრო ღუმელი Beko BMO45EAB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</si>
  <si>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ელექტრო გამათბობელი / კონვექტორი MIDEA NDK20-21AF</t>
  </si>
  <si>
    <t xml:space="preserve">S23437</t>
  </si>
  <si>
    <t xml:space="preserve">ტექნიკა &gt; კლიმატური ტექნიკა &gt; ელექტრო გამათბობლები</t>
  </si>
  <si>
    <t xml:space="preserve">https://superi.ge/midea-ndk20-21af/</t>
  </si>
  <si>
    <t xml:space="preserve">შეარჩიე NY2311-22HF ზეთის რადიატორი 2700 W სიმძლავრით, 11 სექციით, 3 გათბობის დონით, რეგულირებადი თერმოსტატითა და გადახურებისგან დაცვით.</t>
  </si>
  <si>
    <t xml:space="preserve">შეიძინეთ ელექტრო გამათბობელი / კონვექტორი MIDEA NDK20-21AF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</si>
  <si>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HYUNDAI ESAF-09HN8 (25-30მ²)</t>
  </si>
  <si>
    <t xml:space="preserve">S26652</t>
  </si>
  <si>
    <t xml:space="preserve">https://superi.ge/hyundai-esaf-09hn8-25-30/</t>
  </si>
  <si>
    <t xml:space="preserve">• ტიპი კედლის სპლიტ სისტემა • რეკომენდირებული ფართი 25-30 მ² -მდე • სიმძლავრე გაგრილების რეჟიმში 8500BTU/სთ • სიმძლავრე გათბობის რეჟიმში 8900BTU/სთ • გაგრილების...</t>
  </si>
  <si>
    <t xml:space="preserve">შეიძინეთ კონდიციონერი HYUNDAI ESAF-09HN8 (25-30მ²)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</si>
  <si>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ხორცსაკეპი მანქანა BOSCH MFW45020</t>
  </si>
  <si>
    <t xml:space="preserve">S11406</t>
  </si>
  <si>
    <t xml:space="preserve">ტექნიკა &gt; სამზარეულოს ტექნიკა &gt; ხორცსაკეპი მანქანები</t>
  </si>
  <si>
    <t xml:space="preserve">https://superi.ge/bosch-mfw45020/</t>
  </si>
  <si>
    <t xml:space="preserve">• ტიპი ელექტრონული • სიმძლავრე 1600 W • ნომინალური სიმძლავრე 500 W • მწარმოებლობა 2 7 კგ/წთ • დამატებითი საცმები ძეხვეულისთვის Kebbe-სთვის ფუნქციები და მახასიათ...</t>
  </si>
  <si>
    <t xml:space="preserve">შეიძინეთ ხორცსაკეპი მანქანა BOSCH MFW45020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</si>
  <si>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BOSCH CLIMATE 2000 ON/OFF 12000 BTU</t>
  </si>
  <si>
    <t xml:space="preserve">213041</t>
  </si>
  <si>
    <t xml:space="preserve">https://superi.ge/bosch-climate-2000-on-off-12000-btu/</t>
  </si>
  <si>
    <t xml:space="preserve">• ტიპი კედლის სპლიტ სისტემა • რეკომენდირებული ფართი 35 მ²- მდე • შიდა ბლოკის ხმაურის დონე 26 5 dB A • ფრეონის ტიპი R32 მახასიათებლები • Wi-Fi მართვის საშუალება ...</t>
  </si>
  <si>
    <t xml:space="preserve">შეიძინეთ კონდიციონერი BOSCH CLIMATE 2000 ON/OFF 12000 BTU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</si>
  <si>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BOSCH ASX24VW30U (75-80მ²)</t>
  </si>
  <si>
    <t xml:space="preserve">S15463</t>
  </si>
  <si>
    <t xml:space="preserve">https://superi.ge/bosch-asx24vw30u-75-80/</t>
  </si>
  <si>
    <t xml:space="preserve">• ტიპი კედლის • რეკომენდირებული ფართი 80 მ²- მდე • რეჟმები გაგრილება/გათბობა • ენერგო ეფექტურობის კლასი A+ • სიმძლავრე გაგრილება/გათბობა 7000/7300 W • სიმძლავრე...</t>
  </si>
  <si>
    <t xml:space="preserve">შეიძინეთ კონდიციონერი BOSCH ASX24VW30U (75-80მ²)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</si>
  <si>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SAMSUNG RL4362RBASL/WT</t>
  </si>
  <si>
    <t xml:space="preserve">205596</t>
  </si>
  <si>
    <t xml:space="preserve">https://superi.ge/samsung-rl4362rbasl-wt/</t>
  </si>
  <si>
    <t xml:space="preserve">• ტიპი ორკამერიანი • მართვის ტიპი ელექტრონული/სენსორული • საერთო სასარგებლო მოცულობა 432 ლ • მაცივრის კამერის სასარგებლო მოცულობა 300 ლ • საყინულე კამერის სასარ...</t>
  </si>
  <si>
    <t xml:space="preserve">შეიძინეთ მაცივარი SAMSUNG RL4362RBASL/WT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</si>
  <si>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დისპენსერი BOSCH RDW1576</t>
  </si>
  <si>
    <t xml:space="preserve">S43583</t>
  </si>
  <si>
    <t xml:space="preserve">ტექნიკა &gt; საყოფაცხოვრებო ტექნიკა &gt; დისპენსერები</t>
  </si>
  <si>
    <t xml:space="preserve">https://superi.ge/bosch-rdw1576/</t>
  </si>
  <si>
    <t xml:space="preserve">• ტიპი იატაკზე დასადგამი • მართვის ტიპი ელექტრონული • ავზის ტიპი შიდა დამალული • მხოლოდ გაგრილების ფუნქციით • ცივი წყლის ავზის მოცულობა 4 0 ლ • ცივი წყლის ნაკად...</t>
  </si>
  <si>
    <t xml:space="preserve">შეიძინეთ დისპენსერი BOSCH RDW1576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</si>
  <si>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HISENSE RD49WR INOX</t>
  </si>
  <si>
    <t xml:space="preserve">686316</t>
  </si>
  <si>
    <t xml:space="preserve">https://superi.ge/hisense-rd49wr-inox/</t>
  </si>
  <si>
    <t xml:space="preserve">• ტიპი ორკამერიანი • მართვის ტიპი ელექტრონული • საერთო სასარგებლო მოცულობა 375 ლ • მაცივრის კამერის სასარგებლო მოცულობა 286 ლ • საყინულე კამერის სასარგებლო მოცუ...</t>
  </si>
  <si>
    <t xml:space="preserve">შეიძინეთ მაცივარი HISENSE RD49WR INOX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</si>
  <si>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აეროგრილი NINJA SL400EUWH (9.5 L)</t>
  </si>
  <si>
    <t xml:space="preserve">S99662</t>
  </si>
  <si>
    <t xml:space="preserve">https://superi.ge/ninja-sl400euwh-9-5-l/</t>
  </si>
  <si>
    <t xml:space="preserve">მახასიათებლები • ტიპი აეროგრილი • მოცულობა 9 5 ლ თითო 4 75 ლ • ტემპერატურული დიაპაზონი 40°C - 240°C • მართვის ტიპი ღილაკი/LCD ეკრანი • მასალა პლასტმასი • სიმძლა...</t>
  </si>
  <si>
    <t xml:space="preserve">შეიძინეთ აეროგრილი NINJA SL400EUWH (9.5 L)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</si>
  <si>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AUX ASW-H18A4/QCR1 (55-60 მ²)</t>
  </si>
  <si>
    <t xml:space="preserve">H18A4</t>
  </si>
  <si>
    <t xml:space="preserve">https://superi.ge/aux-asw-h18a4-qcr1-55-60/</t>
  </si>
  <si>
    <t xml:space="preserve">• მოდელი AASW-H18A4/QCR1 • ტიპი კედლის სპლიტ სისტემა • რეკომენდებული ფართობი მონტაჟისთვის 55-60 მ² • გაგრილების სიმძლავრე 4300 ვატი • გათბობის სიმძლავრე 4550 ვა...</t>
  </si>
  <si>
    <t xml:space="preserve">შეიძინეთ კონდიციონერი AUX ASW-H18A4/QCR1 (55-60 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</si>
  <si>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ქვაბების ნაკრები TEFAL H852SA56 10PCS</t>
  </si>
  <si>
    <t xml:space="preserve">S63717</t>
  </si>
  <si>
    <t xml:space="preserve">https://superi.ge/tefal-h852sa56-10pcs/</t>
  </si>
  <si>
    <t xml:space="preserve">• სერია Nordica • თავსებადობა ინდუქციური გაზის ელექტრო და მინის ზედაპირი • შესაძლებელია რეცხვა ჭურჭლის სარეცხ მანქანაში • თანაბრად ანაწილებს სითბოს • ფოლადის ტი...</t>
  </si>
  <si>
    <t xml:space="preserve">შეიძინეთ ქვაბების ნაკრები TEFAL H852SA56 10PCS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</si>
  <si>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ზეთის გამათბობელი BEKO RHO 8323 BT</t>
  </si>
  <si>
    <t xml:space="preserve">S27739</t>
  </si>
  <si>
    <t xml:space="preserve">https://superi.ge/beko-rho-8323-bt/</t>
  </si>
  <si>
    <t xml:space="preserve">• ბრენდი BEKO • მოდელი RHO 8323 BT • სიმძლავრე 2300 W • სექციების რაოდენობა 11 • მართვის ტიპი მექანიკური / დისტანციური მახასიათებლები • დისფლეი • თერმოსტატი • რ...</t>
  </si>
  <si>
    <t xml:space="preserve">შეიძინეთ ზეთის გამათბობელი BEKO RHO 8323 BT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</si>
  <si>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ავტომობილის აკუმულატორი VARTA BLUE 60 A\H D-24</t>
  </si>
  <si>
    <t xml:space="preserve">153412</t>
  </si>
  <si>
    <t xml:space="preserve">ავტოსამყარო &gt; აკუმულატორები</t>
  </si>
  <si>
    <t xml:space="preserve">https://superi.ge/varta-blue-60-ah-d-24/</t>
  </si>
  <si>
    <t xml:space="preserve">• დანიშნულება საავტომობილო მსუბუქი • მოცულობა 60 Ah • ძაბვა 12 V • სასტარტო სიმძლავრე 540 А • პოლარობა 0 • ტერმინალის ტიპი EUR • ტექნოლოგია POWERFRAME ფიზიკური ...</t>
  </si>
  <si>
    <t xml:space="preserve">შეიძინეთ ავტომობილის აკუმულატორი VARTA BLUE 60 A\H D-24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</si>
  <si>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საყინულე ARDESTO FRM-290E (295ლ)</t>
  </si>
  <si>
    <t xml:space="preserve">FRM-290E</t>
  </si>
  <si>
    <t xml:space="preserve">https://superi.ge/ardesto-frm-290e-295/</t>
  </si>
  <si>
    <t xml:space="preserve">Brand ArdestoModel FRM-290EType ChestCapacity L 295Useful capacity L 295Energy efficiency class A+Electricity consumption kWh/annum 268Control ElectronicColour ...</t>
  </si>
  <si>
    <t xml:space="preserve">შეიძინეთ საყინულე ARDESTO FRM-290E (295ლ)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</si>
  <si>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ქვაბების ნაკრები TEFAL G720S674 18/10</t>
  </si>
  <si>
    <t xml:space="preserve">S42839</t>
  </si>
  <si>
    <t xml:space="preserve">https://superi.ge/tefal-g720s674-18-10/</t>
  </si>
  <si>
    <t xml:space="preserve">• მწარმოებელი TEFAL • ნაკრებში შემავალი ქვაბების რაოდენობა 6 • თავსებადობა გაზის ელექტრო კერამიკული ინდუქციური და ჰალოგენური ქურებისთვის • ღუმელთან თავსებადობა ...</t>
  </si>
  <si>
    <t xml:space="preserve">შეიძინეთ ქვაბების ნაკრები TEFAL G720S674 18/10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</si>
  <si>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GORENJE NRK6192ABK4</t>
  </si>
  <si>
    <t xml:space="preserve">I72599</t>
  </si>
  <si>
    <t xml:space="preserve">https://superi.ge/gorenje-nrk6192abk4/</t>
  </si>
  <si>
    <t xml:space="preserve">• ტიპი ორკამერიანი • საერთო სასარგებლო მოცულობა 300 ლ • მაცივრის კამერის სასარგებლო მოცულობა 204 ლ • საყინულე კამერის სასარგებლო მოცულობა 96 ლ • ენერგოეფექტურობ...</t>
  </si>
  <si>
    <t xml:space="preserve">შეიძინეთ მაცივარი GORENJE NRK6192ABK4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</si>
  <si>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ქვაბების ნაკრები KORKMAZ A2863 SET 6PCS</t>
  </si>
  <si>
    <t xml:space="preserve">SA0000006606</t>
  </si>
  <si>
    <t xml:space="preserve">https://superi.ge/korkmaz-a2863-set-6pcs/</t>
  </si>
  <si>
    <t xml:space="preserve">ტაფები და ქვაბები • ტაფის მოცულობა 2 ლ • ქვაბის მოცლობა 3 ლ • ქვაბის მოცლობა 4 6 ლ • პატარა ქვაბის მოცლობა 3 ლ კომპლექტაცია • თავსახური 3 • სახელური დიხ ფიზიკურ...</t>
  </si>
  <si>
    <t xml:space="preserve">შეიძინეთ ქვაბების ნაკრები KORKMAZ A2863 SET 6PCS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</si>
  <si>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გამწოვი SAMSUNG NK24M1030IS/UR</t>
  </si>
  <si>
    <t xml:space="preserve">S95893</t>
  </si>
  <si>
    <t xml:space="preserve">https://superi.ge/samsung-nk24m1030is-ur/</t>
  </si>
  <si>
    <t xml:space="preserve">• ტიპი ჩასაშენებელი • დიზაინი ტელესკოპური • წარმადობა 392 მ³/სთ • სიჩქარეების რაოდენობა 3 • ძრავის რაოდენობა 1 • ენერგოეფექტურობის კლასი C • ფილტრის ტიპი ალუმინ...</t>
  </si>
  <si>
    <t xml:space="preserve">შეიძინეთ გამწოვი SAMSUNG NK24M1030IS/UR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</si>
  <si>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AUX ASW-H18A4/QFR3DI INVERTER (55-60მ²)</t>
  </si>
  <si>
    <t xml:space="preserve">H18A4/QFR3DI</t>
  </si>
  <si>
    <t xml:space="preserve">https://superi.ge/aux-asw-h18a4-qfr3di-inverter-55-60/</t>
  </si>
  <si>
    <t xml:space="preserve">• მოდელი ASW-H18A4/QCR3DI • ტიპი ინვერტერი კედლის სპლიტ სისტემა • რეკომენდებული ფართობი მონტაჟისთვის 55 -60 მ² • გაგრილების სიმძლავრე 5400 W • გათბობის სიმძლავრ...</t>
  </si>
  <si>
    <t xml:space="preserve">შეიძინეთ კონდიციონერი AUX ASW-H18A4/QFR3DI INVERTER (55-60მ²)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</si>
  <si>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ელექტრო ჩაიდანი SMEG KLF04PKEU</t>
  </si>
  <si>
    <t xml:space="preserve">I92910</t>
  </si>
  <si>
    <t xml:space="preserve">https://superi.ge/smeg-klf04pkeu/</t>
  </si>
  <si>
    <t xml:space="preserve">ბრენდი Smegმოდელი KLF04PKEUპროდუქტის ტიპი ელექტრო ჩაიდანი კონტროლის ტიპი ღილაკები ბერკეტისახურავის გახსნა რბილი გახსნამასალა უჟანგავი ფოლადი პლასტმასიწყლის დონი...</t>
  </si>
  <si>
    <t xml:space="preserve">შეიძინეთ ელექტრო ჩაიდანი SMEG KLF04PKEU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</si>
  <si>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ბალახის სათიბი TOTAL TG103512 (350W)</t>
  </si>
  <si>
    <t xml:space="preserve">234602</t>
  </si>
  <si>
    <t xml:space="preserve">ბაღი და ეზო &gt; სათიბები</t>
  </si>
  <si>
    <t xml:space="preserve">https://superi.ge/total-tg103512-350w/</t>
  </si>
  <si>
    <t xml:space="preserve">• ტიპი ელექტრო • სიმძლავრე 350 W • ბრუნვის სიჩქარე 11000 ბრ/წთ • ჭრის დიამეტრი 250 მმ 10 • ძუის დიამეტრი 1 4 მმ მახასიათებლები • ტელესკოპური მილი • ეფექტური საკ...</t>
  </si>
  <si>
    <t xml:space="preserve">შეიძინეთ ბალახის სათიბი TOTAL TG103512 (350W)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</si>
  <si>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HYUNDAI AC ESAF-12HN8-G</t>
  </si>
  <si>
    <t xml:space="preserve">I84739</t>
  </si>
  <si>
    <t xml:space="preserve">https://superi.ge/hyundai-ac-esaf-12hn8-g/</t>
  </si>
  <si>
    <t xml:space="preserve">შეიძინეთ კონდიციონერი HYUNDAI AC ESAF-12HN8-G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</si>
  <si>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წნევით სარეცხი აპარატი INGCO HPWR20008 (150bar)</t>
  </si>
  <si>
    <t xml:space="preserve">1021032</t>
  </si>
  <si>
    <t xml:space="preserve">ბაღი და ეზო &gt; წნევით სარეცხი აპარატები</t>
  </si>
  <si>
    <t xml:space="preserve">https://superi.ge/ingco-hpwr20008-150bar/</t>
  </si>
  <si>
    <t xml:space="preserve">● ტიპი: ინდუსტრიული ● ძრავის ტიპი: ინდუქციური ● შემავალი სიმძლავრე: 2000 W ● მაქსიმალური წნევა: 150 Bar (2200 PSI) ● გამტარიანობა: 6.0 ლ/წთ</t>
  </si>
  <si>
    <t xml:space="preserve">შეიძინეთ წნევით სარეცხი აპარატი INGCO HPWR20008 (150bar)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</si>
  <si>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პორტატული ელექტროსადგური EcoFlow DELTA mini</t>
  </si>
  <si>
    <t xml:space="preserve">13044644</t>
  </si>
  <si>
    <t xml:space="preserve">https://superi.ge/ecoflow-delta-mini/</t>
  </si>
  <si>
    <t xml:space="preserve">პორტატული ელექტროსადგური EcoFlow DELTA mini პორტატული ელექტროსადგური 882W/h ხასიათდება მშვენიერი წარმადობით მისი დახმარებითშეძლებთ რამდენიმე მწყობილობის ერთდროუ...</t>
  </si>
  <si>
    <t xml:space="preserve">შეიძინეთ პორტატული ელექტროსადგური EcoFlow DELTA mini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</si>
  <si>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დისპენსერი DIXI BYZ1171</t>
  </si>
  <si>
    <t xml:space="preserve">228768</t>
  </si>
  <si>
    <t xml:space="preserve">https://superi.ge/dixi-byz1171/</t>
  </si>
  <si>
    <t xml:space="preserve">• ტიპი იატაკიზე დასადგამი • მართვის ტიპი ელექტრონული • გაგრილების სიმძლავრე 85W • გაცხელების სიმძლავრე 500W • წყლის გამაცხელებელი სიმძლავრე 5ლ/სთ • წყლის გაგრილ...</t>
  </si>
  <si>
    <t xml:space="preserve">შეიძინეთ დისპენსერი DIXI BYZ1171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</si>
  <si>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მიკროტალღური ღუმელი TOSHIBA MW3-EM20PE(BM)</t>
  </si>
  <si>
    <t xml:space="preserve">S82769</t>
  </si>
  <si>
    <t xml:space="preserve">ტექნიკა &gt; სამზარეულოს ტექნიკა &gt; მიკროტალღური ღუმელები</t>
  </si>
  <si>
    <t xml:space="preserve">https://superi.ge/toshiba-mw3-em20pe-bm/</t>
  </si>
  <si>
    <t xml:space="preserve">• ტიპი ცალკე მდგომი • მართვის ტიპი სენსორული • მაქსიმალური სიმძლავრე 800 W • სიმძლავრის დონეების რაოდენობა 11 • მოცულობა 20 ლ • ავტომომზადების პროგრამები 6 მახა...</t>
  </si>
  <si>
    <t xml:space="preserve">შეიძინეთ მიკროტალღური ღუმელი TOSHIBA MW3-EM20PE(BM)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</si>
  <si>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საკერავი მანქანა JANOME 1522BL</t>
  </si>
  <si>
    <t xml:space="preserve">195719</t>
  </si>
  <si>
    <t xml:space="preserve">https://superi.ge/janome-1522bl/</t>
  </si>
  <si>
    <t xml:space="preserve">• ტიპი ელექტრომექანიკური • მაქოს ტიპი ვერტიკალური • მარყუჟის ტიპი ავტომატური • სამკერვალო ოპერაცია 25 • ენერგომოხმარება 60 W • მარყუჟების რაოდენობა 1 • ნაკერები...</t>
  </si>
  <si>
    <t xml:space="preserve">შეიძინეთ საკერავი მანქანა JANOME 1522BL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</si>
  <si>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BOSCH KGN49XWEA</t>
  </si>
  <si>
    <t xml:space="preserve">S52073</t>
  </si>
  <si>
    <t xml:space="preserve">https://superi.ge/bosch-kgn49xwea/</t>
  </si>
  <si>
    <t xml:space="preserve">• ბრენდი Bosch • მოდელი KGN49XWEA • ტიპი მაცივარი • კატეგორია მაცივარი საყინულით ძირითადი მახასიათებლები • მაცივრის კამერების საერთო მოცულობა 330 ლ • საყინულე კ...</t>
  </si>
  <si>
    <t xml:space="preserve">შეიძინეთ მაცივარი BOSCH KGN49XWEA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</si>
  <si>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დისპენსერი BOSCH RDW1571</t>
  </si>
  <si>
    <t xml:space="preserve">S75448</t>
  </si>
  <si>
    <t xml:space="preserve">https://superi.ge/bosch-rdw1571/</t>
  </si>
  <si>
    <t xml:space="preserve">• ტიპი იატაკზე დასადგამი • მართვის ტიპი მექანიკური • გაცხელების მეთოდი შიდა ელემენტით • ცივი წყლის ავზის მოცულობა 2 5 ლ • ცხელი წყლის ავზის მოცულობა 4 ლ • ცხელი...</t>
  </si>
  <si>
    <t xml:space="preserve">შეიძინეთ დისპენსერი BOSCH RDW1571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</si>
  <si>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კარტრიჯი Xerox Phaser 3020, 3025 (1500 pages)</t>
  </si>
  <si>
    <t xml:space="preserve">45</t>
  </si>
  <si>
    <t xml:space="preserve">ტექნიკა &gt; საოფისე და ქსელური მოწყობილობები &gt; კარტრიჯები, საღებავები, ქაღალდი</t>
  </si>
  <si>
    <t xml:space="preserve">https://superi.ge/xerox-phaser-3020-3025-1500-pages/</t>
  </si>
  <si>
    <t xml:space="preserve">ზოგადი ინფორმაცია ბრენდი Xerox ტიპი ტონერი კარტრიჯი კარტრიჯის/საბეჭდი ცილინდრის/ტონერის მახასიათებლები თავსებადი პრინტერები Xerox Phaser 3020 3025 კარტრიჯის ტიპ...</t>
  </si>
  <si>
    <t xml:space="preserve">შეიძინეთ კარტრიჯი Xerox Phaser 3020, 3025 (1500 pages)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</si>
  <si>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BOSCH KGN86AI32U</t>
  </si>
  <si>
    <t xml:space="preserve">I89153</t>
  </si>
  <si>
    <t xml:space="preserve">https://superi.ge/bosch-kgn86ai32u/</t>
  </si>
  <si>
    <t xml:space="preserve">• ტიპი ორკამერიანი • მართვის ტიპი სენსორული • საერთო სასარგებლო მოცულობა 682 ლ • მაცივრის კამერის სასარგებლო მოცულობა 496 ლ • საყინულე კამერის სასარგებლო მოცულო...</t>
  </si>
  <si>
    <t xml:space="preserve">შეიძინეთ მაცივარი BOSCH KGN86AI32U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</si>
  <si>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AUX ASW-H18A4/QCR3DI INVERTER (55-60მ²)</t>
  </si>
  <si>
    <t xml:space="preserve">H18A4/QCR3DI</t>
  </si>
  <si>
    <t xml:space="preserve">https://superi.ge/aux-asw-h18a4-qcr3di-inverter-55-60/</t>
  </si>
  <si>
    <t xml:space="preserve">შეიძინეთ კონდიციონერი AUX ASW-H18A4/QCR3DI INVERTER (55-60მ²)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</si>
  <si>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BOSCH CLIMATE 2000 ON/OFF 24000 BTU</t>
  </si>
  <si>
    <t xml:space="preserve">213047</t>
  </si>
  <si>
    <t xml:space="preserve">https://superi.ge/bosch-climate-2000-on-off-24000-btu/</t>
  </si>
  <si>
    <t xml:space="preserve">• ტიპი კედლის სპლიტ სისტემა • რეკომენდირებული ფართი 75 მ²- მდე • შიდა ბლოკის ხმაურის დონე 26 5 dB A • ფრეონის ტიპი R32 მახასიათებლები • Wi-Fi მართვის საშუალება ...</t>
  </si>
  <si>
    <t xml:space="preserve">შეიძინეთ კონდიციონერი BOSCH CLIMATE 2000 ON/OFF 24000 BTU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</si>
  <si>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HOFFMANN EIAC-12K (35-40 მ²) INVERTER</t>
  </si>
  <si>
    <t xml:space="preserve">TM-MT-BMT-1198-AC-1261</t>
  </si>
  <si>
    <t xml:space="preserve">https://superi.ge/hoffmann-eiac-12k-35-40-inverter/</t>
  </si>
  <si>
    <t xml:space="preserve">• მწარმოებელი HOFFMANN • ტიპი კედლის სპლიტ-სისტემა • ელექტროენერგიის მოხმარების კლასი A • ძრავის ტიპი ინვენტორული • რეკომენდირებული ფართი 35-40 მ²-მდე • ფრეონის...</t>
  </si>
  <si>
    <t xml:space="preserve">შეიძინეთ კონდიციონერი HOFFMANN EIAC-12K (35-40 მ²) INVERTER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</si>
  <si>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HISENSE SS67WSN-INOX</t>
  </si>
  <si>
    <t xml:space="preserve">SS67WSN</t>
  </si>
  <si>
    <t xml:space="preserve">https://superi.ge/hisense-ss67wsn-inox/</t>
  </si>
  <si>
    <t xml:space="preserve">• ტიპი Side-By-Side • საერთო სასარგებლო მოცულობა 519 ლ • მაცივრის კამერის სასარგებლო მოცულობა 334 ლ • საყინულე კამერის სასარგებლო მოცულობა 185 ლ • საყინულე კამე...</t>
  </si>
  <si>
    <t xml:space="preserve">შეიძინეთ მაცივარი HISENSE SS67WSN-INOX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</si>
  <si>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SKYWORTH SMFH07B-1A1A1NA</t>
  </si>
  <si>
    <t xml:space="preserve">190044</t>
  </si>
  <si>
    <t xml:space="preserve">https://superi.ge/skyworth-smfh07b-1a1a1na/</t>
  </si>
  <si>
    <t xml:space="preserve">• ტიპი კედლის სპლიტ სისტემა • ძირითადი რეჟიმები გაგრილება გათბობა • რეკომენდირებული ფართი 20 მ² -მდე • სიმძლავრე გაგრილების რეჟიმში 2 05 Kw/h / 7000 BTU • სიმძლ...</t>
  </si>
  <si>
    <t xml:space="preserve">შეიძინეთ კონდიციონერი SKYWORTH SMFH07B-1A1A1NA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</si>
  <si>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ველოსიპედი TRINX M600 ELITE 27.5X16 2020</t>
  </si>
  <si>
    <t xml:space="preserve">184602</t>
  </si>
  <si>
    <t xml:space="preserve">სპორტი და დასვენება &gt; ველოსიპედები</t>
  </si>
  <si>
    <t xml:space="preserve">https://superi.ge/trinx-m600-elite-27-5x16-2020/</t>
  </si>
  <si>
    <t xml:space="preserve">• საბურავის დიამეტრი 27 5 • ჩარჩო TRINX 27 5 x 16 Alloy Special-Shaped Tubes • სიჩქარეების რაოდენობა 21 • დისკის ტიპი ღეროვანი მახასიათებლები • ჯაჭვი KMC 8S • ჯ...</t>
  </si>
  <si>
    <t xml:space="preserve">შეიძინეთ ველოსიპედი TRINX M600 ELITE 27.5X16 2020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</si>
  <si>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BOSCH CLIMATE 3000I INVERTER 18000 BTU</t>
  </si>
  <si>
    <t xml:space="preserve">213056</t>
  </si>
  <si>
    <t xml:space="preserve">https://superi.ge/bosch-climate-3000i-inverter-18000-btu/</t>
  </si>
  <si>
    <t xml:space="preserve">• ტიპი კედლის სპლიტ სისტემა • რეკომენდირებული ფართი 55 მ²- მდე • შიდა ბლოკის ხმაურის დონე 22 dB A • ენერგოეფექტურობის კლასი A++/A+ • კომპრესორის ტიპი ინვერტორულ...</t>
  </si>
  <si>
    <t xml:space="preserve">შეიძინეთ კონდიციონერი BOSCH CLIMATE 3000I INVERTER 18000 BTU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</si>
  <si>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BOSCH CLIMATE 2000 ON/OFF 8000 BTU</t>
  </si>
  <si>
    <t xml:space="preserve">213045</t>
  </si>
  <si>
    <t xml:space="preserve">https://superi.ge/bosch-climate-2000-on-off-8000-btu/</t>
  </si>
  <si>
    <t xml:space="preserve">• ტიპი კედლის სპლიტ სისტემა • რეკომენდირებული ფართი 25 მ²- მდე • შიდა ბლოკის ხმაურის დონე 26 5 dB A • ფრეონის ტიპი R32 მახასიათებლები • Wi-Fi მართვის საშუალება ...</t>
  </si>
  <si>
    <t xml:space="preserve">შეიძინეთ კონდიციონერი BOSCH CLIMATE 2000 ON/OFF 8000 BTU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</si>
  <si>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ვენტილატორი ARSHIA FA128-2579</t>
  </si>
  <si>
    <t xml:space="preserve">188061</t>
  </si>
  <si>
    <t xml:space="preserve">https://superi.ge/arshia-fa128-2579/</t>
  </si>
  <si>
    <t xml:space="preserve">• ტიპი იატაკზე დასადგმელი • მართვის ტიპი დისტა ნციური/მექანიკური • მაქსიმალური სიმძლავრე 55 W • ს იჩქარეების რაოდენობა 3 • ფრთების რაოდენობა 5 მახ ასიათებლები •...</t>
  </si>
  <si>
    <t xml:space="preserve">შეიძინეთ ვენტილატორი ARSHIA FA128-2579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</si>
  <si>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საბურავი RIKEN 215/60R16 99H SNOW (ზამთრის)</t>
  </si>
  <si>
    <t xml:space="preserve">20110982</t>
  </si>
  <si>
    <t xml:space="preserve">ავტოსამყარო &gt; საბურავები</t>
  </si>
  <si>
    <t xml:space="preserve">https://superi.ge/riken-215-60r16-99h-snow/</t>
  </si>
  <si>
    <t xml:space="preserve">• მწარმოებელი RIKEN • ტიპი უკამერო • დანიშნულება მსუბუქი ავტომობილის • რაოდენობა 1 • სეზონი ზამთარი • საბურავის სიგანე 215 • საბურავის სიმაღლე 60 • დისკის დიამე...</t>
  </si>
  <si>
    <t xml:space="preserve">შეიძინეთ საბურავი RIKEN 215/60R16 99H SNOW (ზამთრის)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</si>
  <si>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HISENSE 40A4K SMART (102სმ)</t>
  </si>
  <si>
    <t xml:space="preserve">240162</t>
  </si>
  <si>
    <t xml:space="preserve">https://superi.ge/hisense-40a4k-smart-102/</t>
  </si>
  <si>
    <t xml:space="preserve">• ტელევიზორის კლასი D-LED • ეკრანის დიაგონალი 40 102 სმ • ეკრანის გაფართოება FHD 1920 x 1080 • ოპერაციული სისტემა VIDAA ვიდეო • ეკრანის ფორმატი 16 9 • კონტრასტუ...</t>
  </si>
  <si>
    <t xml:space="preserve">შეიძინეთ ტელევიზორი HISENSE 40A4K SMART (102სმ)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</si>
  <si>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სიგარას მაცივარი La Sommelière Cigar Cellar CIG251</t>
  </si>
  <si>
    <t xml:space="preserve">I90043</t>
  </si>
  <si>
    <t xml:space="preserve">https://superi.ge/la-sommeliere-cigar-cellar-cig251/</t>
  </si>
  <si>
    <t xml:space="preserve">• ტიპი ცალკე მდგომი • მაცივრის სტილი Cigar Cellar • ენერგო ეფექტურობის კლასი F • ხმაურის დონე 39 db • თაროების რაოდენობა 3 • ტევადობა 250 Cigars ფუნქციები • სინ...</t>
  </si>
  <si>
    <t xml:space="preserve">შეიძინეთ სიგარას მაცივარი La Sommelière Cigar Cellar CIG251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</si>
  <si>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3 ადგილიანი პრემიუმ საქანელა - გასაშლელი</t>
  </si>
  <si>
    <t xml:space="preserve">A2958 </t>
  </si>
  <si>
    <t xml:space="preserve">https://superi.ge/3/</t>
  </si>
  <si>
    <t xml:space="preserve">• მასალა მეტალი პოლიესთერი • სიმაღლე 165 სმ • სიგრძე 230 სმ • სიღრმე 60/120 სმ • გამძლეობა 250კგ • ფერი ანტრაციტი/ყავისფერი</t>
  </si>
  <si>
    <t xml:space="preserve">შეიძინეთ 3 ადგილიანი პრემიუმ საქანელა - გასაშლელი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</si>
  <si>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გაზის გამათბობელი AKOG 2H (20 მ²) GRAPHITE</t>
  </si>
  <si>
    <t xml:space="preserve">S51844</t>
  </si>
  <si>
    <t xml:space="preserve">https://superi.ge/akog-2h-20-graphite/</t>
  </si>
  <si>
    <t xml:space="preserve">• მონტაჟის ტიპი კედლის • რეკომინდებული ფართი 20 მ² • სიმძლავრე 2 3 kW • წვის კამერის ტიპი დახურული • ანთება პიეზო სანთებელა • მოხმარებადი აირის ტიპი ბუნებრივი/თ...</t>
  </si>
  <si>
    <t xml:space="preserve">შეიძინეთ გაზის გამათბობელი AKOG 2H (20 მ²) GRAPHITE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</si>
  <si>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საკერავი მანქანა JANOME HOMEDECOR 2077</t>
  </si>
  <si>
    <t xml:space="preserve">S47482</t>
  </si>
  <si>
    <t xml:space="preserve">https://superi.ge/janome-homedecor-2077/</t>
  </si>
  <si>
    <t xml:space="preserve">• ტიპი ელექტრომექანიკური • სამკერვალო ოპერაციების რაოდენობა 15 • სიმძლავრე 60 W ფუნქციები და მახასიათებლები • მაქოს ამოხვევა ნახევრად ავტომატური • მარყუჟების რა...</t>
  </si>
  <si>
    <t xml:space="preserve">შეიძინეთ საკერავი მანქანა JANOME HOMEDECOR 2077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</si>
  <si>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საყინულე FRANKO FCF-142DW (139ლ)</t>
  </si>
  <si>
    <t xml:space="preserve">FCF-142DW</t>
  </si>
  <si>
    <t xml:space="preserve">https://superi.ge/franko-fcf-142dw-139/</t>
  </si>
  <si>
    <t xml:space="preserve">• ტიპი ჰორიზონტალური საყინულე • მოცულობა ლ/ფტ 139/4 9 • LED განათება – დიახ • მაცივარი R600a • გასაღები და დაბლოკვა – დიახ • ტემპ კონტროლი/დისპლეი – მექანიკური ...</t>
  </si>
  <si>
    <t xml:space="preserve">შეიძინეთ საყინულე FRANKO FCF-142DW (139ლ)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</si>
  <si>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GRAETZ GTN43NW</t>
  </si>
  <si>
    <t xml:space="preserve">S61100</t>
  </si>
  <si>
    <t xml:space="preserve">https://superi.ge/graetz-gtn43nw/</t>
  </si>
  <si>
    <t xml:space="preserve">• ტიპი ორკამერიანი • მართვის ტიპი მექანიკური • გაგრილების ტიპი NO FROST მშრალი • საერთო სასარგებლო მოცულობა 432 ლ • საყინულე კამერის განლაგება ზედა დამატებითი მ...</t>
  </si>
  <si>
    <t xml:space="preserve">შეიძინეთ მაცივარი GRAETZ GTN43NW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</si>
  <si>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TCL TAC-24CHSA/TPG11I (70-80 მ²) INVENTER</t>
  </si>
  <si>
    <t xml:space="preserve">136643</t>
  </si>
  <si>
    <t xml:space="preserve">https://superi.ge/tcl-tac-24chsa-tpg11i-70-80-inventer/</t>
  </si>
  <si>
    <t xml:space="preserve">• ტიპი კედლის სპლიტ-სისტემა • რეჟიმი გაგრილება / გათბობა / ცირკულაცია • ძრავის ტიპი ინვერტორული • რეკომენდირებული ფართი 70-80 მ² -მდე • გაგრილების სიმძლავრე 24 ...</t>
  </si>
  <si>
    <t xml:space="preserve">შეიძინეთ კონდიციონერი TCL TAC-24CHSA/TPG11I (70-80 მ²) INVENTER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</si>
  <si>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საბურავი RIKEN 225/55R17 101V SNOW (ზამთრის)</t>
  </si>
  <si>
    <t xml:space="preserve">20110981</t>
  </si>
  <si>
    <t xml:space="preserve">https://superi.ge/riken-225-55r17-101v-snow/</t>
  </si>
  <si>
    <t xml:space="preserve">• მწარმოებელი RIKEN • ტიპი უკამერო • დანიშნულება მსუბუქი ავტომობილის • რაოდენობა 1 • სეზონი ზამთარი • საბურავის სიგანე 225 • საბურავის სიმაღლე 55 • დისკის დიამე...</t>
  </si>
  <si>
    <t xml:space="preserve">შეიძინეთ საბურავი RIKEN 225/55R17 101V SNOW (ზამთრის)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</si>
  <si>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საკერავი მანქანა JANOME 1225S</t>
  </si>
  <si>
    <t xml:space="preserve">156316</t>
  </si>
  <si>
    <t xml:space="preserve">https://superi.ge/janome-1225s/</t>
  </si>
  <si>
    <t xml:space="preserve">• ტიპი ელექტრომექანიკური • სიმძლავრე 85 W • ვერტიკალური მაქო • კერვის ოპერაციების რაოდენობა 25 ფუნქციები და მახასიათებლები • ხაზები სწორი ზიგზაგი ელასტიური ზიგზ...</t>
  </si>
  <si>
    <t xml:space="preserve">შეიძინეთ საკერავი მანქანა JANOME 1225S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</si>
  <si>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სტაციონარული ტელეფონი PANASONIC KX-TS2388UAB BLACK</t>
  </si>
  <si>
    <t xml:space="preserve">KX-TS2388UAB</t>
  </si>
  <si>
    <t xml:space="preserve">https://superi.ge/panasonic-kx-ts2388uab-black/</t>
  </si>
  <si>
    <t xml:space="preserve">• ნომრის აკრეფა • რადიოკავშირის ტიპი: ანალოგური • ნომრის აკრეფა: იმპულსური / ტონალური • სწრაფი აკრეფა: 10 ნომერი • ერთღილაკიანი აკრეფა: 20 ნომერი • შემოსული ზარების ჟურნალი: 50 ნომერი • Redial (ნომრის განმეირებითი აკრეფა) • ნომერის აკრეფის ბლოკირებ</t>
  </si>
  <si>
    <t xml:space="preserve">შეიძინეთ სტაციონარული ტელეფონი PANASONIC KX-TS2388UAB BLACK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</si>
  <si>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ჩემოდანი 2E 2E-SPPS-L-GR Sigma, 98L, Suitcase, Graphite</t>
  </si>
  <si>
    <t xml:space="preserve">2E-SPPS-L-GR</t>
  </si>
  <si>
    <t xml:space="preserve">სპორტი და დასვენება &gt; მოგზაურობა</t>
  </si>
  <si>
    <t xml:space="preserve">https://superi.ge/2e-2e-spps-l-gr-sigma-98l-suitcase-graphite/</t>
  </si>
  <si>
    <t xml:space="preserve">ბრენდი 2Eმოდელი 2E-SPPS-L-GRპროდუქტის ტიპი სამოგზაურო ჩანთატიპი დიდი ჩემოდანისერია SIGMAმასალა პოლიპროპილენიმოცულობა 98 ლბორბლები 4სახელურები 2 ერთი ტრანსპორტის...</t>
  </si>
  <si>
    <t xml:space="preserve">შეიძინეთ ჩემოდანი 2E 2E-SPPS-L-GR Sigma, 98L, Suitcase, Graphite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</si>
  <si>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ტაბლეტი Blackview Tab A6 Kids LTE 10.1'' 4/128GB Ocean Blue</t>
  </si>
  <si>
    <t xml:space="preserve">161010</t>
  </si>
  <si>
    <t xml:space="preserve">ტექნიკა &gt; ტელეფონები, ტაბლეტები, ელექტრონული წიგნები &gt; ტაბლეტები</t>
  </si>
  <si>
    <t xml:space="preserve">https://superi.ge/blackview-tab-a6-kids-lte-10-1-4-128gb-ocean-blue/</t>
  </si>
  <si>
    <t xml:space="preserve">ზოგადი ინფორმაცია ბრენდი Blackviewმოდელი/PN Tab A6 Kidsტიპი ტაბიპროცესორი პროცესორის მწარმოებელი Allwinner Technologyპროცესორის/ჩიპსეტის ტიპი A523ბირთვების რაოდ...</t>
  </si>
  <si>
    <t xml:space="preserve">შეიძინეთ ტაბლეტი Blackview Tab A6 Kids LTE 10.1'' 4/128GB Ocean Blue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</si>
  <si>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საკერავი მანქანა JANOME HD1023</t>
  </si>
  <si>
    <t xml:space="preserve">205618</t>
  </si>
  <si>
    <t xml:space="preserve">https://superi.ge/janome-hd1023/</t>
  </si>
  <si>
    <t xml:space="preserve">• ტიპი ელექტრომექანიკური • ვერტიკალური შატლი • მარყუჟი ავტომატრუი • კერვის ოპერაციების რაოდენობა 25 • განათება კი ფუნქციები და მახასიათებლები • ნაკერების მაქსიმ...</t>
  </si>
  <si>
    <t xml:space="preserve">შეიძინეთ საკერავი მანქანა JANOME HD1023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</si>
  <si>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TCL 50P745 (127 სმ)</t>
  </si>
  <si>
    <t xml:space="preserve">142538</t>
  </si>
  <si>
    <t xml:space="preserve">https://superi.ge/tcl-50p745-127/</t>
  </si>
  <si>
    <t xml:space="preserve">• ტელევიზორის კლასი DLED • ეკრანის დიაგონალი 50 127 სმ • ეკრანის გაფართოება 4K UHD 3840 x 2160 • Smart ტექნოლოგია კი • ოპერაციული სისტემა Google TV ვიდეო • HLG ...</t>
  </si>
  <si>
    <t xml:space="preserve">შეიძინეთ ტელევიზორი TCL 50P745 (127 სმ)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</si>
  <si>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ჩასაშენებელი ჭურჭლის სარეცხი მანქანა GORENJE GV673C62</t>
  </si>
  <si>
    <t xml:space="preserve">238366</t>
  </si>
  <si>
    <t xml:space="preserve">https://superi.ge/gorenje-gv673c62/</t>
  </si>
  <si>
    <t xml:space="preserve">• ტიპი ჩასაშენებელი • მართვის ტიპი მექანიკური • ტევადობა 16 კომპლექტი • ტემპერატურის დონეების რაოდენობა 6 • ენერგოეფექტურობის კლასი C პროგრამები • პროგრამების რ...</t>
  </si>
  <si>
    <t xml:space="preserve">შეიძინეთ ჩასაშენებელი ჭურჭლის სარეცხი მანქანა GORENJE GV673C62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</si>
  <si>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კომპრესორი REMEZA SB4/С-100.LB30</t>
  </si>
  <si>
    <t xml:space="preserve">175629</t>
  </si>
  <si>
    <t xml:space="preserve">სამშენებლო ხელსაწყოები &gt; კომპრესორები</t>
  </si>
  <si>
    <t xml:space="preserve">https://superi.ge/remeza-sb4-s-100-lb30/</t>
  </si>
  <si>
    <t xml:space="preserve">• რესივერის მოცულობა 100 ლ • ძაბვა 380 V • ნომინალური სიმძლავრე 2 2 Kw • წარმადობა 420 ლ/წთ • მაქსიმალური წნევა 10 bar ფიზიკური პარამეტრები • ზომა 1150 x 490 x ...</t>
  </si>
  <si>
    <t xml:space="preserve">შეიძინეთ კომპრესორი REMEZA SB4/С-100.LB30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</si>
  <si>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მტვერსასრუტი SAMSUNG VC07M2110SR</t>
  </si>
  <si>
    <t xml:space="preserve">212197</t>
  </si>
  <si>
    <t xml:space="preserve">https://superi.ge/samsung-vc07m2110sr/</t>
  </si>
  <si>
    <t xml:space="preserve">• ტიპი კონტეინერით • სიმძლავრე 700 W • შესრუტვის სიმძლავრე 180 W • მტვრის კონტეინერის მოცულობა 1 5 ლ • დასუფთავების რადიუსი 9 მ • ხმაურის დონე 80 dB მახასიათებლ...</t>
  </si>
  <si>
    <t xml:space="preserve">შეიძინეთ მტვერსასრუტი SAMSUNG VC07M2110SR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</si>
  <si>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საკერავი მანქანა BROTHER INNOV-IS F460</t>
  </si>
  <si>
    <t xml:space="preserve">219798</t>
  </si>
  <si>
    <t xml:space="preserve">https://superi.ge/brother-innov-is-f460/</t>
  </si>
  <si>
    <t xml:space="preserve">• ტიპი ელექტრომექანიკური • კერვის ოპერაციების რაოდენობა 182 • შატლი ჰორიზონტალური • მარყუჟი ავტომატური • მარყუჟების რაოდენობა 10 • ენერგიის მოხმარება 55 W • კერ...</t>
  </si>
  <si>
    <t xml:space="preserve">შეიძინეთ საკერავი მანქანა BROTHER INNOV-IS F460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</si>
  <si>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ცარიელი</t>
  </si>
  <si>
    <t xml:space="preserve">კონდიციონერი MITSUBISHI MSZ-EF35VE3S-ER2</t>
  </si>
  <si>
    <t xml:space="preserve">MUZ-EF35VE-ER5</t>
  </si>
  <si>
    <t xml:space="preserve">https://superi.ge/mitsubishi-msz-ef35ve3s-er2/</t>
  </si>
  <si>
    <t xml:space="preserve">შეიძინეთ კონდიციონერი MITSUBISHI MSZ-EF35VE3S-ER2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</si>
  <si>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(სახელი არ აქვს: ჯერ სახელი, ფოტო და კატეგორია სჭირდება, ან გათიშვა)</t>
  </si>
  <si>
    <t xml:space="preserve">S21897</t>
  </si>
  <si>
    <t xml:space="preserve">Products without category</t>
  </si>
  <si>
    <t xml:space="preserve">https://superi.ge/product-14040/</t>
  </si>
  <si>
    <t xml:space="preserve">—</t>
  </si>
  <si>
    <t xml:space="preserve">ტელევიზორი LG 55QNED70B6C 55" (139 სმ)</t>
  </si>
  <si>
    <t xml:space="preserve">S64548</t>
  </si>
  <si>
    <t xml:space="preserve">https://superi.ge/lg-55qned70b6c-55-139/</t>
  </si>
  <si>
    <t xml:space="preserve">შეიძინეთ ტელევიზორი LG 55QNED70B6C 55" (139 სმ)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</si>
  <si>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საყინულე VOX CF 200 E (198ლ)</t>
  </si>
  <si>
    <t xml:space="preserve">S19317</t>
  </si>
  <si>
    <t xml:space="preserve">https://superi.ge/vox-cf-200-e/</t>
  </si>
  <si>
    <t xml:space="preserve">შეიძინეთ საყინულე VOX CF 200 E (198ლ)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</si>
  <si>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კომპრესორი REMEZA SB4/F-500.LТ100/11</t>
  </si>
  <si>
    <t xml:space="preserve">179131</t>
  </si>
  <si>
    <t xml:space="preserve">https://superi.ge/remeza-sb4-f-500-lt100-11/</t>
  </si>
  <si>
    <t xml:space="preserve">• რესივერის მოცულობა 500 ლ • ძაბვა 380 V • ნომინალური სიმძლავრე 11 Kw • წარმადობა 1700 ლ/წთ • მაქსიმალური წნევა 10 bar ფიზიკური პარამეტრები • ზომა 2000 x 610 x ...</t>
  </si>
  <si>
    <t xml:space="preserve">შეიძინეთ კომპრესორი REMEZA SB4/F-500.LТ100/11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</si>
  <si>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პორტატული ელექტროსადგური EcoFlow DELTA Pro</t>
  </si>
  <si>
    <t xml:space="preserve">13044650</t>
  </si>
  <si>
    <t xml:space="preserve">https://superi.ge/ecoflow-delta-pro/</t>
  </si>
  <si>
    <t xml:space="preserve">წარმოგიდგენთ მსოფლიოში პირველ პორტატულ სახლის ბატარეას გაფართოებადი ეკოსისტემითსახლის სარეზერვო ასლისთვის ენერგიის ჭკვიანი მართვისთვის ენერგიის დაბალიგადასახადე...</t>
  </si>
  <si>
    <t xml:space="preserve">შეიძინეთ პორტატული ელექტროსადგური EcoFlow DELTA Pro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</si>
  <si>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BOSCH KAD93VBFP</t>
  </si>
  <si>
    <t xml:space="preserve">I91295</t>
  </si>
  <si>
    <t xml:space="preserve">https://superi.ge/bosch-kad93vbfp/</t>
  </si>
  <si>
    <t xml:space="preserve">• ტიპი Side-by-Side • მართვის ტიპი ელექტრონული / სენსორული • საერთო სასარგებლო მოცულობა 533 ლ • მაცივრის კამერის სასარგებლო მოცულობა 370 ლ • საყინულე კამერის სა...</t>
  </si>
  <si>
    <t xml:space="preserve">შეიძინეთ მაცივარი BOSCH KAD93VBFP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</si>
  <si>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კომპრესორი REMEZA SB4/F-500.LТ100</t>
  </si>
  <si>
    <t xml:space="preserve">179130</t>
  </si>
  <si>
    <t xml:space="preserve">https://superi.ge/remeza-sb4-f-500-lt100/</t>
  </si>
  <si>
    <t xml:space="preserve">• რესივერის მოცულობა 500 ლ • ძაბვა 380 V • ნომინალური სიმძლავრე 7 5 Kw • წარმადობა 1400 ლ/წთ • მაქსიმალური წნევა 10 bar ფიზიკური პარამეტრები • ზომა 2000 x 610 x...</t>
  </si>
  <si>
    <t xml:space="preserve">შეიძინეთ კომპრესორი REMEZA SB4/F-500.LТ100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</si>
  <si>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MITSUBISHI MSZ-EF50VE3W-ER2/MUZ-EF50VE-ER3</t>
  </si>
  <si>
    <t xml:space="preserve">178666</t>
  </si>
  <si>
    <t xml:space="preserve">https://superi.ge/mitsubishi-msz-ef50ve3w-er2-muz-ef50ve-er3/</t>
  </si>
  <si>
    <t xml:space="preserve">• ტიპი კედლის სპლიტ სისტემა • ძირითადი რეჟიმები გაგრილება გათბობა • რეკომენდირებული ფართი 50 მ² -მდე • გაგრილების სიმძლავრე 5000 W • გათბობის სიმძლავრე 5800 W •...</t>
  </si>
  <si>
    <t xml:space="preserve">შეიძინეთ კონდიციონერი MITSUBISHI MSZ-EF50VE3W-ER2/MUZ-EF50VE-ER3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</si>
  <si>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გენერატორი დიზელის Konner&amp;Sohnen KS 9100HDE-1/3 ATSR 7.5 kW</t>
  </si>
  <si>
    <t xml:space="preserve">08043047</t>
  </si>
  <si>
    <t xml:space="preserve">https://superi.ge/konner-and-sohnen-ks-9100hde-1-3-atsr-7-5-kw/</t>
  </si>
  <si>
    <t xml:space="preserve">ძრავის მაღალი სიმძლავრე საშუალებას გაძლევთ მიიღოთ მითითებული სიმძლავრე და შეინარჩუნოთსტაბილური მუშაობა ნებისმიერი დატვირთვის პირობებში ბლოკი ATS ავტომატური გადა...</t>
  </si>
  <si>
    <t xml:space="preserve">შეიძინეთ გენერატორი დიზელის Konner&amp;Sohnen KS 9100HDE-1/3 ATSR 7.5 kW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</si>
  <si>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MITSUBISHI MSZ-LN35VGR/MUZ-LN35VG</t>
  </si>
  <si>
    <t xml:space="preserve">178672</t>
  </si>
  <si>
    <t xml:space="preserve">https://superi.ge/mitsubishi-msz-ln35vgr-muz-ln35vg/</t>
  </si>
  <si>
    <t xml:space="preserve">• ტიპი კედლის სპლიტ სისტემა • ძირითადი რეჟიმები გაგრილება გათბობა • რეკომენდირებული ფართი 35 მ² -მდე • გაგრილების სიმძლავრე 3500 W • გათბობის სიმძლავრე 4000 W •...</t>
  </si>
  <si>
    <t xml:space="preserve">შეიძინეთ კონდიციონერი MITSUBISHI MSZ-LN35VGR/MUZ-LN35VG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</si>
  <si>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გენერატორი დიზელის Konner&amp;Sohnen KS 8100HDE-1/3 ATSR 6.5kW</t>
  </si>
  <si>
    <t xml:space="preserve">08043089</t>
  </si>
  <si>
    <t xml:space="preserve">https://superi.ge/konner-and-sohnen-ks-8100hde-1-3-atsr-6-5kw/</t>
  </si>
  <si>
    <t xml:space="preserve">უნიკალური ინოვაციური ფაზების გადართვის სისტემა VTS Voltage Transfer Switch იგივე სიმძლავრითერთფაზიანი 230V და სამფაზიანი 400V მომხმარებლებისთვის თითოეულ რეჟიმს ...</t>
  </si>
  <si>
    <t xml:space="preserve">შეიძინეთ გენერატორი დიზელის Konner&amp;Sohnen KS 8100HDE-1/3 ATSR 6.5kW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</si>
  <si>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AUX ASF-H60A5/APAR1 (155-180მ²)</t>
  </si>
  <si>
    <t xml:space="preserve">H60A5</t>
  </si>
  <si>
    <t xml:space="preserve">https://superi.ge/aux-asf-h60a5-apar1-155-180/</t>
  </si>
  <si>
    <t xml:space="preserve">• ტიპი კოლონური სპლიტ სისტემა • ძირითადი რეჟიმები გაგრილება გათბობა • რეკომენდირებული ფართი 155-180 მ² -მდე • სიმძლავრე გაგრილების რეჟიმში 56300 BTU/სთ • სიმძლა...</t>
  </si>
  <si>
    <t xml:space="preserve">შეიძინეთ კონდიციონერი AUX ASF-H60A5/APAR1 (155-180მ²)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</si>
  <si>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ნოუთბუქი ASUS TUF A16 16'' FHD+ 165Hz (FA608PM-RV040W) Jaeger Gray</t>
  </si>
  <si>
    <t xml:space="preserve">S36425</t>
  </si>
  <si>
    <t xml:space="preserve">https://superi.ge/notebook-asustek-tuf-a16-16-fhd-165hz-ryzen-9-8940hx-16gb-512gb-ssd-rtx-5060-8gb-win-11-home-jaeger-gray/</t>
  </si>
  <si>
    <t xml:space="preserve">ზოგადი ინფორმაცია • ბრენდი ASUS • მოდელი FA608PM-RV040W • სერია TUF Gaming A16 • ტიპი გეიმინგ ლეპტოპი • ოპერაციული სისტემა Windows 11 Home ძირითადი მახასიათებლე...</t>
  </si>
  <si>
    <t xml:space="preserve">შეიძინეთ ნოუთბუქი ASUS TUF A16 16'' FHD+ 165Hz (FA608PM-RV040W) Jaeger Gray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</si>
  <si>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SONY KD-75X75WL (191სმ)</t>
  </si>
  <si>
    <t xml:space="preserve">239344</t>
  </si>
  <si>
    <t xml:space="preserve">https://superi.ge/sony-kd-75x75wl-191/</t>
  </si>
  <si>
    <t xml:space="preserve">• ტელევიზორის კლასი LED • ეკრანის დიაგონალი 75 191 სმ • ეკრანის გაფართოება 4K UHD 3840 x 2160 • SMART ტექნოლოგია კი • ოპერაციული სისტემა Google TV™ ვიდეო • გამო...</t>
  </si>
  <si>
    <t xml:space="preserve">შეიძინეთ ტელევიზორი SONY KD-75X75WL (191სმ)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</si>
  <si>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AEG RMB76121NX</t>
  </si>
  <si>
    <t xml:space="preserve">124070</t>
  </si>
  <si>
    <t xml:space="preserve">https://superi.ge/aeg-rmb76121nx/</t>
  </si>
  <si>
    <t xml:space="preserve">• ტიპი Side-by-Side • მართვის ტიპი ელექტრონული • საერთო სასარგებლო მოცულობა 549 ლ • მაცივრის კამერის სასარგებლო მოცულობა 370 ლ • საყინულე კამერის სასარგებლო მოც...</t>
  </si>
  <si>
    <t xml:space="preserve">შეიძინეთ მაცივარი AEG RMB76121NX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</si>
  <si>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BOSCH KFN96VPEA</t>
  </si>
  <si>
    <t xml:space="preserve">S18666</t>
  </si>
  <si>
    <t xml:space="preserve">https://superi.ge/bosch-kfn96vpea/</t>
  </si>
  <si>
    <t xml:space="preserve">• ტიპი Side-by-Side • მართვის ტიპი სენსორული • საერთო სასარგებლო მოცულობა 605 ლ • მაცივრის კამერის სასარგებლო მოცულობა 400 ლ • საყინულე კამერის სასარგებლო მოცულ...</t>
  </si>
  <si>
    <t xml:space="preserve">შეიძინეთ მაცივარი BOSCH KFN96VPEA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</si>
  <si>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კომპრესორი REMEZA SB4/F-500.LB75</t>
  </si>
  <si>
    <t xml:space="preserve">179129</t>
  </si>
  <si>
    <t xml:space="preserve">https://superi.ge/remeza-sb4-f-500-lb75/</t>
  </si>
  <si>
    <t xml:space="preserve">• რესივერის მოცულობა 500 ლ • ძაბვა 380 V • ნომინალური სიმძლავრე 5 5 Kw • წარმადობა 950 ლ/წთ • მაქსიმალური წნევა 10 bar ფიზიკური პარამეტრები • ზომა 2000 x 610 x ...</t>
  </si>
  <si>
    <t xml:space="preserve">შეიძინეთ კომპრესორი REMEZA SB4/F-500.LB75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</si>
  <si>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ნოუთბუქი ASUS TUF Gaming F16 16'' FHD+ 165Hz I(FX608JMI-TU394W) Jaeger Gray</t>
  </si>
  <si>
    <t xml:space="preserve">S15136</t>
  </si>
  <si>
    <t xml:space="preserve">https://superi.ge/notebook-asustek-asus-tuf-gaming-f16-16-fhd-165hz-i7-14650hx-16gb-512gb-rtx-5060-win-11-home-jaeger-gray/</t>
  </si>
  <si>
    <t xml:space="preserve">ზოგადი ინფორმაცია • ბრენდი ASUS • მოდელი FX608JMI-TU394W • სერია TUF Gaming F16 • ტიპი გეიმინგ ლეპტოპი • ოპერაციული სისტემა Windows 11 Home ძირითადი მახასიათებლ...</t>
  </si>
  <si>
    <t xml:space="preserve">შეიძინეთ ნოუთბუქი ASUS TUF Gaming F16 16'' FHD+ 165Hz I(FX608JMI-TU394W) Jaeger Gray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</si>
  <si>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ჩასაშენებელი ღუმელი BOSCH HBG974LB1</t>
  </si>
  <si>
    <t xml:space="preserve">S54975</t>
  </si>
  <si>
    <t xml:space="preserve">https://superi.ge/bosch-hbg974lb1/</t>
  </si>
  <si>
    <t xml:space="preserve">• ღუმელის ტიპი: ელექტრო • სერია: Serie | 8 • მოდელი: HBG974LB1 • მართვის ტიპი: სენსორული • მოცულობა: 71 ლ • TFT სენსორული დისპლეი • ენერგოეფექტურობის კლასი: A+ • წმენდის ტიპი: ჰიდროლიზური</t>
  </si>
  <si>
    <t xml:space="preserve">შეიძინეთ ჩასაშენებელი ღუმელი BOSCH HBG974LB1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</si>
  <si>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ჩასაშენებელი ღუმელი BOSCH HBG8764C1</t>
  </si>
  <si>
    <t xml:space="preserve">I88745</t>
  </si>
  <si>
    <t xml:space="preserve">https://superi.ge/bosch-hbg8764c1/</t>
  </si>
  <si>
    <t xml:space="preserve">• ღუმელის ტიპი: ელექტრო • სერია: 8 • მართვის ტიპი: სენსორული • მოცულობა: 71 ლ • ტემპერატურის დიაპაზონი: 50-270°C • TFT სენსორული დისპლეი</t>
  </si>
  <si>
    <t xml:space="preserve">შეიძინეთ ჩასაშენებელი ღუმელი BOSCH HBG8764C1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</si>
  <si>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MITSUBISHI MSZ-DM60VA-ER1/MUZ-DM60VA-ER1</t>
  </si>
  <si>
    <t xml:space="preserve">178656</t>
  </si>
  <si>
    <t xml:space="preserve">https://superi.ge/mitsubishi-msz-dm60va-er1-muz-dm60va-er1/</t>
  </si>
  <si>
    <t xml:space="preserve">• ტიპი კედლის სპლიტ სისტემა • ძირითადი რეჟიმები გაგრილება გათბობა • რეკომენდირებული ფართი 60 მ² -მდე • გაგრილების სიმძლავრე 6100 W • გათბობის სიმძლავრე 6800 W •...</t>
  </si>
  <si>
    <t xml:space="preserve">შეიძინეთ კონდიციონერი MITSUBISHI MSZ-DM60VA-ER1/MUZ-DM60VA-ER1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</si>
  <si>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ჩასაშენებელი სარეცხის საშრობი მანქანა BOSCH WKD28543EU (7/4 კგ)</t>
  </si>
  <si>
    <t xml:space="preserve">S90572</t>
  </si>
  <si>
    <t xml:space="preserve">https://superi.ge/bosch-wkd28543eu-7-4/</t>
  </si>
  <si>
    <t xml:space="preserve">• ბრენდი Bosch • მოდელი WKD28543EU • პროდუქტის ტიპი ჩასაშენებელი • მაქსიმალური ჩატვირთვა 7 კგ • შრობის მოცულობა 4 კგ • მაქსიმალური ბრუნი წურვისას 1400 • ჩატვირთ...</t>
  </si>
  <si>
    <t xml:space="preserve">შეიძინეთ ჩასაშენებელი სარეცხის საშრობი მანქანა BOSCH WKD28543EU (7/4 კგ)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</si>
  <si>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კომპრესორი REMEZA SB4/С-270.АВ858</t>
  </si>
  <si>
    <t xml:space="preserve">175632</t>
  </si>
  <si>
    <t xml:space="preserve">https://superi.ge/remeza-sb4-s-270-av858/</t>
  </si>
  <si>
    <t xml:space="preserve">• რესივერის მოცულობა 270 ლ • ძაბვა 380 V • ნომინალური სიმძლავრე 5 5 Kw • წარმადობა 850 ლ/წთ • მაქსიმალური წნევა 10 bar ფიზიკური პარამეტრები • ზომა 1650 x 660 x ...</t>
  </si>
  <si>
    <t xml:space="preserve">შეიძინეთ კომპრესორი REMEZA SB4/С-270.АВ858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</si>
  <si>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MITSUBISHI MSZ-LN25VGR/MUZ-LN25VG</t>
  </si>
  <si>
    <t xml:space="preserve">178667</t>
  </si>
  <si>
    <t xml:space="preserve">https://superi.ge/mitsubishi-msz-ln25vgr-muz-ln25vg/</t>
  </si>
  <si>
    <t xml:space="preserve">• ტიპი კედლის სპლიტ სისტემა • ძირითადი რეჟიმები გაგრილება გათბობა • რეკომენდირებული ფართი 25 მ² -მდე • გაგრილების სიმძლავრე 2500 W • გათბობის სიმძლავრე 3200 W •...</t>
  </si>
  <si>
    <t xml:space="preserve">შეიძინეთ კონდიციონერი MITSUBISHI MSZ-LN25VGR/MUZ-LN25VG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</si>
  <si>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ნოუთბუქი ASUS TUF Gaming F16 16'' FHD+ 144Hz (FX608JHI-TU272W) Jaeger Gray</t>
  </si>
  <si>
    <t xml:space="preserve">S47497</t>
  </si>
  <si>
    <t xml:space="preserve">https://superi.ge/notebook-asustek-asus-tuf-gaming-f16-16-fhd-144hz-i7-14650hx-16gb-512gb-rtx-5050-win-11-home-jaeger-gray/</t>
  </si>
  <si>
    <t xml:space="preserve">ზოგადი ინფორმაცია • ბრენდი ASUS • მოდელი FX608JHI-TU272W • სერია TUF Gaming F16 • ტიპი გეიმინგ ლეპტოპი • ოპერაციული სისტემა Windows 11 Home ძირითადი მახასიათებლ...</t>
  </si>
  <si>
    <t xml:space="preserve">შეიძინეთ ნოუთბუქი ASUS TUF Gaming F16 16'' FHD+ 144Hz (FX608JHI-TU272W) Jaeger Gray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</si>
  <si>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TCL 75C845 (191სმ)</t>
  </si>
  <si>
    <t xml:space="preserve">151369</t>
  </si>
  <si>
    <t xml:space="preserve">https://superi.ge/tcl-75c845-191/</t>
  </si>
  <si>
    <t xml:space="preserve">• ტელევიზორის კლასი Mini LED • ეკრანის დიაგონალი 75 191 სმ • ეკრანის გაფართოება 4K UHD 3840 x 2160 • ენერგიის მოხმარება მაქს 250 W • Smart ტექნოლოგია კი Vოპერაც...</t>
  </si>
  <si>
    <t xml:space="preserve">შეიძინეთ ტელევიზორი TCL 75C845 (191სმ)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</si>
  <si>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BOSCH KGN56LB31U</t>
  </si>
  <si>
    <t xml:space="preserve">S68673</t>
  </si>
  <si>
    <t xml:space="preserve">https://superi.ge/bosch-kgn56lb31u/</t>
  </si>
  <si>
    <t xml:space="preserve">• ტიპი ორკამერიანი • საერთო სასარგებლო მოცულობა 505 ლ • მაცივრის კამერის სასარგებლო მოცულობა 400 ლ • საყინულე კამერის სასარგებლო მოცულობა 105 ლ • საყინულე კამერ...</t>
  </si>
  <si>
    <t xml:space="preserve">შეიძინეთ მაცივარი BOSCH KGN56LB31U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</si>
  <si>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ჩასაშენებელი მაცივარი ELECTROLUX ENP7TD75S</t>
  </si>
  <si>
    <t xml:space="preserve">ENP7TD75S</t>
  </si>
  <si>
    <t xml:space="preserve">https://superi.ge/electrolux-enp7td75s/</t>
  </si>
  <si>
    <t xml:space="preserve">• ტიპი ორკამერიანი • ძრავის ტიპი ინვერტორული • მართვის ტიპი ელექტრონული • საერთო სასარგებლო მოცულობა 376 ლ • მაცივრის კამერის სასარგებლო მოცულობა 287 ლ • საყინუ...</t>
  </si>
  <si>
    <t xml:space="preserve">შეიძინეთ ჩასაშენებელი მაცივარი ELECTROLUX ENP7TD75S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</si>
  <si>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კომპრესორი REMEZA SB4/F-270.LB75</t>
  </si>
  <si>
    <t xml:space="preserve">#P00008</t>
  </si>
  <si>
    <t xml:space="preserve">https://superi.ge/remeza-sb4-f-270-lb75/</t>
  </si>
  <si>
    <t xml:space="preserve">• რესივერის მოცულობა 270 ლ • ძაბვა 380 V • ნომინალური სიმძლავრე 5 5 Kw • წარმადობა 950 ლ/წთ • მაქსიმალური წნევა 10 bar ფიზიკური პარამეტრები • ზომა 1650 x 510 x ...</t>
  </si>
  <si>
    <t xml:space="preserve">შეიძინეთ კომპრესორი REMEZA SB4/F-270.LB75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</si>
  <si>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SAMSUNG UE75CU8000UXRU 75"</t>
  </si>
  <si>
    <t xml:space="preserve">231545</t>
  </si>
  <si>
    <t xml:space="preserve">https://superi.ge/samsung-ue75cu8000uxru-75/</t>
  </si>
  <si>
    <t xml:space="preserve">• ტელევიზორის კლასი LED • ეკრანის დიაგონალი 75 191 სმ • ეკრანის გაფართოება 4K UHD 3840x2160 • სერია 8 • ენერგოეფექტურობის კლასი A+ • Smart ტექნოლოგია კი • ოპერა...</t>
  </si>
  <si>
    <t xml:space="preserve">შეიძინეთ ტელევიზორი SAMSUNG UE75CU8000UXRU 75"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</si>
  <si>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GREE GWH24AUDXF-K6DNA1A INVERTER (75-80მ²)</t>
  </si>
  <si>
    <t xml:space="preserve">65984712322</t>
  </si>
  <si>
    <t xml:space="preserve">https://superi.ge/gree-gwh24audxf-k6dna1a-inverter-75-80/</t>
  </si>
  <si>
    <t xml:space="preserve">ტიპი კედლის სპლიტ სისტემარეკომენდებული ფართი 75 -80 მ²ენერგო ეფექტურობის კლასი A++ფრეონის ტიპი R32რეჟიმი გაგრილება / გათბობაენერგო მოხმარება გაგრილების დროს 7 1...</t>
  </si>
  <si>
    <t xml:space="preserve">შეიძინეთ კონდიციონერი GREE GWH24AUDXF-K6DNA1A INVERTER (75-80მ²)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</si>
  <si>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SAMSUNG RS64R5331B4/WT</t>
  </si>
  <si>
    <t xml:space="preserve">I68632</t>
  </si>
  <si>
    <t xml:space="preserve">https://superi.ge/samsung-rs64r5331b4-wt/</t>
  </si>
  <si>
    <t xml:space="preserve">• ტიპი Side-By-Side • საერთო სასარგებლო მოცულობა 617 ლ • მაცივრის კამერის სასარგებლო მოცულობა 415 ლ • საყინულე კამერის სასარგებლო მოცულობა 202 ლ • საყინულე კამე...</t>
  </si>
  <si>
    <t xml:space="preserve">შეიძინეთ მაცივარი SAMSUNG RS64R5331B4/WT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</si>
  <si>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TOSHIBA GR-RF532WE-PMJ (06)</t>
  </si>
  <si>
    <t xml:space="preserve">214043</t>
  </si>
  <si>
    <t xml:space="preserve">https://superi.ge/toshiba-gr-rf532we-pmj-06/</t>
  </si>
  <si>
    <t xml:space="preserve">• ტიპი Side-by-side • მართვის ტიპი ელექტრონული • საერთო მოცულობა 500 ლ • მაცივრის კამერის სასარგებლო მოცულობა 335 ლ • საყინულის სასარგებლო მოცულობა 165 ლ • საყი...</t>
  </si>
  <si>
    <t xml:space="preserve">შეიძინეთ მაცივარი TOSHIBA GR-RF532WE-PMJ (06)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</si>
  <si>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BEKO GN 1416231 JXN</t>
  </si>
  <si>
    <t xml:space="preserve">SA0000008048</t>
  </si>
  <si>
    <t xml:space="preserve">https://superi.ge/beko-gn-1416231-jxn/</t>
  </si>
  <si>
    <t xml:space="preserve">• ტიპი Side-by-Side • მართვის ტიპი ელექტრონული • საერთო მოცულობა 626 ლ • მაცივრის მოცულობა 541 ლ • საყინულე კამერის მოცულობა 165 ლ • საყინულე კამერის განლაგება ...</t>
  </si>
  <si>
    <t xml:space="preserve">შეიძინეთ მაცივარი BEKO GN 1416231 JXN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</si>
  <si>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BOSCH KGN56LW31U</t>
  </si>
  <si>
    <t xml:space="preserve">I90187</t>
  </si>
  <si>
    <t xml:space="preserve">https://superi.ge/bosch-kgn56lw31u/</t>
  </si>
  <si>
    <t xml:space="preserve">შეიძინეთ მაცივარი BOSCH KGN56LW31U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</si>
  <si>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ჩასაშენებელი მაცივარი BOSCH KIS87AF30U</t>
  </si>
  <si>
    <t xml:space="preserve">I85769</t>
  </si>
  <si>
    <t xml:space="preserve">https://superi.ge/bosch-kis87af30u/</t>
  </si>
  <si>
    <t xml:space="preserve">• ტიპი ორკამერიანი • საერთო სასარგებლო მოცულობა 270 ლ • საერთო მოცულობა 276 ლ • მაცივრის კამერის სასარგებლო მოცულობა 212 ლ • საყინულის მთლიანი მოცულობა 64 ლ • ს...</t>
  </si>
  <si>
    <t xml:space="preserve">შეიძინეთ ჩასაშენებელი მაცივარი BOSCH KIS87AF30U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</si>
  <si>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BOSCH KGD86AW31U</t>
  </si>
  <si>
    <t xml:space="preserve">I90103</t>
  </si>
  <si>
    <t xml:space="preserve">https://superi.ge/bosch-kgd86aw31u/</t>
  </si>
  <si>
    <t xml:space="preserve">• ტიპი ორკამერიანი • სერია 6 • საერთო სასარგებლო მოცულობა 619 ლ • მაცივრის კამერის სასარგებლო მოცულობა 496 ლ • საყინულის მთლიანი მოცულობა 186 ლ • საყინულე კამერ...</t>
  </si>
  <si>
    <t xml:space="preserve">შეიძინეთ მაცივარი BOSCH KGD86AW31U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</si>
  <si>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BOSCH KGN56CI30U</t>
  </si>
  <si>
    <t xml:space="preserve">I90708</t>
  </si>
  <si>
    <t xml:space="preserve">https://superi.ge/bosch-kgn56ci30u/</t>
  </si>
  <si>
    <t xml:space="preserve">შეიძინეთ მაცივარი BOSCH KGN56CI30U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</si>
  <si>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BOSCH KGN86AW32U</t>
  </si>
  <si>
    <t xml:space="preserve">I89231</t>
  </si>
  <si>
    <t xml:space="preserve">https://superi.ge/bosch-kgn86aw32u/</t>
  </si>
  <si>
    <t xml:space="preserve">შეიძინეთ მაცივარი BOSCH KGN86AW32U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</si>
  <si>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კომპრესორი REMEZA SB4/F-270.LB50</t>
  </si>
  <si>
    <t xml:space="preserve">#P00007</t>
  </si>
  <si>
    <t xml:space="preserve">https://superi.ge/remeza-sb4-f-270-lb50/</t>
  </si>
  <si>
    <t xml:space="preserve">• რესივერის მოცულობა 270 ლ • ძაბვა 380 V • ნომინალური სიმძლავრე 4 Kw • წარმადობა 690 ლ/წთ • მაქსიმალური წნევა 10 bar ფიზიკური პარამეტრები • ზომა 1650 x 510 x 11...</t>
  </si>
  <si>
    <t xml:space="preserve">შეიძინეთ კომპრესორი REMEZA SB4/F-270.LB50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</si>
  <si>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SAMSUNG RB38C7B6D39/WT BEIGE</t>
  </si>
  <si>
    <t xml:space="preserve">I95575</t>
  </si>
  <si>
    <t xml:space="preserve">https://superi.ge/samsung-rb38c7b6d39-wt-beige/</t>
  </si>
  <si>
    <t xml:space="preserve">მახასიათებლები • ჯამური მოცულობა 388 L • სამაცივრე განყოფილების ნეტტო მოცულობა 276 L • საყინულის სათავსოს ტევადობა 112 L მაცივრის მახასიათებლები • კლიმატის კლას...</t>
  </si>
  <si>
    <t xml:space="preserve">შეიძინეთ მაცივარი SAMSUNG RB38C7B6D39/WT BEIGE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</si>
  <si>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MIDEA MFYA-24FN1D0 INVERTER (80 მ²)</t>
  </si>
  <si>
    <t xml:space="preserve">S80754</t>
  </si>
  <si>
    <t xml:space="preserve">https://superi.ge/midea-mfya-24fn1d0-inverter-80/</t>
  </si>
  <si>
    <t xml:space="preserve">• ტიპი კოლონური სპლიტ სისტემა • ძირითადი რეჟიმები გაგრილება გათბობა • რეკომენდირებული ფართი 80 მ² -მდე • სიმძლავრე გაგრილების რეჟიმში 24000 BTU/სთ • სიმძლავრე გ...</t>
  </si>
  <si>
    <t xml:space="preserve">შეიძინეთ კონდიციონერი MIDEA MFYA-24FN1D0 INVERTER (80 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</si>
  <si>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BEKO GN1406223PX</t>
  </si>
  <si>
    <t xml:space="preserve">186843</t>
  </si>
  <si>
    <t xml:space="preserve">https://superi.ge/beko-gn1406223px/</t>
  </si>
  <si>
    <t xml:space="preserve">• ტიპი Side-by-Side • მართვის ტიპი ელექტრონული • საერთო სასარგებლო მოცულობა 541 ლ • მაცივრის კამერის სასარგებლო მოცულობა 376 ლ • საყინულე კამერის სასარგებლო მოც...</t>
  </si>
  <si>
    <t xml:space="preserve">შეიძინეთ მაცივარი BEKO GN1406223PX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</si>
  <si>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BOSCH KGN76CI30U</t>
  </si>
  <si>
    <t xml:space="preserve">I89230</t>
  </si>
  <si>
    <t xml:space="preserve">https://superi.ge/bosch-kgn76ci30u/</t>
  </si>
  <si>
    <t xml:space="preserve">• ტიპი ორკამერიანი • საერთო სასარგებლო მოცულობა 578 ლ • მაცივრის კამერის სასარგებლო მოცულობა 422 ლ • საყინულე კამერის სასარგებლო მოცულობა 156 ლ • ენერგოეფექტურო...</t>
  </si>
  <si>
    <t xml:space="preserve">შეიძინეთ მაცივარი BOSCH KGN76CI30U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</si>
  <si>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BOSCH WGB256A0ME (10კგ)</t>
  </si>
  <si>
    <t xml:space="preserve">I93629</t>
  </si>
  <si>
    <t xml:space="preserve">https://superi.ge/bosch-wgb256a0me-10/</t>
  </si>
  <si>
    <t xml:space="preserve">• ჩატვირთვის ტიპი ფრონტალური • სარეცხის მაქსიმალური ჩატვირთვა 10 კგ • ბრუნვის მაქსიმალური სიჩქარე 1600 ბრ/წთ • ენერგომოხმარების კლასი A+++ • მართვის ტიპი ელექტრ...</t>
  </si>
  <si>
    <t xml:space="preserve">შეიძინეთ სარეცხი მანქანა BOSCH WGB256A0ME (10კგ)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</si>
  <si>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TCL 85P745 (216სმ) R51MG8S-EU/GE</t>
  </si>
  <si>
    <t xml:space="preserve">239681</t>
  </si>
  <si>
    <t xml:space="preserve">https://superi.ge/tcl-85p745-216-r51mg8s-eu-ge/</t>
  </si>
  <si>
    <t xml:space="preserve">• ტელევიზორის კლასი LED TV • ეკრანის დიაგონალი 85 216 სმ • ეკრანის გაფართოება 4K UHD 3840 x 2160 • Smart ტექნოლოგია კი • ოპერაციული სისტემა Google TV ვიდეო • გა...</t>
  </si>
  <si>
    <t xml:space="preserve">შეიძინეთ ტელევიზორი TCL 85P745 (216სმ) R51MG8S-EU/GE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</si>
  <si>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MITSUBISHI MSZ-DM50VA-ER1/MUZ-DM50VA-ER</t>
  </si>
  <si>
    <t xml:space="preserve">178655</t>
  </si>
  <si>
    <t xml:space="preserve">https://superi.ge/mitsubishi-msz-dm50va-er1-muz-dm50va-er/</t>
  </si>
  <si>
    <t xml:space="preserve">• ტიპი კედლის სპლიტ სისტემა • ძირითადი რეჟიმები გაგრილება გათბობა • რეკომენდირებული ფართი 50 მ² -მდე • გაგრილების სიმძლავრე 5000 W • გათბობის სიმძლავრე 5400 W •...</t>
  </si>
  <si>
    <t xml:space="preserve">შეიძინეთ კონდიციონერი MITSUBISHI MSZ-DM50VA-ER1/MUZ-DM50VA-ER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</si>
  <si>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ხელის ტრაქტორი ROYAL TURBO RT190F 15HP</t>
  </si>
  <si>
    <t xml:space="preserve">228245</t>
  </si>
  <si>
    <t xml:space="preserve">https://superi.ge/royal-turbo-rt190f-15hp/</t>
  </si>
  <si>
    <t xml:space="preserve">• ტიპი მოტობლოკი • საწვავის ტიპი ბენზინი • ძრავი 190 F • ძრავის სიმძლავრე 15 ცხ ძალა/3600 ბრუნი • ხვნის სიგანე 1400 მმ • ხვნის სიღრმე 15-30 სმ • წონა 162 კგ • თ...</t>
  </si>
  <si>
    <t xml:space="preserve">შეიძინეთ ხელის ტრაქტორი ROYAL TURBO RT190F 15HP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</si>
  <si>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გენერატორი AL-KO 6500 D-C</t>
  </si>
  <si>
    <t xml:space="preserve">08041422</t>
  </si>
  <si>
    <t xml:space="preserve">https://superi.ge/al-ko-6500-d-c/</t>
  </si>
  <si>
    <t xml:space="preserve">ზოგადი ინფორმაცია • ბრენდი AL-KO • მოდელი 6500 D-C • სერია Comfort • ტიპი ბენზინის გენერატორი • ძრავის ტიპი 4-ტაქტიანი ერთცილინდრიანი • საწვავის ტიპი ბენზინი ძი...</t>
  </si>
  <si>
    <t xml:space="preserve">შეიძინეთ გენერატორი AL-KO 6500 D-C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</si>
  <si>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GREE GWH28AGE-K3NNA1A (90-100 მ²)</t>
  </si>
  <si>
    <t xml:space="preserve">232804</t>
  </si>
  <si>
    <t xml:space="preserve">https://superi.ge/gree-gwh28age-k3nna1a-90-100/</t>
  </si>
  <si>
    <t xml:space="preserve">• ტიპი კედლის სპლიტ სისტემა • რეკომენდებული ფართი 90-100 მ² -მდე • ენერგო მოხმარება გაგრილების დროს 2 64 kW • ენერგო მოხმარება გათბობის დროს 2 54 kW • სიმძლავრე...</t>
  </si>
  <si>
    <t xml:space="preserve">შეიძინეთ კონდიციონერი GREE GWH28AGE-K3NNA1A (90-100 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</si>
  <si>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BOSCH KDD86AI304</t>
  </si>
  <si>
    <t xml:space="preserve">I93711</t>
  </si>
  <si>
    <t xml:space="preserve">https://superi.ge/bosch-kdd86ai304/</t>
  </si>
  <si>
    <t xml:space="preserve">• ბრენდი Bosch • მოდელი KDD86AI304 • პროდუქტის ტიპი მაცივარი • ინსტალაციის ტიპი ცალკე მდგომი • საყინულის განგალება ზედა • მუშაობის პრინციპი მშრალი ყინვა • ხმაურ...</t>
  </si>
  <si>
    <t xml:space="preserve">შეიძინეთ მაცივარი BOSCH KDD86AI304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</si>
  <si>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LG 65QNED816RA (165სმ)</t>
  </si>
  <si>
    <t xml:space="preserve">00006</t>
  </si>
  <si>
    <t xml:space="preserve">https://superi.ge/lg-65qned816ra-165/</t>
  </si>
  <si>
    <t xml:space="preserve">• ტელევიზორის კლასი QNED • ტიპი UHD TV • ეკრანის დიაგონალი 65 165 სმ • ეკრანის გაფართოება 4K 3840 x 2160 • Smart ტექნოლოგია კი • ოპერაციული სისტემა webOS 23 ვიდ...</t>
  </si>
  <si>
    <t xml:space="preserve">შეიძინეთ ტელევიზორი LG 65QNED816RA (165სმ)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</si>
  <si>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ჩასაშენებელი საყინულე BOSCH GIN81AEF0U</t>
  </si>
  <si>
    <t xml:space="preserve">S50394</t>
  </si>
  <si>
    <t xml:space="preserve">https://superi.ge/bosch-gin81aef0u/</t>
  </si>
  <si>
    <t xml:space="preserve">• ბრენდი Bosch • მოდელი GIN81AEF0U • პროდუქტის ტიპი საყინულე მაცივარი • სერია Series 6 • ტიპი ჩასაშენებელი • მაცივრის სტილი ერთკარიანი • მუშაობის პრინციპი მშრალ...</t>
  </si>
  <si>
    <t xml:space="preserve">შეიძინეთ ჩასაშენებელი საყინულე BOSCH GIN81AEF0U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</si>
  <si>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კომპრესორი REMEZA SB4/С-200.АВ515</t>
  </si>
  <si>
    <t xml:space="preserve">175633</t>
  </si>
  <si>
    <t xml:space="preserve">https://superi.ge/remeza-sb4-s-200-av515/</t>
  </si>
  <si>
    <t xml:space="preserve">• რესივერის მოცულობა 200 ლ • ძაბვა 380 V • ნომინალური სიმძლავრე 3 Kw • წარმადობა 515 ლ/წთ • მაქსიმალური წნევა 10 bar ფიზიკური პარამეტრები • ზომა 1460 x 640 x 11...</t>
  </si>
  <si>
    <t xml:space="preserve">შეიძინეთ კომპრესორი REMEZA SB4/С-200.АВ515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</si>
  <si>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GREE GWH24AGD-K6DNA1C INVERTER (75-80მ²)</t>
  </si>
  <si>
    <t xml:space="preserve">111028</t>
  </si>
  <si>
    <t xml:space="preserve">https://superi.ge/gree-gwh24agd-k6dna1c-inverter-75-80/</t>
  </si>
  <si>
    <t xml:space="preserve">ტიპი კედლის სპლიტ სისტემა რეკომენდებული ფართი 75-80 მ² ენერგო ეფექტურობის კლასი A++ ფრეონის ტიპი R32 რეჟიმი გაგრილება / გათბობა ენერგო მოხმარება გაგრილების დროს...</t>
  </si>
  <si>
    <t xml:space="preserve">შეიძინეთ კონდიციონერი GREE GWH24AGD-K6DNA1C INVERTER (75-80მ²)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</si>
  <si>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TCL 75C745 (191 სმ)</t>
  </si>
  <si>
    <t xml:space="preserve">160361</t>
  </si>
  <si>
    <t xml:space="preserve">https://superi.ge/tcl-75c745-191/</t>
  </si>
  <si>
    <t xml:space="preserve">• ტელევიზორის კლასი QLED • ეკრანის დიაგონალი 75 191 სმ • ეკრანის გაფართოება 4K UHD 3840 x 2160 • Smart ტექნოლოგია კი • ოპერაციული სისტემა Google TV ვიდეო • HDR ...</t>
  </si>
  <si>
    <t xml:space="preserve">შეიძინეთ ტელევიზორი TCL 75C745 (191 სმ)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</si>
  <si>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ხელის ტრაქტორი HYUNDAI HY1100C-6 7 HP</t>
  </si>
  <si>
    <t xml:space="preserve">207699</t>
  </si>
  <si>
    <t xml:space="preserve">https://superi.ge/hyundai-hy1100c-6-7-hp/</t>
  </si>
  <si>
    <t xml:space="preserve">• ტიპი მოტობლოკი სათიბის საკიდი მექანიზმით • საწვავის ტიპი ბენზინი • სტარტი ხელით • ძრავი 170 F • ცილინდრის მოცულობა 212 cc • სიჩქარეების რაოდენობა 6 4 წინ 2 უკ...</t>
  </si>
  <si>
    <t xml:space="preserve">შეიძინეთ ხელის ტრაქტორი HYUNDAI HY1100C-6 7 HP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</si>
  <si>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BOSCH KGN56XW30U</t>
  </si>
  <si>
    <t xml:space="preserve">I94810</t>
  </si>
  <si>
    <t xml:space="preserve">https://superi.ge/bosch-kgn56xw30u/</t>
  </si>
  <si>
    <t xml:space="preserve">შეიძინეთ მაცივარი BOSCH KGN56XW30U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</si>
  <si>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BOSCH WGB2440XME (9კგ)</t>
  </si>
  <si>
    <t xml:space="preserve">I93719</t>
  </si>
  <si>
    <t xml:space="preserve">https://superi.ge/bosch-wgb2440xme-9/</t>
  </si>
  <si>
    <t xml:space="preserve">• ჩატვირთვის ტიპი ფრონტალური • მაქსიმალური ჩატვირთვა 9 კგ • ენერგო ეფექტურობის კლასი A+++ • ეკრანი LED • ბრუნვის მაქსიმალური სიჩქარე 1400 ბრ/წთ • ხმაურის დონე 4...</t>
  </si>
  <si>
    <t xml:space="preserve">შეიძინეთ სარეცხი მანქანა BOSCH WGB2440XME (9კგ)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</si>
  <si>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BOSCH WGB2560XME (10KG)</t>
  </si>
  <si>
    <t xml:space="preserve">I93695</t>
  </si>
  <si>
    <t xml:space="preserve">https://superi.ge/bosch-wgb2560xme-10kg/</t>
  </si>
  <si>
    <t xml:space="preserve">ბრენდი Boschმოდელი WGB2560XMEპროდუქტის ტიპი სარეცხი მანქანამაქსიმალური ჩატვირთვა 10 კგმაქსიმალური ბრუნი წურვისას 1600ეკრანი TFTენერგო ეფექტურობის კლასი Aპროგრამ...</t>
  </si>
  <si>
    <t xml:space="preserve">შეიძინეთ სარეცხი მანქანა BOSCH WGB2560XME (10KG)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</si>
  <si>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ფოტოაპარატი CANON EOS R10 RF-S 18-45MM IS STM 5331C047AA BLACK</t>
  </si>
  <si>
    <t xml:space="preserve">Z-030319</t>
  </si>
  <si>
    <t xml:space="preserve">ტექნიკა &gt; TV-ფოტო-ვიდეო &gt; ფოტოაპარატები</t>
  </si>
  <si>
    <t xml:space="preserve">https://superi.ge/canon-eos-r10-rf-s-18-45mm-is-stm-5331c047aa-black/</t>
  </si>
  <si>
    <t xml:space="preserve">• ტიპი DSLR • ეფექტური პიქსელების რაოდენობა 24 2 MP • პროცესორი DIGIC X გამოსახულება • ლინზის თავსებადობა RF built-in support for RF and RF-S lenses EF and EF-S...</t>
  </si>
  <si>
    <t xml:space="preserve">შეიძინეთ ფოტოაპარატი CANON EOS R10 RF-S 18-45MM IS STM 5331C047AA BLACK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</si>
  <si>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ჭურჭლის სარეცხი მანქანა BOSCH SMV6ECX51E</t>
  </si>
  <si>
    <t xml:space="preserve">I74146</t>
  </si>
  <si>
    <t xml:space="preserve">https://superi.ge/bosch-smv6ecx51e/</t>
  </si>
  <si>
    <t xml:space="preserve">• ტიპი ჩასაშენებელი • მართვის ტიპი სენსორული • ტევადობა 13 კომპლექტი • წყლის მოხმარება 9 5 ლ • ხმაურის დონე 44 dB A პროგრამები • ტემპერატურის რეჟიმი 8 • დელიკატ...</t>
  </si>
  <si>
    <t xml:space="preserve">შეიძინეთ ჭურჭლის სარეცხი მანქანა BOSCH SMV6ECX51E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</si>
  <si>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კომპრესორი REMEZA SB4/С-100.LB40</t>
  </si>
  <si>
    <t xml:space="preserve">175628</t>
  </si>
  <si>
    <t xml:space="preserve">https://superi.ge/remeza-sb4-s-100-lb40/</t>
  </si>
  <si>
    <t xml:space="preserve">• რესივერის მოცულობა 100 ლ • ძაბვა 380 V • ნომინალური სიმძლავრე 3 Kw • წარმადობა 580 ლ/წთ • მაქსიმალური წნევა 10 bar ფიზიკური პარამეტრები • ზომა 1150 x 500 x 10...</t>
  </si>
  <si>
    <t xml:space="preserve">შეიძინეთ კომპრესორი REMEZA SB4/С-100.LB40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</si>
  <si>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ნოუთბუქი ASUS TUF Gaming A15 15.6'' FHD 144Hz (FA506NCG-HN375W) Graphite Black</t>
  </si>
  <si>
    <t xml:space="preserve">S86922</t>
  </si>
  <si>
    <t xml:space="preserve">https://superi.ge/notebook-asustek-asus-tuf-gaming-a15-15-6-fhd-144hz-ryzen-7-8845hs-8gb-512gb-ssd-rtx-3050-win-11-home-graphite-black/</t>
  </si>
  <si>
    <t xml:space="preserve">ზოგადი ინფორმაცია • ბრენდი Asus • მოდელი FA506NCG-HN375W • სერია TUF Gaming A15 • ტიპი გეიმინგ ლეპტოპი • ოპერაციული სისტემა Windows 11 Home ძირითადი მახასიათებლ...</t>
  </si>
  <si>
    <t xml:space="preserve">შეიძინეთ ნოუთბუქი ASUS TUF Gaming A15 15.6'' FHD 144Hz (FA506NCG-HN375W) Graphite Black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</si>
  <si>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SAMSUNG QE55Q70DAUXRU</t>
  </si>
  <si>
    <t xml:space="preserve">I94107</t>
  </si>
  <si>
    <t xml:space="preserve">https://superi.ge/samsung-qe55q70dauxru/</t>
  </si>
  <si>
    <t xml:space="preserve">• ეკრანის ტიპი QLED • ეკრანის დიაგონალი 55 140 სმ • ეკრანის გაფართოება 4K UHD 3840 x 2160 • სეირა 7 • Smart ტექნოლოგია კი ვიდეო • სიხშირე 100 Hz • გამოსახულების...</t>
  </si>
  <si>
    <t xml:space="preserve">შეიძინეთ ტელევიზორი SAMSUNG QE55Q70DAUXRU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</si>
  <si>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BOSCH KGN49LB30U</t>
  </si>
  <si>
    <t xml:space="preserve">I68569</t>
  </si>
  <si>
    <t xml:space="preserve">https://superi.ge/bosch-kgn49lb30u/</t>
  </si>
  <si>
    <t xml:space="preserve">• ტიპი ორკამერიანი • მართვის ტიპი ელექტრონული • საერთო სასარგებლო მოცულობა 435 ლ • მაცივრის კამერის სასარგებლო მოცულობა 330 ლ • საყინულე კამერის სასარგებლო მოცუ...</t>
  </si>
  <si>
    <t xml:space="preserve">შეიძინეთ მაცივარი BOSCH KGN49LB30U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</si>
  <si>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BOSCH WAV28MX0ME (9კგ)</t>
  </si>
  <si>
    <t xml:space="preserve">I69416</t>
  </si>
  <si>
    <t xml:space="preserve">https://superi.ge/bosch-wav28mx0me-9/</t>
  </si>
  <si>
    <t xml:space="preserve">შეიძინეთ სარეცხი მანქანა BOSCH WAV28MX0ME (9კგ)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</si>
  <si>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LG 75NU850B6LA 75" (189სმ)</t>
  </si>
  <si>
    <t xml:space="preserve">S62500</t>
  </si>
  <si>
    <t xml:space="preserve">https://superi.ge/lg-75nu850b6la-75-189/</t>
  </si>
  <si>
    <t xml:space="preserve">ზოგადი ინფორმაცია • ბრენდი LG • მოდელი 75NU850B6LA • ტიპი Smart TV ტელევიზორი • გამოშვების წელი 2026 • ოპერაციული სისტემა webOS 26 • Smart TV მხარდაჭერა დიახ ძი...</t>
  </si>
  <si>
    <t xml:space="preserve">შეიძინეთ ტელევიზორი LG 75NU850B6LA 75" (189სმ)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</si>
  <si>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TCL 85C655/TC80G1T-AP (217სმ)</t>
  </si>
  <si>
    <t xml:space="preserve">154186</t>
  </si>
  <si>
    <t xml:space="preserve">https://superi.ge/tcl-85c655-tc80g1t-ap-217/</t>
  </si>
  <si>
    <t xml:space="preserve">ზოგადი ინფორმაცია • ბრენდი TCL • მოდელი/PN 85C655/TC80T6T-AP/ KS9W28 • ტიპი QLED TV • დისტანციური მართვა დიახ • სპეციალური მახასიათებლები MEMC 60 Hz ეკრანი • დი...</t>
  </si>
  <si>
    <t xml:space="preserve">შეიძინეთ ტელევიზორი TCL 85C655/TC80G1T-AP (217სმ)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</si>
  <si>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ხელის მოტობლოკი ROYAL-2 R2 190F 15Hp ბენზ</t>
  </si>
  <si>
    <t xml:space="preserve">190F </t>
  </si>
  <si>
    <t xml:space="preserve">https://superi.ge/royal-2-r2-190f-15hp/</t>
  </si>
  <si>
    <t xml:space="preserve">• საწვავი ბენზინი • ძრავი 190F • დახვნის სიგანე 1100 მმ • დახვნის სიღრმე 150-300 მმ • მაქსიმალური სიმძლავრე 15ცხ ძალა/3600 ბრუნი • თოხები 32 ცალი • სტარტი ხელით...</t>
  </si>
  <si>
    <t xml:space="preserve">შეიძინეთ ხელის მოტობლოკი ROYAL-2 R2 190F 15Hp ბენზ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</si>
  <si>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GREE GWH18ACD-K6DNA1I INVERTER (55-60მ²)</t>
  </si>
  <si>
    <t xml:space="preserve">GWH18ACD</t>
  </si>
  <si>
    <t xml:space="preserve">https://superi.ge/gree-gwh18acd-k6dna1i-inverter-55-60/</t>
  </si>
  <si>
    <t xml:space="preserve">ტიპი კედლის სპლიტ სისტემა რეკომენდებული ფართი 55 -60 მ² ენერგო ეფექტურობის კლასი A++ ფრეონის ტიპი R32 რეჟიმი გაგრილება / გათბობა ენერგო მოხმარება გაგრილების დრო...</t>
  </si>
  <si>
    <t xml:space="preserve">შეიძინეთ კონდიციონერი GREE GWH18ACD-K6DNA1I INVERTER (55-60მ²)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</si>
  <si>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BOSCH KGN39LB30U</t>
  </si>
  <si>
    <t xml:space="preserve">S56395</t>
  </si>
  <si>
    <t xml:space="preserve">https://superi.ge/bosch-kgn39lb30u/</t>
  </si>
  <si>
    <t xml:space="preserve">• ტიპი ცალკე მდგომი • სერია 6 • მართვის ტიპი ელექტტრონული • საერთო სასარგებლო მოცულობა 400 ლ • მაცივრის კამერის სასარგებლო მოცულობა 290 ლ • საყინულე კამერის სას...</t>
  </si>
  <si>
    <t xml:space="preserve">შეიძინეთ მაცივარი BOSCH KGN39LB30U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</si>
  <si>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GORENJE NRM818FMB</t>
  </si>
  <si>
    <t xml:space="preserve">219589</t>
  </si>
  <si>
    <t xml:space="preserve">https://superi.ge/gorenje-nrm818fmb/</t>
  </si>
  <si>
    <t xml:space="preserve">• ტიპი Side-By-Side • საერთო სასარგებლო მოცულობა 394 ლ • მაცივრის კამერის სასარგებლო მოცულობა 265 ლ • საყინულე კამერის სასარგებლო მოცულობა 129 ლ • საყინულე კამე...</t>
  </si>
  <si>
    <t xml:space="preserve">შეიძინეთ მაცივარი GORENJE NRM818FMB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</si>
  <si>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BOSCH KGN55VL20U</t>
  </si>
  <si>
    <t xml:space="preserve">240121</t>
  </si>
  <si>
    <t xml:space="preserve">https://superi.ge/bosch-kgn55vl20u/</t>
  </si>
  <si>
    <t xml:space="preserve">• ტიპი ორკამერიანი • საერთო მოცულობა 530 ლ • მაცივრის კამერის სასარგებლო მოცულობა 375 ლ • საყინულე კამერის სასარგებლო მოცულობა 105 ლ • ენერგომოხმარების კლასი A+...</t>
  </si>
  <si>
    <t xml:space="preserve">შეიძინეთ მაცივარი BOSCH KGN55VL20U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</si>
  <si>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GORENJE NRS918EMB</t>
  </si>
  <si>
    <t xml:space="preserve">219749</t>
  </si>
  <si>
    <t xml:space="preserve">https://superi.ge/gorenje-nrs918emb/</t>
  </si>
  <si>
    <t xml:space="preserve">• ტიპი Side-By-Side • საერთო მოცულობა 519 ლ • მაცივრის კამერის სასარგებლო მოცულობა 334 ლ • საყინულე კამერის სასარგებლო მოცულობა 185 ლ • საყინულე კამერის განლაგე...</t>
  </si>
  <si>
    <t xml:space="preserve">შეიძინეთ მაცივარი GORENJE NRS918EMB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</si>
  <si>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HITACHI R-WB710PUC9 GBW</t>
  </si>
  <si>
    <t xml:space="preserve">199786</t>
  </si>
  <si>
    <t xml:space="preserve">https://superi.ge/hitachi-r-wb710puc9-gbw/</t>
  </si>
  <si>
    <t xml:space="preserve">• ტიპი Side-By-Side • საერთო სასარგებლო მოცულობა 435 ლ • მაცივრის კამერის სასარგებლო მოცულობა 343 ლ • საყინულე კამერის სასარგებლო მოცულობა 92 ლ • საყინულე კამერ...</t>
  </si>
  <si>
    <t xml:space="preserve">შეიძინეთ მაცივარი HITACHI R-WB710PUC9 GBW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</si>
  <si>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SAMSUNG RB38C7B6D12/WT WHITE</t>
  </si>
  <si>
    <t xml:space="preserve">I95573</t>
  </si>
  <si>
    <t xml:space="preserve">https://superi.ge/samsung-rb38c7b6d12-wt-white/</t>
  </si>
  <si>
    <t xml:space="preserve">შეიძინეთ მაცივარი SAMSUNG RB38C7B6D12/WT WHITE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</si>
  <si>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SAMSUNG WW12TP84DSH/LP</t>
  </si>
  <si>
    <t xml:space="preserve">I76505</t>
  </si>
  <si>
    <t xml:space="preserve">https://superi.ge/samsung-ww12tp84dsh-lp/</t>
  </si>
  <si>
    <t xml:space="preserve">• ჩატვირთვის ტიპი ფრონტალური • ტევადობა 12 კგ • საშრობი სარეცხის ტევადობა 8 კგ • ბრუნვის მაქსიმალური სიჩქარე 1400 ბრ/წთ • ენერგო მოხმარების კლასი A+++ • რეცხვის...</t>
  </si>
  <si>
    <t xml:space="preserve">შეიძინეთ სარეცხი მანქანა SAMSUNG WW12TP84DSH/LP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</si>
  <si>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ჭურჭლის სარეცხი მანქანა BOSCH SMS4HMC65Q</t>
  </si>
  <si>
    <t xml:space="preserve">S51050</t>
  </si>
  <si>
    <t xml:space="preserve">https://superi.ge/bosch-sms4hmc65q/</t>
  </si>
  <si>
    <t xml:space="preserve">• ტიპი ცალკე მდგარი • ენერგომოხმარების კლასი A+ • ტევადობა 13 კომპლექტი • მართვის ტიპი ელექტრონული • წყლის მოხმარება ეკო რეჟიმზე 9 5 ლ • ელექტრო ენერგიის მოხმარ...</t>
  </si>
  <si>
    <t xml:space="preserve">შეიძინეთ ჭურჭლის სარეცხი მანქანა BOSCH SMS4HMC65Q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</si>
  <si>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ბაღის ავაჯის კომპლექტი</t>
  </si>
  <si>
    <t xml:space="preserve">17051659</t>
  </si>
  <si>
    <t xml:space="preserve">ავეჯი &gt; ბაღის ავეჯის კომპლექტი</t>
  </si>
  <si>
    <t xml:space="preserve">https://superi.ge/product-8934/</t>
  </si>
  <si>
    <t xml:space="preserve">ბაღის ავაჯის კომპლექტიდახვეწილი და თანამედროვე დიზაინის ბაღის ავეჯის კომპლექტი იდეალურია აგარაკისთვის ვერანდისთვის ტერასისთვის ან კაფის გარე სივრცისთვის მყარი დ...</t>
  </si>
  <si>
    <t xml:space="preserve">შეიძინეთ ბაღის ავაჯის კომპლექტი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</si>
  <si>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MIDEA AG-24N8DO INVERTER IONISER/BLACK (75-80 მ²)</t>
  </si>
  <si>
    <t xml:space="preserve">S40268</t>
  </si>
  <si>
    <t xml:space="preserve">https://superi.ge/midea-ag-24n8do-inverter-ioniser-black-75-80/</t>
  </si>
  <si>
    <t xml:space="preserve">• ტიპი კედლის სპლიტ-სისტემა • რეჟიმი გაგრილება/გათბობა • რეკომენდებული ფართი 75-80 მ² მდე • ენერგომოხმარების კლასი A++/A+ • მოხმარებადი სიმძლავრე გაგრილების რეჟ...</t>
  </si>
  <si>
    <t xml:space="preserve">შეიძინეთ კონდიციონერი MIDEA AG-24N8DO INVERTER IONISER/BLACK (75-80 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</si>
  <si>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BOSCH KGN49XL30U</t>
  </si>
  <si>
    <t xml:space="preserve">S86916</t>
  </si>
  <si>
    <t xml:space="preserve">https://superi.ge/bosch-kgn49xl30u/</t>
  </si>
  <si>
    <t xml:space="preserve">• ტიპი ორკამერიანი • საერთო სასარგებლო მოცულობა 435 ლ • მაცივრის კამერის სასარგებლო მოცულობა 330 ლ • საყინულე კამერის სასარგებლო მოცულობა 105 ლ • საყინულე კამერ...</t>
  </si>
  <si>
    <t xml:space="preserve">შეიძინეთ მაცივარი BOSCH KGN49XL30U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</si>
  <si>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HISENSE RQ72WC/INOX</t>
  </si>
  <si>
    <t xml:space="preserve">713142</t>
  </si>
  <si>
    <t xml:space="preserve">https://superi.ge/hisense-rq72wc-inox/</t>
  </si>
  <si>
    <t xml:space="preserve">• ტიპი Side-By-Side • საერთო სასარგებლო მოცულობა 579 ლ • მაცივრის კამერის სასარგებლო მოცულობა 388 ლ • საყინულე კამერის სასარგებლო მოცულობა 191 ლ • საყინულე კამე...</t>
  </si>
  <si>
    <t xml:space="preserve">შეიძინეთ მაცივარი HISENSE RQ72WC/INOX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</si>
  <si>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HITACHI R-W660PUC7 GBK</t>
  </si>
  <si>
    <t xml:space="preserve">S40244</t>
  </si>
  <si>
    <t xml:space="preserve">https://superi.ge/hitachi-r-w660puc7-gbk/</t>
  </si>
  <si>
    <t xml:space="preserve">ზოგადი ინფორმაცია • ბრენდი Hitachi • ტიპი ოთხკარიანი Side-by-Side მაცივარი • კონსტრუქციის ტიპი ცალკე მდგომი • საყინულის განთავსება ზედა • გაგრილების სისტემა No ...</t>
  </si>
  <si>
    <t xml:space="preserve">შეიძინეთ მაცივარი HITACHI R-W660PUC7 GBK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</si>
  <si>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ჭურჭლის სარეცხი მანქანა BOSCH SMS4HMB62T</t>
  </si>
  <si>
    <t xml:space="preserve">I90200</t>
  </si>
  <si>
    <t xml:space="preserve">https://superi.ge/bosch-sms4hmb62t/</t>
  </si>
  <si>
    <t xml:space="preserve">• ტიპი ცალკემდგომი • მართვის ტიპი ელექტრონული • ეკრანი კი • პერსონა 13 • ენერგოეფექტურობის კლასი D პროგრამები • პროგრამების რაოდენობა 7 • ინტენსიური რეცხვა • სტ...</t>
  </si>
  <si>
    <t xml:space="preserve">შეიძინეთ ჭურჭლის სარეცხი მანქანა BOSCH SMS4HMB62T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</si>
  <si>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BOSCH WAV28M80ME</t>
  </si>
  <si>
    <t xml:space="preserve">220751</t>
  </si>
  <si>
    <t xml:space="preserve">https://superi.ge/bosch-wav28m80me/</t>
  </si>
  <si>
    <t xml:space="preserve">• ჩატვირთვის ტიპი ფრონტალური • მწარმოებელი BOSCH • მაქსიმალური ჩატვირთვა 9 კგ • ბრუნვის მაქსიმალური სიჩქარე 1400 ბრ/წთ • დოლურის მოცულობა 65 ლ • ხმაურის დონე 47...</t>
  </si>
  <si>
    <t xml:space="preserve">შეიძინეთ სარეცხი მანქანა BOSCH WAV28M80ME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</si>
  <si>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BOSCH WGB24400ME (9კგ)</t>
  </si>
  <si>
    <t xml:space="preserve">I93720</t>
  </si>
  <si>
    <t xml:space="preserve">https://superi.ge/bosch-wgb24400me-9/</t>
  </si>
  <si>
    <t xml:space="preserve">• ჩატვირთვის ტიპი ფრონტალური • მაქსიმალური ჩატვირთვა 9 კგ • ენერგო ეფექტურობის კლასი A+++ • ეკრანი LED • ბრუნვის მაქსიმალური სიჩქარე 1400 ბრ/წთ • ხმაურის დონე 5...</t>
  </si>
  <si>
    <t xml:space="preserve">შეიძინეთ სარეცხი მანქანა BOSCH WGB24400ME (9კგ)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</si>
  <si>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SAMSUNG WF18T8000GV/LP</t>
  </si>
  <si>
    <t xml:space="preserve">203425</t>
  </si>
  <si>
    <t xml:space="preserve">https://superi.ge/samsung-wf18t8000gv-lp/</t>
  </si>
  <si>
    <t xml:space="preserve">• ჩატვირთვის ტიპი ფრონტალური • ტევადობა 18 კგ • ბრუნვის მაქსიმალური სიჩქარე 1100 ბრ/წთ • ძრავის ტიპი DIT • მართვის ტიპი ელექტრონული • დისპლეის ტიპი LED • ენერგო...</t>
  </si>
  <si>
    <t xml:space="preserve">შეიძინეთ სარეცხი მანქანა SAMSUNG WF18T8000GV/LP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</si>
  <si>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AUX ASW-H24A4/QFR3DI INVERTER (75-80მ²)</t>
  </si>
  <si>
    <t xml:space="preserve">H24A4/QFR3DI</t>
  </si>
  <si>
    <t xml:space="preserve">https://superi.ge/aux-asw-h24a4-qfr3di-inverter-75-80/</t>
  </si>
  <si>
    <t xml:space="preserve">• მოდელი ASW-H24A4/QCR3DI • ტიპი ინვერტერი კედლის სპლიტ სისტემა • რეკომენდებული ფართობი მონტაჟისთვის 75 -80 მ² • გაგრილების სიმძლავრე 7200 W • გათბობის სიმძლავრ...</t>
  </si>
  <si>
    <t xml:space="preserve">შეიძინეთ კონდიციონერი AUX ASW-H24A4/QFR3DI INVERTER (75-80მ²)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</si>
  <si>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BOSCH KDN76XL30U (542L)</t>
  </si>
  <si>
    <t xml:space="preserve">I75654</t>
  </si>
  <si>
    <t xml:space="preserve">https://superi.ge/bosch-kdn76xl30u-542l/</t>
  </si>
  <si>
    <t xml:space="preserve">• ბრენდი Bosch • მოდელი KDN76XL30U • პროდუქტის ტიპი მაცივარი • მთლიანი ტევადობა 542 ლ • სამაცივრე კამერა 418 ლ • საყინულე კამერა 124 ლ • მაცივრის ტიპი ცალკე მდგ...</t>
  </si>
  <si>
    <t xml:space="preserve">შეიძინეთ მაცივარი BOSCH KDN76XL30U (542L)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</si>
  <si>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SAMSUNG QE65Q60CAUXRU 2023 (165სმ)</t>
  </si>
  <si>
    <t xml:space="preserve">233127</t>
  </si>
  <si>
    <t xml:space="preserve">https://superi.ge/samsung-qe65q60cauxru-2023-165/</t>
  </si>
  <si>
    <t xml:space="preserve">• ტელევიზორის კლასი QLED • ეკრანის დიაგონალი 65 165 სმ • ეკრანის გაფართოება 4K UHD 3840 x 2160 • სერია 6 • Smart ტექნოლოგია კი • ოპერაციული სისტემა Tizen ვიდეო ...</t>
  </si>
  <si>
    <t xml:space="preserve">შეიძინეთ ტელევიზორი SAMSUNG QE65Q60CAUXRU 2023 (165სმ)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</si>
  <si>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ელიპტიკური ტრენაჟორი KETTLER AXOS NOVA M (GREY)</t>
  </si>
  <si>
    <t xml:space="preserve">7640119481142</t>
  </si>
  <si>
    <t xml:space="preserve">https://superi.ge/kettler-axos-nova-m-grey/</t>
  </si>
  <si>
    <t xml:space="preserve">• მწარმოებელი ქვეყანა გერმანია • მომხმარებლის მაქსიმალური წონა 110 კგ • მბრუნავი დისკი 12 კგ • LCD დისპლეი • მოტორიზებული მაგნიტური დამუხრუჭების სისტემა წინააღმ...</t>
  </si>
  <si>
    <t xml:space="preserve">შეიძინეთ ელიპტიკური ტრენაჟორი KETTLER AXOS NOVA M (GREY)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</si>
  <si>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MITSUBISHI MSZ-DM35VA-ER1/MUZ-DM35VA-ER1</t>
  </si>
  <si>
    <t xml:space="preserve">178654</t>
  </si>
  <si>
    <t xml:space="preserve">https://superi.ge/mitsubishi-msz-dm35va-er1-muz-dm35va-er1/</t>
  </si>
  <si>
    <t xml:space="preserve">• ტიპი კედლის სპლიტ სისტემა • ძირითადი რეჟიმები გაგრილება გათბობა • რეკომენდირებული ფართი 35 მ² -მდე • გაგრილების სიმძლავრე 3150 W • გათბობის სიმძლავრე 3600 W •...</t>
  </si>
  <si>
    <t xml:space="preserve">შეიძინეთ კონდიციონერი MITSUBISHI MSZ-DM35VA-ER1/MUZ-DM35VA-ER1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</si>
  <si>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HYUNDAI AC ESAF-24HN8-G</t>
  </si>
  <si>
    <t xml:space="preserve">I84737</t>
  </si>
  <si>
    <t xml:space="preserve">https://superi.ge/hyundai-ac-esaf-24hn8-g/</t>
  </si>
  <si>
    <t xml:space="preserve">• ტიპი კედლის სპლიტ სისტემა • რეკომენდირებული ფართი 75 მ² -მდე • სიმძლავრე გაგრილების რეჟიმში 24000BTU/სთ • სიმძლავრე გათბობის რეჟიმში 25000BTU/სთ • გაგრილების ...</t>
  </si>
  <si>
    <t xml:space="preserve">შეიძინეთ კონდიციონერი HYUNDAI AC ESAF-24HN8-G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</si>
  <si>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BOSCH KGN39XI30U</t>
  </si>
  <si>
    <t xml:space="preserve">S76270</t>
  </si>
  <si>
    <t xml:space="preserve">https://superi.ge/bosch-kgn39xi30u/</t>
  </si>
  <si>
    <t xml:space="preserve">• ტიპი ცალკე მდგომი • სერია 4 • მართვის ტიპი ელექტრონული • საერთო სასარგებლო მოცულობა 400 ლ • მაცივრის კამერის სასარგებლო მოცულობა 290 ლ • საყინულე კამერის სასა...</t>
  </si>
  <si>
    <t xml:space="preserve">შეიძინეთ მაცივარი BOSCH KGN39XI30U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</si>
  <si>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BOSCH KGN49XW30U</t>
  </si>
  <si>
    <t xml:space="preserve">I72315</t>
  </si>
  <si>
    <t xml:space="preserve">https://superi.ge/bosch-kgn49xw30u/</t>
  </si>
  <si>
    <t xml:space="preserve">• ტიპი ორკამერიანი • საერთო სასარგებლო მოცულობა 435 ლ • მაცივრის კამერის სასარგებლო მოცულობა 330 ლ • საყინულე კამერის სასარგებლო მოცულობა 105 ლ • ენერგოეფექტურო...</t>
  </si>
  <si>
    <t xml:space="preserve">შეიძინეთ მაცივარი BOSCH KGN49XW30U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</si>
  <si>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SAMSUNG WD12TP34DSH/LP</t>
  </si>
  <si>
    <t xml:space="preserve">203422</t>
  </si>
  <si>
    <t xml:space="preserve">https://superi.ge/samsung-wd12tp34dsh-lp/</t>
  </si>
  <si>
    <t xml:space="preserve">• ჩატვირთვის ტიპი ფრონტალური • ტევადობა 12 კგ • საშრობი სარეცხის ტევადობა 8 კგ • ბრუნვის მაქსიმალური სიჩქარე 1400 ბრ/წთ • ძრავის ტიპი ინვენტორული • მართვის ტიპი...</t>
  </si>
  <si>
    <t xml:space="preserve">შეიძინეთ სარეცხი მანქანა SAMSUNG WD12TP34DSH/LP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</si>
  <si>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ჩასაშენებელი ჭურჭლის სარეცხი მანქანა BOSCH SPV6EMX76Q</t>
  </si>
  <si>
    <t xml:space="preserve">I98577</t>
  </si>
  <si>
    <t xml:space="preserve">https://superi.ge/bosch-spv6emx76q/</t>
  </si>
  <si>
    <t xml:space="preserve">მახასიათებლები • კონსტრუქციის ტიპი ჩასაშენებელი • კონტროლის ტიპი სენსორი • ეკრანი დიახ • პერსონის რაოდენობა 10 • წყლის მოხმარება ერთი ციკლისას 8 7 L დამატებითი ...</t>
  </si>
  <si>
    <t xml:space="preserve">შეიძინეთ ჩასაშენებელი ჭურჭლის სარეცხი მანქანა BOSCH SPV6EMX76Q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</si>
  <si>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MIDEA GAIA-18HRFN8 INVERTER (55-60მ²)</t>
  </si>
  <si>
    <t xml:space="preserve">S72333</t>
  </si>
  <si>
    <t xml:space="preserve">https://superi.ge/midea-gaia-18hrfn8-inverter-55-60/</t>
  </si>
  <si>
    <t xml:space="preserve">• ტიპი კედლის სპლიტ-სისტემა • რეჟიმი გაგრილება/გათბობა • რეკომენდირებული ფართი 55-60 მ² -მდე • ენერგოეფექტურობა ERP4 6 • შიდა ბლოკის ხმაურის დონე მაღალი/საშუალო...</t>
  </si>
  <si>
    <t xml:space="preserve">შეიძინეთ კონდიციონერი MIDEA GAIA-18HRFN8 INVERTER (55-60მ²)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</si>
  <si>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გენერატორი ბენზინის TOLSEN TOL1763-79992 (5.5KW)</t>
  </si>
  <si>
    <t xml:space="preserve">08043070</t>
  </si>
  <si>
    <t xml:space="preserve">https://superi.ge/tolsen-tol1763-79992-5-5kw/</t>
  </si>
  <si>
    <t xml:space="preserve">p&gt;ბენზინის მძლავრი გენერატორი მარტივი გადაადგილებისთვის გააჩნია ბორბლები ტექნიკური მახასიათებლები • მწარმოებელი Tolsen • სიმძლავრე 5000 W მაქსიმალური 5500 W • ძ...</t>
  </si>
  <si>
    <t xml:space="preserve">შეიძინეთ გენერატორი ბენზინის TOLSEN TOL1763-79992 (5.5KW)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</si>
  <si>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ხელის ტრაქტორი HYUNDAI GM115FQE 7HP</t>
  </si>
  <si>
    <t xml:space="preserve">177348</t>
  </si>
  <si>
    <t xml:space="preserve">https://superi.ge/hyundai-gm115fqe-7hp/</t>
  </si>
  <si>
    <t xml:space="preserve">• ტიპი მოტობლოკი • საწვავის ტიპი ბენზინი • ძრავი 170 F / 208 CC • ძრავის სიმძლავრე 7 HP / 3600 ბრ • ხვნის სიგანე 96-100 სმ • ხვნის სიღრმე 15-30 სმ • თოხების რაო...</t>
  </si>
  <si>
    <t xml:space="preserve">შეიძინეთ ხელის ტრაქტორი HYUNDAI GM115FQE 7HP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</si>
  <si>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SAMSUNG RB50DG602ES9/WT</t>
  </si>
  <si>
    <t xml:space="preserve">I94390</t>
  </si>
  <si>
    <t xml:space="preserve">https://superi.ge/samsung-rb50dg602es9-wt/</t>
  </si>
  <si>
    <t xml:space="preserve">• ტიპი ორკამერიანი • ძრავის ტიპი ინვერტორული • მართვის ტიპი ელექტრონული • საერთო სასარგებლო მოცულობა 508 ლ • მაცივრის კამერის სასარგებლო მოცულობა 340 ლ • საყინუ...</t>
  </si>
  <si>
    <t xml:space="preserve">შეიძინეთ მაცივარი SAMSUNG RB50DG602ES9/WT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</si>
  <si>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გენერატორი ბენზინის Konner&amp;Sohnen KS 7000 5.5kW</t>
  </si>
  <si>
    <t xml:space="preserve">08043223</t>
  </si>
  <si>
    <t xml:space="preserve">https://superi.ge/konner-and-sohnen-ks-7000-5-5kw/</t>
  </si>
  <si>
    <t xml:space="preserve">მოსახერხებელი და ერგონომიული გენერატორის პანელი აადვილებს მთლიანი აგრეგატის კონტროლს დაარ საჭიროებს დამატებით უნარებს თანამედროვე ჭკვიანი LED დისპლეი ყოველთვის ...</t>
  </si>
  <si>
    <t xml:space="preserve">შეიძინეთ გენერატორი ბენზინის Konner&amp;Sohnen KS 7000 5.5kW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</si>
  <si>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GREE GWH24AGD-K3NNA1A (75-80 მ²)</t>
  </si>
  <si>
    <t xml:space="preserve">232803</t>
  </si>
  <si>
    <t xml:space="preserve">https://superi.ge/gree-gwh24agd-k3nna1a-75-80/</t>
  </si>
  <si>
    <t xml:space="preserve">• ტიპი კედლის სპლიტ სისტემა • რეკომენდებული ფართი 75-80 მ² -მდე • ენერგო მოხმარება გაგრილების დროს 1 85 kW • ენერგო მოხმარება გათბობის დროს 1 90 kW • სიმძლავრე ...</t>
  </si>
  <si>
    <t xml:space="preserve">შეიძინეთ კონდიციონერი GREE GWH24AGD-K3NNA1A (75-80 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</si>
  <si>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ხელის ტრაქტორი ROYAL TURBO RT177</t>
  </si>
  <si>
    <t xml:space="preserve">188084</t>
  </si>
  <si>
    <t xml:space="preserve">https://superi.ge/royal-turbo-rt177/</t>
  </si>
  <si>
    <t xml:space="preserve">• ტიპი მოტობლოკი • საწვავის ტიპი ბენზინი მახასიათებლები • ძრავი 177 F • ძრავის სიმძლავრე 9 HP / 3600 ბრ • ხვნის სიგანე 110 სმ • ხვნის სიღრმე 15-30 სმ • თოხების ...</t>
  </si>
  <si>
    <t xml:space="preserve">შეიძინეთ ხელის ტრაქტორი ROYAL TURBO RT177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</si>
  <si>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ბაღის ავეჯის ნაკრები Panama მაგიდა 6 სკამი</t>
  </si>
  <si>
    <t xml:space="preserve">17051658</t>
  </si>
  <si>
    <t xml:space="preserve">https://superi.ge/panama-6/</t>
  </si>
  <si>
    <t xml:space="preserve">ბაღის ავეჯის ნაკრები Panama მაგიდა 6 სკამიშესანიშნავი არჩევანია გარე სივრცის მოსაწყობად – როგორც ყოველდღიური გამოყენებისთვის ისე სტუმრების მასპინძლობისთვის შედგ...</t>
  </si>
  <si>
    <t xml:space="preserve">შეიძინეთ ბაღის ავეჯის ნაკრები Panama მაგიდა 6 სკამი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</si>
  <si>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ბაღის ავეჯის კომპლექტი მაგიდა და 4 სკამი JHA-1075</t>
  </si>
  <si>
    <t xml:space="preserve">17051472</t>
  </si>
  <si>
    <t xml:space="preserve">https://superi.ge/4-jha-1075/</t>
  </si>
  <si>
    <t xml:space="preserve">ბაღის ავეჯის კომპლექტი მაგიდა და 4 სკამი JHA-1075 გაალამაზეთ თქვენი გარე სივრცე ელეგანტური და კომფორტულიბაღის ავეჯის კომპლექტითJHA-1075 ეს დახვეწილი კომპლექტი მ...</t>
  </si>
  <si>
    <t xml:space="preserve">შეიძინეთ ბაღის ავეჯის კომპლექტი მაგიდა და 4 სკამი JHA-1075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</si>
  <si>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BOSCH KGN39XW30U</t>
  </si>
  <si>
    <t xml:space="preserve">I93343</t>
  </si>
  <si>
    <t xml:space="preserve">https://superi.ge/bosch-kgn39xw30u/</t>
  </si>
  <si>
    <t xml:space="preserve">• ტიპი ცალკე მდგომი • მართვის ტიპი ელექტტრონული • საერთო სასარგებლო მოცულობა 400 ლ • მაცივრის კამერის სასარგებლო მოცულობა 290 ლ • საყინულე კამერის სასარგებლო მო...</t>
  </si>
  <si>
    <t xml:space="preserve">შეიძინეთ მაცივარი BOSCH KGN39XW30U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</si>
  <si>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SAMSUNG RL4353EBASL/WT</t>
  </si>
  <si>
    <t xml:space="preserve">130825</t>
  </si>
  <si>
    <t xml:space="preserve">https://superi.ge/samsung-rl4353ebasl-wt/</t>
  </si>
  <si>
    <t xml:space="preserve">• ტიპი ორკამერიანი • მართვის ტიპი ელექტრონული • ტექნოლოგია ინვერტორული • საერთო სასარგებლო მოცულობა 473 ლ • მაცივრის კამერის სასარგებლო მოცულობა 303 ლ • საყინულ...</t>
  </si>
  <si>
    <t xml:space="preserve">შეიძინეთ მაცივარი SAMSUNG RL4353EBASL/WT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</si>
  <si>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მრავალფუნქციური მოწყობილობა EPSON L14150 (C11CH96404)</t>
  </si>
  <si>
    <t xml:space="preserve">180921</t>
  </si>
  <si>
    <t xml:space="preserve">ტექნიკა &gt; საოფისე და ქსელური მოწყობილობები &gt; პრინტერები და მრავალფუნქციური მოწყობილობები</t>
  </si>
  <si>
    <t xml:space="preserve">https://superi.ge/epson-l14150-c11ch96404/</t>
  </si>
  <si>
    <t xml:space="preserve">• ფუნქციები ბეჭდვა სკანირება ასლის გადაღება ფაქსი • ბეჭდვის ტექნოლოგია ჭავლური • LCD დისპლეი • დისპლეის დიაგონალი 6 8 სმ პრინტერის ფუნქციები • ბეჭდვის ტიპი ფერა...</t>
  </si>
  <si>
    <t xml:space="preserve">შეიძინეთ მრავალფუნქციური მოწყობილობა EPSON L14150 (C11CH96404)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</si>
  <si>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ბაღის ავეჯის კომპლექტი</t>
  </si>
  <si>
    <t xml:space="preserve">17051599</t>
  </si>
  <si>
    <t xml:space="preserve">https://superi.ge/product-8924/</t>
  </si>
  <si>
    <t xml:space="preserve">ბაღის ავეჯის კომპლექტიბაღის ავეჯის ეს კომპლექტი დამზადებულია მტკიცე ლითონის ჩარჩოთი რომელიც დაფარულია თეთრი ამინდისად მდგრადი საფარით – უზრუნველყოფს სტაბილურობა...</t>
  </si>
  <si>
    <t xml:space="preserve">შეიძინეთ ბაღის ავეჯის კომპლექტი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</si>
  <si>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GREE GWH12AUCXB-K6DNA1A INVERTER (35-40მ²)</t>
  </si>
  <si>
    <t xml:space="preserve">GWH12AUCXB</t>
  </si>
  <si>
    <t xml:space="preserve">https://superi.ge/gree-gwh12aucxb-k6dna1a-inverter-35-40/</t>
  </si>
  <si>
    <t xml:space="preserve">ტიპი კედლის სპლიტ სისტემა რეკომენდებული ფართი 35-40მ² ენერგო ეფექტურობის კლასი A+++ ფრეონის ტიპი R32 რეჟიმი გაგრილება / გათბობა ენერგო მოხმარება გაგრილების დროს...</t>
  </si>
  <si>
    <t xml:space="preserve">შეიძინეთ კონდიციონერი GREE GWH12AUCXB-K6DNA1A INVERTER (35-40მ²)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</si>
  <si>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BEKO GNO5322XPN b300</t>
  </si>
  <si>
    <t xml:space="preserve">S89531</t>
  </si>
  <si>
    <t xml:space="preserve">https://superi.ge/beko-gno5322xpn-b300/</t>
  </si>
  <si>
    <t xml:space="preserve">მახაიათებლები • ტიპი Side-by-Side • საერთო სასარგებლო მოცულობა 532 ლ • მაცივრის კამერის სასარგებლო მოცულობა 347 ლ • საყინულე კამერის სასარგებლო მოცულობა 185 ლ •...</t>
  </si>
  <si>
    <t xml:space="preserve">შეიძინეთ მაცივარი BEKO GNO5322XPN b300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</si>
  <si>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სარბენი ბილიკი TOORX 516GAWPP ULTRA COMPACT WALKINGPAD WP-P CANDY ROSE</t>
  </si>
  <si>
    <t xml:space="preserve">190151</t>
  </si>
  <si>
    <t xml:space="preserve">https://superi.ge/toorx-516gawpp-ultra-compact-walkingpad-wp-p-candy-rose/</t>
  </si>
  <si>
    <t xml:space="preserve">• ტიპი სარბენი ბილიკი • მაქსიმალური დატვირთვა 100 კგ • ძრავის ტიპი 2 HP • სიჩქარე 0 5-6 კმ/სთ მახასიათებლები • პკომპაქტური დიზაინი • დაკეცვის შესაძლებლობა ფიზიკ...</t>
  </si>
  <si>
    <t xml:space="preserve">შეიძინეთ სარბენი ბილიკი TOORX 516GAWPP ULTRA COMPACT WALKINGPAD WP-P CANDY ROSE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</si>
  <si>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GORENJE REA70 KC INVERTER (75-80 მ²)</t>
  </si>
  <si>
    <t xml:space="preserve">S64175</t>
  </si>
  <si>
    <t xml:space="preserve">https://superi.ge/gorenje-rea70-kc-inverter-75-80/</t>
  </si>
  <si>
    <t xml:space="preserve">• ტიპი კედლის სპლიტ სისტემა • რეკომენდირებული ფართი 75-80 მ² -მდე • სიმძლავრე გაგრილების რეჟიმში 24000BTU/სთ • სიმძლავრე გათბობის რეჟიმში 25000BTU/სთ • სიმძლავრ...</t>
  </si>
  <si>
    <t xml:space="preserve">შეიძინეთ კონდიციონერი GORENJE REA70 KC INVERTER (75-80 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</si>
  <si>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MIDEA VP-12N8D6 INVERTER</t>
  </si>
  <si>
    <t xml:space="preserve">S30674</t>
  </si>
  <si>
    <t xml:space="preserve">https://superi.ge/midea-vp-12n8d6-inverter/</t>
  </si>
  <si>
    <t xml:space="preserve">• ტიპი კედლის სპლიტ-სისტემა • რეჟიმი გაგრილება/გათბობა • ძრავის ტიპი ინვენტორული • რეკომენდირებული ფართი 35 - 40 მ² -მდე • სიმძლავრე გაგრილების რეჟიმში 1034 W /...</t>
  </si>
  <si>
    <t xml:space="preserve">შეიძინეთ კონდიციონერი MIDEA VP-12N8D6 INVERTER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</si>
  <si>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MIDEA XT-18N8D6 BLACK (55-60 მ²)</t>
  </si>
  <si>
    <t xml:space="preserve">S28114</t>
  </si>
  <si>
    <t xml:space="preserve">https://superi.ge/midea-xt-18n8d6-black-55-60/</t>
  </si>
  <si>
    <t xml:space="preserve">• ტიპი კედლის სპლიტ-სისტემა / ON/OFF • ძრავის ტიპი ინვერტორული • რეჟიმი გაგრილება / გათბობა • სიმძლავრე 18 000 BTU • რეკომენდებული ფართი 55-60 მ² მდე • ნომინალუ...</t>
  </si>
  <si>
    <t xml:space="preserve">შეიძინეთ კონდიციონერი MIDEA XT-18N8D6 BLACK (55-60 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</si>
  <si>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BEKO RCNE560E40ZXBRN</t>
  </si>
  <si>
    <t xml:space="preserve">CT0000007919</t>
  </si>
  <si>
    <t xml:space="preserve">https://superi.ge/beko-rcne560e40zxbrn/</t>
  </si>
  <si>
    <t xml:space="preserve">• ტიპი ორკამერიანი • LED დისპლეი • მართვის ტიპი სენსორული • საერთო სასარგებლო მოცულობა 501 ლ • მაცივრის კამერის სასარგებლო მოცულობა 356 ლ • საყინულე კამერის სას...</t>
  </si>
  <si>
    <t xml:space="preserve">შეიძინეთ მაცივარი BEKO RCNE560E40ZXBRN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</si>
  <si>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MIDEA MDRF692MIE28 (SIDE BY SIDE)</t>
  </si>
  <si>
    <t xml:space="preserve">S66869</t>
  </si>
  <si>
    <t xml:space="preserve">https://superi.ge/midea-mdrf692mie28-side-by-side/</t>
  </si>
  <si>
    <t xml:space="preserve">მახაიათებლები • ტიპი Side-by-Side • საერთო სასარგებლო მოცულობა 531 ლ • მაცივრის კამერის სასარგებლო მოცულობა 357 ლ • საყინულე კამერის სასარგებლო მოცულობა 174 ლ •...</t>
  </si>
  <si>
    <t xml:space="preserve">შეიძინეთ მაცივარი MIDEA MDRF692MIE28 (SIDE BY SIDE)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</si>
  <si>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BOSCH WGA25400ME (10კგ)</t>
  </si>
  <si>
    <t xml:space="preserve">S66929</t>
  </si>
  <si>
    <t xml:space="preserve">https://superi.ge/bosch-wga25400me-10/</t>
  </si>
  <si>
    <t xml:space="preserve">• ჩატვირთვის ტიპი ფრონტალური • სარეცხის მაქსიმალური ჩატვირთვა 10 კგ • ბრუნვის მაქსიმალური სიჩქარე 1400 ბრ/წთ • ენერგომოხმარების კლასი A+++ • მართვის ტიპი ელექტრ...</t>
  </si>
  <si>
    <t xml:space="preserve">შეიძინეთ სარეცხი მანქანა BOSCH WGA25400ME (10კგ)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</si>
  <si>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ჭურჭლის სარეცხი მანქანა BOSCH SMI46KS00T</t>
  </si>
  <si>
    <t xml:space="preserve">I50612</t>
  </si>
  <si>
    <t xml:space="preserve">https://superi.ge/bosch-smi46ks00t/</t>
  </si>
  <si>
    <t xml:space="preserve">• ტიპი ჩასაშენებელი • ენერგომოხმარების კლასი A+ • ტევადობა 13 კომპლექტი • მართვის ტიპი ელექტრონული • წყლის მოხმარება ეკო რეჟიმზე 9 5 ლ პროგრამები • პროგრამების ...</t>
  </si>
  <si>
    <t xml:space="preserve">შეიძინეთ ჭურჭლის სარეცხი მანქანა BOSCH SMI46KS00T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</si>
  <si>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MIDEA XT-18N8D6 GOLD (55-60 მ²)</t>
  </si>
  <si>
    <t xml:space="preserve">S91385</t>
  </si>
  <si>
    <t xml:space="preserve">https://superi.ge/midea-xt-18n8d6-gold-55-60/</t>
  </si>
  <si>
    <t xml:space="preserve">შეიძინეთ კონდიციონერი MIDEA XT-18N8D6 GOLD (55-60 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</si>
  <si>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MIDEA XT-18N8D6 SILVER (55-60 მ²)</t>
  </si>
  <si>
    <t xml:space="preserve">S74746</t>
  </si>
  <si>
    <t xml:space="preserve">https://superi.ge/midea-xt-18n8d6-silver-55-60/</t>
  </si>
  <si>
    <t xml:space="preserve">შეიძინეთ კონდიციონერი MIDEA XT-18N8D6 SILVER (55-60 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</si>
  <si>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BEKO RCNE560E40ZXPN SUPERIA</t>
  </si>
  <si>
    <t xml:space="preserve">CT0000008001</t>
  </si>
  <si>
    <t xml:space="preserve">https://superi.ge/beko-rcne560e40zxpn-superia/</t>
  </si>
  <si>
    <t xml:space="preserve">• ტიპი ორკამერიანი • საერთო სასარგებლო მოცულობა 501 ლ • მაცივრის კამერის სასარგებლო მოცულობა 356 ლ • საყინულე კამერის სასარგებლო მოცულობა 145 ლ • საყინულე კამერ...</t>
  </si>
  <si>
    <t xml:space="preserve">შეიძინეთ მაცივარი BEKO RCNE560E40ZXPN SUPERIA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</si>
  <si>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MIDEA MDRS723MYF28</t>
  </si>
  <si>
    <t xml:space="preserve">210856</t>
  </si>
  <si>
    <t xml:space="preserve">https://superi.ge/midea-mdrs723myf28/</t>
  </si>
  <si>
    <t xml:space="preserve">• ტიპი Side-by-Side • მართვის ტიპი სენსორული • საერთო მოცულობა 537 ლ • მაცივრის სასარგებლო მოცულობა 344 ლ • საყინულის სასარგებლო მოცულობა 193 ლ • საყინულე კამერ...</t>
  </si>
  <si>
    <t xml:space="preserve">შეიძინეთ მაცივარი MIDEA MDRS723MYF28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</si>
  <si>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MIDEA AG-18N8DO INVERTER IONISER/BLACK (55-60 მ²)</t>
  </si>
  <si>
    <t xml:space="preserve">S42914</t>
  </si>
  <si>
    <t xml:space="preserve">https://superi.ge/midea-ag-18n8do-inverter-ioniser-black-55-60/</t>
  </si>
  <si>
    <t xml:space="preserve">• ტიპი კედლის სპლიტ-სისტემა • რეჟიმი გაგრილება/გათბობა • რეკომენდებული ფართი 55-60 მ² მდე • ენერგომოხმარების კლასი A++/A+ • მოხმარებადი სიმძლავრე გაგრილების რეჟ...</t>
  </si>
  <si>
    <t xml:space="preserve">შეიძინეთ კონდიციონერი MIDEA AG-18N8DO INVERTER IONISER/BLACK (55-60 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</si>
  <si>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SAMSUNG WW12TP84DSX/LP</t>
  </si>
  <si>
    <t xml:space="preserve">204910</t>
  </si>
  <si>
    <t xml:space="preserve">https://superi.ge/samsung-ww12tp84dsx-lp/</t>
  </si>
  <si>
    <t xml:space="preserve">• ჩატვირთვის ტიპი ფრონტალური • მაქსიმალური ჩატვირთვა 12 კგ • ბრუნვის მაქსიმალური სიჩქარე 1400 ბრ/წთ • ენერგო მოხმარების კლასი A+++ • რეცხვის კლასი A • წყლის მოხ...</t>
  </si>
  <si>
    <t xml:space="preserve">შეიძინეთ სარეცხი მანქანა SAMSUNG WW12TP84DSX/LP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</si>
  <si>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SAMSUNG UE55AU8000UXTK</t>
  </si>
  <si>
    <t xml:space="preserve">207569</t>
  </si>
  <si>
    <t xml:space="preserve">https://superi.ge/samsung-ue55au8000uxtk/</t>
  </si>
  <si>
    <t xml:space="preserve">• ტელევიზორის კლასი LED • ტიპი Crystal UHD TV • ეკრანის დიაგონალი 55 140 სმ • ეკრანის გაფართოება 4K UHD 3840 x 2160 • სერია 8 • Smart ტექნოლოგია კი • ოპერაციული...</t>
  </si>
  <si>
    <t xml:space="preserve">შეიძინეთ ტელევიზორი SAMSUNG UE55AU8000UXTK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</si>
  <si>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GREE GWH12ACC-K6DNA1F INVERTER (35-40მ²)</t>
  </si>
  <si>
    <t xml:space="preserve">GWH12ACC</t>
  </si>
  <si>
    <t xml:space="preserve">https://superi.ge/gree-gwh12acc-k6dna1f-inverter-35-40/</t>
  </si>
  <si>
    <t xml:space="preserve">ტიპი კედლის სპლიტ სისტემა რეკომენდებული ფართი 35-40 მ² ენერგო ეფექტურობის კლასი A++ ფრეონის ტიპი R32 რეჟიმი გაგრილება / გათბობა ენერგო მოხმარება გაგრილების დროს...</t>
  </si>
  <si>
    <t xml:space="preserve">შეიძინეთ კონდიციონერი GREE GWH12ACC-K6DNA1F INVERTER (35-40მ²)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</si>
  <si>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MIDEA GAIA-09HRFN8</t>
  </si>
  <si>
    <t xml:space="preserve">S57646</t>
  </si>
  <si>
    <t xml:space="preserve">https://superi.ge/midea-gaia-09hrfn8/</t>
  </si>
  <si>
    <t xml:space="preserve">• ტიპი კედლის სპლიტ-სისტემა • რეჟიმი გაგრილება/გათბობა • ძრავის ტიპი ინვერტორული • რეკომენდირებული ფართი 25-30 მ² მდე • ენერგომოხმარების კლასი A+++ • მოხმარებად...</t>
  </si>
  <si>
    <t xml:space="preserve">შეიძინეთ კონდიციონერი MIDEA GAIA-09HRFN8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</si>
  <si>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MIDEA MSCB-18HRFN8 (55-60მ²) INVENTER</t>
  </si>
  <si>
    <t xml:space="preserve">S62088</t>
  </si>
  <si>
    <t xml:space="preserve">https://superi.ge/midea-mscb-18hrfn8-55-60-inventer/</t>
  </si>
  <si>
    <t xml:space="preserve">• ტიპი კედლის სპლიტ-სისტემა • ძრავის ტიპი ინვენტორული • რეჟიმი გაგრილება/გათბობა • რეკომენდირებული ფართი 55 - 60 მ² -მდე • სიმძლავრე გაგრილების რეჟიმში 5 3 kW •...</t>
  </si>
  <si>
    <t xml:space="preserve">შეიძინეთ კონდიციონერი MIDEA MSCB-18HRFN8 (55-60მ²) INVENTER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</si>
  <si>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HISENSE RQ-51WCD</t>
  </si>
  <si>
    <t xml:space="preserve">187311</t>
  </si>
  <si>
    <t xml:space="preserve">https://superi.ge/hisense-rq-51wcd/</t>
  </si>
  <si>
    <t xml:space="preserve">• ტიპი სამკამერიანი • საერთო მოცულობა 394 ლ • მაცივრის კამერის სასარგებლო მოცულობა 265 ლ • საყინულე კამერის სასარგებლო მოცულობა 129 ლ • საყინულე კამერის განლაგე...</t>
  </si>
  <si>
    <t xml:space="preserve">შეიძინეთ მაცივარი HISENSE RQ-51WCD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</si>
  <si>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HITACHI R-VGX470PUC9 GBK</t>
  </si>
  <si>
    <t xml:space="preserve">I90900</t>
  </si>
  <si>
    <t xml:space="preserve">https://superi.ge/hitachi-r-vgx470puc9-gbk/</t>
  </si>
  <si>
    <t xml:space="preserve">• ტიპი ორკამერიანი • საერთო სასარგებლო მოცულობა 407 ლ • მაცივრის კამერის სასარგებლო მოცულობა 298 ლ • საყინულე კამერის სასარგებლო მოცულობა 109 ლ • საყინულე კამერ...</t>
  </si>
  <si>
    <t xml:space="preserve">შეიძინეთ მაცივარი HITACHI R-VGX470PUC9 GBK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</si>
  <si>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LG GRFB587PQAM.AHSQMEA</t>
  </si>
  <si>
    <t xml:space="preserve">I94386</t>
  </si>
  <si>
    <t xml:space="preserve">https://superi.ge/lg-grfb587pqam-ahsqmea/</t>
  </si>
  <si>
    <t xml:space="preserve">• ტიპი Side-By-Side • მართვის ტიპი ელექტრონული • საერთო სასარგებლო მოცულობა 509 ლ • მაცივრის კამერის სასარგებლო მოცულობა 335 ლ • საყინულე კამერის სასარგებლო მოც...</t>
  </si>
  <si>
    <t xml:space="preserve">შეიძინეთ მაცივარი LG GRFB587PQAM.AHSQMEA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</si>
  <si>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სარბენი ბილიკი TREADMILL FORTIS 3 ULTRA</t>
  </si>
  <si>
    <t xml:space="preserve">JS-100008</t>
  </si>
  <si>
    <t xml:space="preserve">https://superi.ge/treadmill-fortis-3-ultra/</t>
  </si>
  <si>
    <t xml:space="preserve">მაქსიმალური სიჩქარე 12km/h მოყვება დისტანციური მართვის პულტი მაქსიმალური წონითი დატვირთვა 120 კგ კალორია პულსი გავლილი მანძილი დრო ზომები 1520მმ / 750მმბლუთუზით...</t>
  </si>
  <si>
    <t xml:space="preserve">შეიძინეთ სარბენი ბილიკი TREADMILL FORTIS 3 ULTRA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</si>
  <si>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BOSCH WGA244A0ME (9KG)</t>
  </si>
  <si>
    <t xml:space="preserve">I93712</t>
  </si>
  <si>
    <t xml:space="preserve">https://superi.ge/bosch-wga244a0me-9kg/</t>
  </si>
  <si>
    <t xml:space="preserve">ბრენდი Boschმოდელი WGA244A0MEპროდუქტის ტიპი სარეცხი მანქანამაქსიმალური ჩატვირთვა 9 კგმაქსიმალური ბრუნი წურვისას 1400ეკრანი LEDენერგო ეფექტურობის კლასი Aპროგრამე...</t>
  </si>
  <si>
    <t xml:space="preserve">შეიძინეთ სარეცხი მანქანა BOSCH WGA244A0ME (9KG)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</si>
  <si>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სარეცხის მანქანა საშრობით BOSCH WDS28460ME (8/5 კგ)</t>
  </si>
  <si>
    <t xml:space="preserve">I95170</t>
  </si>
  <si>
    <t xml:space="preserve">https://superi.ge/bosch-wds28460me-8-5/</t>
  </si>
  <si>
    <t xml:space="preserve">• ჩატვირთვის ტიპი ფრონტალური • ტევადობა 8 კგ • საშრობი სარეცხის ტევადობა 5 კგ • ბრუნვის მაქსიმალური სიჩქარე 1400 ბრ/წთ • ენერგო მოხმარების კლასი A+++ • რეცხვის ...</t>
  </si>
  <si>
    <t xml:space="preserve">შეიძინეთ სარეცხის მანქანა საშრობით BOSCH WDS28460ME (8/5 კგ)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</si>
  <si>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LG 65UR81006LJ (165სმ)</t>
  </si>
  <si>
    <t xml:space="preserve">000017</t>
  </si>
  <si>
    <t xml:space="preserve">https://superi.ge/lg-65ur81006lj-165/</t>
  </si>
  <si>
    <t xml:space="preserve">• ტელევიზორის კლასი LED • ტიპი UHD TV • ეკრანის დიაგონალი 65 165 სმ • ეკრანის გაფართოება 4K 3840 x 2160 • Smart ტექნოლოგია კი • ოპერაციული სისტემა webOS 23 ვიდე...</t>
  </si>
  <si>
    <t xml:space="preserve">შეიძინეთ ტელევიზორი LG 65UR81006LJ (165სმ)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</si>
  <si>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SAMSUNG QE55Q60CAUXRU 2023 (140სმ)</t>
  </si>
  <si>
    <t xml:space="preserve">233128</t>
  </si>
  <si>
    <t xml:space="preserve">https://superi.ge/samsung-qe55q60cauxru-2023-140/</t>
  </si>
  <si>
    <t xml:space="preserve">• ტელევიზორის კლასი QLED • ეკრანის დიაგონალი 55 140 სმ • ეკრანის გაფართოება 4K UHD 3840 x 2160 • სერია 6 • Smart ტექნოლოგია კი • ოპერაციული სისტემა Tizen ვიდეო ...</t>
  </si>
  <si>
    <t xml:space="preserve">შეიძინეთ ტელევიზორი SAMSUNG QE55Q60CAUXRU 2023 (140სმ)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</si>
  <si>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VESTEL RM700BF3EL</t>
  </si>
  <si>
    <t xml:space="preserve">202158</t>
  </si>
  <si>
    <t xml:space="preserve">https://superi.ge/vestel-rm700bf3el/</t>
  </si>
  <si>
    <t xml:space="preserve">• ტიპი ორკამერიანი • საერთო სასარგებლო მოცულობა 510 ლ • მაცივრის სასარგებლო მოცულობა 309 ლ • საყინულე კამერის სასარგებლო მოცულობა 128 ლ • გალღობის ტიპი NO FROST...</t>
  </si>
  <si>
    <t xml:space="preserve">შეიძინეთ მაცივარი VESTEL RM700BF3EL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</si>
  <si>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COOPER &amp; HUNTER S 18 FTXF (WI-FI) NG</t>
  </si>
  <si>
    <t xml:space="preserve">187227</t>
  </si>
  <si>
    <t xml:space="preserve">https://superi.ge/cooper-and-hunter-s-18-ftxf-wi-fi-ng/</t>
  </si>
  <si>
    <t xml:space="preserve">• ტიპი კედლის სპლიტ სისტემა • რეკომენდირებული ფართი 55 მ² -მდე • გაგრილების სიმძლავრე 4600 W • გათბობის სიმძლავრე 5200 W • ენერგომოხმარების კლასი გაგრილება A++ ...</t>
  </si>
  <si>
    <t xml:space="preserve">შეიძინეთ კონდიციონერი COOPER &amp; HUNTER S 18 FTXF (WI-FI) NG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</si>
  <si>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BOSCH KGN36XI30U</t>
  </si>
  <si>
    <t xml:space="preserve">I74143</t>
  </si>
  <si>
    <t xml:space="preserve">https://superi.ge/bosch-kgn36xi30u/</t>
  </si>
  <si>
    <t xml:space="preserve">• ტიპი ორკამერიანი • საერთო სასარგებლო მოცულობა 302 ლ • მაცივრის კამერის სასარგებლო მოცულობა 215 ლ • საყინულე კამერის სასარგებლო მოცულობა 87 ლ • ენერგომოხმარები...</t>
  </si>
  <si>
    <t xml:space="preserve">შეიძინეთ მაცივარი BOSCH KGN36XI30U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</si>
  <si>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ცენტრალური გათბობის ქვაბი MIDEA L1PB36-C28WL</t>
  </si>
  <si>
    <t xml:space="preserve">S39133</t>
  </si>
  <si>
    <t xml:space="preserve">https://superi.ge/midea-l1pb36-c28wl/</t>
  </si>
  <si>
    <t xml:space="preserve">• მონტაჟის ტიპი კედლის ვერტიკალური • სიმძლავრე 36 kW • ანთების ტიპი ელექტრონული • ავზის მოცულობა 8 ლ • წვის კამერის ტიპი დახურული დამატებითი მახასიათებლები • Wi...</t>
  </si>
  <si>
    <t xml:space="preserve">შეიძინეთ ცენტრალური გათბობის ქვაბი MIDEA L1PB36-C28WL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</si>
  <si>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SAMSUNG WW11BB744CGE/LP</t>
  </si>
  <si>
    <t xml:space="preserve">228243</t>
  </si>
  <si>
    <t xml:space="preserve">https://superi.ge/samsung-ww11bb744cge-lp/</t>
  </si>
  <si>
    <t xml:space="preserve">• ჩატვირთვის ტიპი ფრონტალური • სარეცხის მაქსიმალური ჩატვირთვა 11 კგ • ბრუნვის მაქსიმალური სიჩქარე 1400 ბრ/წთ • ენერგიის მოხმარება თითო ციკლზე 1 04 კილოვატი • ენ...</t>
  </si>
  <si>
    <t xml:space="preserve">შეიძინეთ სარეცხი მანქანა SAMSUNG WW11BB744CGE/LP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</si>
  <si>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გენერატორი INGCO GE65006 (6.5 კვტ)</t>
  </si>
  <si>
    <t xml:space="preserve">1009622</t>
  </si>
  <si>
    <t xml:space="preserve">https://superi.ge/ingco-ge65006-6-5/</t>
  </si>
  <si>
    <t xml:space="preserve">• გენერატორი ბენზინის ძრავზე 6 5 კვტ INGCO GE65006 • პროდუქტის დეტალები • აქსესუარები კომპლექტში დამხმარე სახელური • ბრუნთა რიცხვი 3000 ბრ/წთ • გაგრილების სისტე...</t>
  </si>
  <si>
    <t xml:space="preserve">შეიძინეთ გენერატორი INGCO GE65006 (6.5 კვტ)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</si>
  <si>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კომპლექტი ბაღის ავეჯის მაგიდა 2 სავარძელი და დივანი JHA-16010</t>
  </si>
  <si>
    <t xml:space="preserve">17051473</t>
  </si>
  <si>
    <t xml:space="preserve">https://superi.ge/2-jha-16010/</t>
  </si>
  <si>
    <t xml:space="preserve">კომპლექტი ბაღის ავეჯის მაგიდა 2 სავარძელი და დივანი JHA-16010კომპლექტაცია • მაგიდა • დივანი • 2 ც სკამი • ბალიშები ფიზიკური პარამეტრები • მაგიდის ზომა 90x45x43 ...</t>
  </si>
  <si>
    <t xml:space="preserve">შეიძინეთ კომპლექტი ბაღის ავეჯის მაგიდა 2 სავარძელი და დივანი JHA-16010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</si>
  <si>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GREE GWH09AUCXB-K6DNA1A INVERTER (25-30მ²)</t>
  </si>
  <si>
    <t xml:space="preserve">GWH09AUCXB</t>
  </si>
  <si>
    <t xml:space="preserve">https://superi.ge/gree-gwh09aucxb-k6dna1a-inverter-25-30/</t>
  </si>
  <si>
    <t xml:space="preserve">ტიპი კედლის სპლიტ სისტემარეკომენდებული ფართი 25-30 მ²ენერგო ეფექტურობის კლასი A+++ფრეონის ტიპი R32რეჟიმი გაგრილება / გათბობაენერგო მოხმარება გაგრილების დროს 2 7...</t>
  </si>
  <si>
    <t xml:space="preserve">შეიძინეთ კონდიციონერი GREE GWH09AUCXB-K6DNA1A INVERTER (25-30მ²)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</si>
  <si>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BEKO RCNE560E35ZXB</t>
  </si>
  <si>
    <t xml:space="preserve">SA0000006556</t>
  </si>
  <si>
    <t xml:space="preserve">https://superi.ge/beko-rcne560e35zxb/</t>
  </si>
  <si>
    <t xml:space="preserve">• ტიპი ორკამერიანი • LED დისპლეი • მართვის ტიპი ელექტრონული • საერთო სასარგებლო მოცულობა 501 ლ • მაცივრის კამერის სასარგებლო მოცულობა 356 ლ • საყინულე კამერის ს...</t>
  </si>
  <si>
    <t xml:space="preserve">შეიძინეთ მაცივარი BEKO RCNE560E35ZXB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</si>
  <si>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BOSCH KSV36VW31U</t>
  </si>
  <si>
    <t xml:space="preserve">S87563</t>
  </si>
  <si>
    <t xml:space="preserve">https://superi.ge/bosch-ksv36vw31u/</t>
  </si>
  <si>
    <t xml:space="preserve">• ტიპი ერთკამერიანი • მართვის ტიპი ელექტრონული • საერთო სასარგებლო მოცულობა 348 ლ • საყინულე კამერა არა • ენერგომოხმარების კლასი A++ • ენერგომოხმარება წელიწადში...</t>
  </si>
  <si>
    <t xml:space="preserve">შეიძინეთ მაცივარი BOSCH KSV36VW31U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</si>
  <si>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ქურის ზედაპირი BOSCH PRY6A6B70Q</t>
  </si>
  <si>
    <t xml:space="preserve">I57534</t>
  </si>
  <si>
    <t xml:space="preserve">https://superi.ge/bosch-pry6a6b70q/</t>
  </si>
  <si>
    <t xml:space="preserve">• ზედაპირის ტიპი კომბინირებული • კონფორების რაოდენობა 4 3 გაზის + 1 ელექტრო • 1 ზონის სიმძლავრე 1 x 0 7 KW • მე -2 ზონის სიმძლავრე 1 x 1 1 KW • მე -3 ზონის სიმძ...</t>
  </si>
  <si>
    <t xml:space="preserve">შეიძინეთ ქურის ზედაპირი BOSCH PRY6A6B70Q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</si>
  <si>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ჩასაშენებელი ჭურჭლის სარეცხი BOSCH SPV4HMX55Q</t>
  </si>
  <si>
    <t xml:space="preserve">I93344</t>
  </si>
  <si>
    <t xml:space="preserve">https://superi.ge/bosch-spv4hmx55q/</t>
  </si>
  <si>
    <t xml:space="preserve">• ბრენდი Bosch • მოდელი SPV4HMX55Q • პროდუქტის ტიპი ჭურჭლის სარეცხი მანქანა • ტიპი ჩასაშენებელი • სერია Serie| 4 • ეკრანი LED • მართვა სენსორული • პერსონის რაოდ...</t>
  </si>
  <si>
    <t xml:space="preserve">შეიძინეთ ჩასაშენებელი ჭურჭლის სარეცხი BOSCH SPV4HMX55Q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</si>
  <si>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ჭურჭლის სარეცხი მანქანა BOSCH SMS45DW10Q</t>
  </si>
  <si>
    <t xml:space="preserve">S73460</t>
  </si>
  <si>
    <t xml:space="preserve">https://superi.ge/bosch-sms45dw10q/</t>
  </si>
  <si>
    <t xml:space="preserve">• ტიპი ცალკე მდგარი • ენერგომოხმარების კლასი A+ • ტევადობა 12 კომპლექტი • მართვის ტიპი ელექტრონული • წყლის მოხმარება ეკო რეჟიმზე 9 5 ლ პროგრამები • პროგრამების ...</t>
  </si>
  <si>
    <t xml:space="preserve">შეიძინეთ ჭურჭლის სარეცხი მანქანა BOSCH SMS45DW10Q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</si>
  <si>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ჭურჭლის სარეცხი მანქანა BOSCH SMV25CX10Q</t>
  </si>
  <si>
    <t xml:space="preserve">S30825</t>
  </si>
  <si>
    <t xml:space="preserve">https://superi.ge/bosch-smv25cx10q/</t>
  </si>
  <si>
    <t xml:space="preserve">• ტიპი ჩასაშენებელი • ენერგომოხმარების კლასი A+ • ტევადობა 12 კომპლექტი • ხმაურის დონე 44 dB • პროგრამების რაოდენობა 5 • მართვა ელექტრონული ფუნქციები • წყლის გა...</t>
  </si>
  <si>
    <t xml:space="preserve">შეიძინეთ ჭურჭლის სარეცხი მანქანა BOSCH SMV25CX10Q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</si>
  <si>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SAMSUNG UE65CU7100UXRU (165სმ)</t>
  </si>
  <si>
    <t xml:space="preserve">231782</t>
  </si>
  <si>
    <t xml:space="preserve">https://superi.ge/samsung-ue65cu7100uxru-165/</t>
  </si>
  <si>
    <t xml:space="preserve">• ტელევიზორის კლასი LED • ეკრანის დიაგონალი 65 165 სმ • ეკრანის გაფართოება 4K UHD 3840 x 2160 • სერია 7 • Smart ტექნოლოგია კი • ოპერაციული სისტემა OS Tizen ვიდე...</t>
  </si>
  <si>
    <t xml:space="preserve">შეიძინეთ ტელევიზორი SAMSUNG UE65CU7100UXRU (165სმ)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</si>
  <si>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BOSCH KGN36XW30U</t>
  </si>
  <si>
    <t xml:space="preserve">I46785</t>
  </si>
  <si>
    <t xml:space="preserve">https://superi.ge/bosch-kgn36xw30u/</t>
  </si>
  <si>
    <t xml:space="preserve">• ტიპი ორკამერიანი • მართვის ტიპი ელექტრონული • საერთო სასარგებლო მოცულობა 324 ლ • მაცივრის კამერის სასარგებლო მოცულობა 237 ლ • საყინულე კამერის სასარგებლო მოცუ...</t>
  </si>
  <si>
    <t xml:space="preserve">შეიძინეთ მაცივარი BOSCH KGN36XW30U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</si>
  <si>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BOSCH KGN39UW3</t>
  </si>
  <si>
    <t xml:space="preserve">I91289</t>
  </si>
  <si>
    <t xml:space="preserve">https://superi.ge/bosch-kgn39uw3/</t>
  </si>
  <si>
    <t xml:space="preserve">შეიძინეთ მაცივარი BOSCH KGN39UW3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</si>
  <si>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ხელის ტრაქტორი HYUNDAI GM105FQS-G 7HP</t>
  </si>
  <si>
    <t xml:space="preserve">177345</t>
  </si>
  <si>
    <t xml:space="preserve">https://superi.ge/hyundai-gm105fqs-7hp/</t>
  </si>
  <si>
    <t xml:space="preserve">• ტიპი მოტობლოკი • საწვავის ტიპი ბენზინი • ძრავი 170 F • ძრავის სიმძლავრე 7 HP / 3600 ბრ • ხვნის სიგანე 90 სმ • ხვნის სიღრმე 15-30 სმ • თოხების რაოდენობა 24 ც •...</t>
  </si>
  <si>
    <t xml:space="preserve">შეიძინეთ ხელის ტრაქტორი HYUNDAI GM105FQS-G 7HP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</si>
  <si>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ბაღის ავეჯის კომპლექტი California chaise longue Gr+NW-cg 03 STD</t>
  </si>
  <si>
    <t xml:space="preserve">17051486</t>
  </si>
  <si>
    <t xml:space="preserve">https://superi.ge/california-chaise-longue-grnw-cg-03-std/</t>
  </si>
  <si>
    <t xml:space="preserve">ბაღის ავეჯის კომპლექტი California chaise longue Gr+NW-cg 03 STDდახვეწილი და ელეგანტურიბაღის ავეჯის კომპლექტი იდეალურია ვერანდისთვის ბაღისთვის მდგრადია ამინდის პ...</t>
  </si>
  <si>
    <t xml:space="preserve">შეიძინეთ ბაღის ავეჯის კომპლექტი California chaise longue Gr+NW-cg 03 STD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</si>
  <si>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MIDEA AG-18N8DO IONISER</t>
  </si>
  <si>
    <t xml:space="preserve">S89892</t>
  </si>
  <si>
    <t xml:space="preserve">https://superi.ge/midea-ag-18n8do-ioniser/</t>
  </si>
  <si>
    <t xml:space="preserve">• ტიპი კედლის სპლიტ-სისტემა • რეჟიმი გაგრილება/გათბობა • რეკომენდირებული ფართი 55-60 მ² მდე • ენერგომოხმარების კლასი A++/A+ • მოხმარებადი სიმძლავრე გაგრილების რ...</t>
  </si>
  <si>
    <t xml:space="preserve">შეიძინეთ კონდიციონერი MIDEA AG-18N8DO IONISER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</si>
  <si>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BOSCH KGN36XL30U</t>
  </si>
  <si>
    <t xml:space="preserve">I46774</t>
  </si>
  <si>
    <t xml:space="preserve">https://superi.ge/bosch-kgn36xl30u/</t>
  </si>
  <si>
    <t xml:space="preserve">• ტიპი ორკამერიანი • სერია 4 • მართვის ტიპი ელექტრონული • საერთო სასარგებლო მოცულობა 324 ლ • მაცივრის კამერის სასარგებლო მოცულობა 237 ლ • საყინულე კამერის სასარ...</t>
  </si>
  <si>
    <t xml:space="preserve">შეიძინეთ მაცივარი BOSCH KGN36XL30U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</si>
  <si>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HISENSE RC-67WS BI</t>
  </si>
  <si>
    <t xml:space="preserve">RC-67WS</t>
  </si>
  <si>
    <t xml:space="preserve">https://superi.ge/hisense-rc-67ws-bi/</t>
  </si>
  <si>
    <t xml:space="preserve">• ტიპი Side-By-Side • საერთო სასარგებლო მოცულობა 516 ლ • მაცივრის კამერის სასარგებლო მოცულობა 339 ლ • საყინულე კამერის სასარგებლო მოცულობა 177 ლ • საყინულე კამე...</t>
  </si>
  <si>
    <t xml:space="preserve">შეიძინეთ მაცივარი HISENSE RC-67WS BI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</si>
  <si>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HISENSE RD-62WC/INOX</t>
  </si>
  <si>
    <t xml:space="preserve">462268</t>
  </si>
  <si>
    <t xml:space="preserve">https://superi.ge/hisense-rd-62wc-inox/</t>
  </si>
  <si>
    <t xml:space="preserve">• ტიპი ცალკე მდგომი • საერთო სასარგებლო მოცულობა 495 ლ • მაცივრის კამერის სასარგებლო მოცულობა 345 ლ • საყინულე კამერის სასარგებლო მოცულობა 150 ლ • საყინულე კამე...</t>
  </si>
  <si>
    <t xml:space="preserve">შეიძინეთ მაცივარი HISENSE RD-62WC/INOX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</si>
  <si>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პორტატული ელექტროსადგური EcoFlow River 2 Pro</t>
  </si>
  <si>
    <t xml:space="preserve">13044661</t>
  </si>
  <si>
    <t xml:space="preserve">https://superi.ge/ecoflow-river-2-pro/</t>
  </si>
  <si>
    <t xml:space="preserve">დამუხტვა 0-100% მხოლოდ 70 წუთში ის 5-ჯერ უფრო სწრაფია ვიდრე ინდუსტრიის ნორმა და 27%-ითუფრო სწრაფი ვიდრე წინა თაობა დამუხტვა შეუზღუდავად დატენვის ოთხი მრავალმხრი...</t>
  </si>
  <si>
    <t xml:space="preserve">შეიძინეთ პორტატული ელექტროსადგური EcoFlow River 2 Pro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</si>
  <si>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ჩასაშენებელი ღუმელი GORENJE BOS67372CLI</t>
  </si>
  <si>
    <t xml:space="preserve">S64385</t>
  </si>
  <si>
    <t xml:space="preserve">https://superi.ge/gorenje-bos67372cli/</t>
  </si>
  <si>
    <t xml:space="preserve">• ღუმელის ტიპი ელექტრო • მართვის ტიპი მექანიკური • სიმძლავრე 3 5 KW • მოცულობა 77 ლ მაქსიმალური ტემპერატურა 300 °С • ენერგომოხმარების კლასი A ფუნქციები • რეჟიმე...</t>
  </si>
  <si>
    <t xml:space="preserve">შეიძინეთ ჩასაშენებელი ღუმელი GORENJE BOS67372CLI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</si>
  <si>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ჭურჭლის სარეცხი მანქანა BOSCH SMS45DI10Q</t>
  </si>
  <si>
    <t xml:space="preserve">I66304</t>
  </si>
  <si>
    <t xml:space="preserve">https://superi.ge/bosch-sms45di10q/</t>
  </si>
  <si>
    <t xml:space="preserve">• ტიპი ცალკე მდგარი • ენერგომოხმარების კლასი A+ • ტევადობა 12 კომპლექტი • მართვის ტიპი ელექტრონული • წყლის მოხმარება ეკო რეჟიმზე 9 5 ლ • ელექტრო ენერგიის მოხმარ...</t>
  </si>
  <si>
    <t xml:space="preserve">შეიძინეთ ჭურჭლის სარეცხი მანქანა BOSCH SMS45DI10Q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</si>
  <si>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17051548</t>
  </si>
  <si>
    <t xml:space="preserve">https://superi.ge/product-8916/</t>
  </si>
  <si>
    <t xml:space="preserve">ბაღის ავაჯის კომპლექტიბაღის ავეჯის კომპლექტი შექმნილია პრემიუმ ხარისხის მასალებისგან რაც უზრუნველყოფს გამორჩეულ გამძლეობასა და მინიმალურ მოვლას კომპლექტი გამოირ...</t>
  </si>
  <si>
    <t xml:space="preserve">17051570</t>
  </si>
  <si>
    <t xml:space="preserve">https://superi.ge/product-8917/</t>
  </si>
  <si>
    <t xml:space="preserve">ბაღის ავეჯის კომპლექტიბაღის ავეჯის კომპლექტი გთავაზობთ სიმტკიცისა და სიმსუბუქის იდეალურ ბალანსს რაც მას სრულყოფილ არჩევანად აქცევს ნებისმიერი გარე სივრცისთვის –...</t>
  </si>
  <si>
    <t xml:space="preserve">კონდიციონერი GREE GWH18AGC-K3NNA1A (55-60 მ²)</t>
  </si>
  <si>
    <t xml:space="preserve">232802</t>
  </si>
  <si>
    <t xml:space="preserve">https://superi.ge/gree-gwh18agc-k3nna1a-55-60/</t>
  </si>
  <si>
    <t xml:space="preserve">• ტიპი კედლის სპლიტ სისტემა • რეკომენდებული ფართი 55-60 მ² -მდე • ენერგო მოხმარება გაგრილების დროს 1 46 kW • ენერგო მოხმარება გათბობის დროს 1 47 kW • სიმძლავრე ...</t>
  </si>
  <si>
    <t xml:space="preserve">შეიძინეთ კონდიციონერი GREE GWH18AGC-K3NNA1A (55-60 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</si>
  <si>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HAIER TIBIO INVERTER 24000 (75-80 მ²)</t>
  </si>
  <si>
    <t xml:space="preserve">HSU-24HTL103/R2(IN)(OUT)</t>
  </si>
  <si>
    <t xml:space="preserve">https://superi.ge/haier-tibio-inverter-24000-75-80/</t>
  </si>
  <si>
    <t xml:space="preserve">• ტიპი კედლის სპლიტ სისტემა • ძირითადი რეჟიმები გაგრილება გათბობა • რეკომენდირებული ფართი 75-80 მ² -მდ • სიმძლავრე გაგრილების რეჟიმში 24000 BTU/სთ • სიმძლავრე გ...</t>
  </si>
  <si>
    <t xml:space="preserve">შეიძინეთ კონდიციონერი HAIER TIBIO INVERTER 24000 (75-80 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</si>
  <si>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დათოვლილი ნაძვის ხე - 270 სმ (2223-270)</t>
  </si>
  <si>
    <t xml:space="preserve">2223-270</t>
  </si>
  <si>
    <t xml:space="preserve">სახლი და დეკორი &gt; საახალწლო &gt; ნაძვის ხეები</t>
  </si>
  <si>
    <t xml:space="preserve">https://superi.ge/270-2223-270/</t>
  </si>
  <si>
    <t xml:space="preserve">დათოვლილი ნაძვის ხე სილიკონის წიწვებით გამძლე დრეკადი მეტალის ტოტებით ჯანმრთელობისთვის უსაფრთხო მასალისგან დამზადებული წიწვები მეტალის მყარი სადგამით და მთავარი...</t>
  </si>
  <si>
    <t xml:space="preserve">შეიძინეთ დათოვლილი ნაძვის ხე - 270 სმ (2223-270)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</si>
  <si>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ჩასაშენებელი მიკროტალღური ღუმელი BOSCH BEL554MS0</t>
  </si>
  <si>
    <t xml:space="preserve">S70418</t>
  </si>
  <si>
    <t xml:space="preserve">https://superi.ge/bosch-bel554ms0/</t>
  </si>
  <si>
    <t xml:space="preserve">• ტიპი ჩასაშენებელი • მართვის ტიპი მექანიკური/სენსორული • სიმძლავრე 900 W • გრილის სიმძლავრე 1200 W • მოცულობა 25 ლ • წმენდის ტიპი ჰიდროლიზური მახასიათებლები • ...</t>
  </si>
  <si>
    <t xml:space="preserve">შეიძინეთ ჩასაშენებელი მიკროტალღური ღუმელი BOSCH BEL554MS0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</si>
  <si>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BOSCH CLIMATE 3000I INVERTER 12000 BTU</t>
  </si>
  <si>
    <t xml:space="preserve">213053</t>
  </si>
  <si>
    <t xml:space="preserve">https://superi.ge/bosch-climate-3000i-inverter-12000-btu/</t>
  </si>
  <si>
    <t xml:space="preserve">• ტიპი კედლის სპლიტ სისტემა • რეკომენდირებული ფართი 35 მ²- მდე • შიდა ბლოკის ხმაურის დონე 22 dB A • ენერგოეფექტურობის კლასი A++/A+ • კომპრესორის ტიპი ინვერტორულ...</t>
  </si>
  <si>
    <t xml:space="preserve">შეიძინეთ კონდიციონერი BOSCH CLIMATE 3000I INVERTER 12000 BTU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</si>
  <si>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GREE GWH09ACC-K6DNA1F INVERTER (25-30მ²)</t>
  </si>
  <si>
    <t xml:space="preserve">GWH09ACC</t>
  </si>
  <si>
    <t xml:space="preserve">https://superi.ge/gree-gwh09acc-k6dna1f-inverter-25-30/</t>
  </si>
  <si>
    <t xml:space="preserve">ტიპი კედლის სპლიტ სისტემა რეკომენდებული ფართი 25-30 მ² ენერგო ეფექტურობის კლასი A++ ფრეონის ტიპი R32 რეჟიმი გაგრილება / გათბობა ენერგო მოხმარება გაგრილების დროს...</t>
  </si>
  <si>
    <t xml:space="preserve">შეიძინეთ კონდიციონერი GREE GWH09ACC-K6DNA1F INVERTER (25-30მ²)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</si>
  <si>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SAMSUNG RT47CG6442S9WT</t>
  </si>
  <si>
    <t xml:space="preserve">231418</t>
  </si>
  <si>
    <t xml:space="preserve">https://superi.ge/samsung-rt47cg6442s9wt/</t>
  </si>
  <si>
    <t xml:space="preserve">• ტიპი ორკამერიანი • ძრავის ტიპი ინვერტერული • მართვის ტიპი მექანიკური • საერთო სასარგებლო მოცულობა 460 ლ • მაცივრის კამერის სასარგებლო მოცულობა 353 ლ • საყინულ...</t>
  </si>
  <si>
    <t xml:space="preserve">შეიძინეთ მაცივარი SAMSUNG RT47CG6442S9WT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</si>
  <si>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ბაღის ავეჯის კომპლექტი მაგიდა 173x102x75 სმ 6 სკამი 60x62x91 სმ JM-PS-T726</t>
  </si>
  <si>
    <t xml:space="preserve">17051628</t>
  </si>
  <si>
    <t xml:space="preserve">https://superi.ge/173x102x75-6-60x62x91-jm-ps-t726/</t>
  </si>
  <si>
    <t xml:space="preserve">ბაღის ავეჯის კომპლექტი - მაგიდა 173x102x75 სმ 6 სკამი 60x62x91 სმ JM-PS-T726ბაღის ავეჯი იდეალურია აგარაკისთვის ტერასისთვის კაფესთვის სამზარეულოსთვის ან სახლისთვ...</t>
  </si>
  <si>
    <t xml:space="preserve">შეიძინეთ ბაღის ავეჯის კომპლექტი მაგიდა 173x102x75 სმ 6 სკამი 60x62x91 სმ JM-PS-T726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</si>
  <si>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DYSON SV28 V11 ABSOLUTE EXTRA NICKEL/RED</t>
  </si>
  <si>
    <t xml:space="preserve">229762</t>
  </si>
  <si>
    <t xml:space="preserve">https://superi.ge/dyson-sv28-v11-absolute-extra-nickel-red/</t>
  </si>
  <si>
    <t xml:space="preserve">• ტიპი ვერტიკალური ელექტრო ცოცხი • შესრუტვის სიმძლავრე 185 W • კონტეინერის ტევადობა 0 77 ლ • დასუფთავების ტიპი მშრალი • კვების ტიპი აკუმულატორი მახასიათებლები •...</t>
  </si>
  <si>
    <t xml:space="preserve">შეიძინეთ DYSON SV28 V11 ABSOLUTE EXTRA NICKEL/RED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</si>
  <si>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DYSON V12 DT SLIM ABSOLUTE GRAY</t>
  </si>
  <si>
    <t xml:space="preserve">234477</t>
  </si>
  <si>
    <t xml:space="preserve">https://superi.ge/dyson-v12-dt-slim-absolute-gray/</t>
  </si>
  <si>
    <t xml:space="preserve">• ტიპი ვერტიკალური ელექტრო ცოცხი • შესრუტვის სიმძლავრე 16 W • მტვრის კონტეინერის მოცულობა 340 მლ • კვების ტიპი უსადენო • დასუფთავების ტიპი მშრალი • დისპლეი მახა...</t>
  </si>
  <si>
    <t xml:space="preserve">შეიძინეთ DYSON V12 DT SLIM ABSOLUTE GRAY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</si>
  <si>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ALL IN ONE კომპიუტერი ACER ASPIRE C22-1700 (DQ.BJPMC.002)</t>
  </si>
  <si>
    <t xml:space="preserve">DQ.BJPMC.002</t>
  </si>
  <si>
    <t xml:space="preserve">ტექნიკა &gt; ნოუთბუქები, კომპიუტერები, მონიტორები &gt; მონობლოკები All in One</t>
  </si>
  <si>
    <t xml:space="preserve">https://superi.ge/all-in-one-acer-aspire-c22-1700-dq-bjpmc-002/</t>
  </si>
  <si>
    <t xml:space="preserve">• ბრენდი Acer • მოდელი DQ BJPMC 002 • პროდუქტის ტიპი All In One კომპიუტერი • ეკრანის ზომა 21 5″ • ეკრანის რეზოლუცია 1920 x 1080 FHD • მატრიცის ტიპი IPS • პროცეს...</t>
  </si>
  <si>
    <t xml:space="preserve">შეიძინეთ ALL IN ONE კომპიუტერი ACER ASPIRE C22-1700 (DQ.BJPMC.002)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</si>
  <si>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გამწოვი BOSCH DWK97HM61T</t>
  </si>
  <si>
    <t xml:space="preserve">I94850</t>
  </si>
  <si>
    <t xml:space="preserve">https://superi.ge/bosch-dwk97hm61t/</t>
  </si>
  <si>
    <t xml:space="preserve">• მოდელი: BOSCH DWK97HM61T • გამწოვის ტიპი: გუმბათოვანი • მონტაჟი: კედელზე დასაკიდი • წარმადობა: 700 მ³/სთ • სიჩქარეების რაოდენობა: 3 • ენერგოეფექტურობის კლასი: B</t>
  </si>
  <si>
    <t xml:space="preserve">შეიძინეთ გამწოვი BOSCH DWK97HM61T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</si>
  <si>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TCL C521CDIB SIDE BY SIDE BLUE</t>
  </si>
  <si>
    <t xml:space="preserve">160577</t>
  </si>
  <si>
    <t xml:space="preserve">https://superi.ge/tcl-c521cdib-side-by-side-silver/</t>
  </si>
  <si>
    <t xml:space="preserve">ზოგადი ინფორმაცია • ბრენდი TCL • მოდელი / PN C521CDIB • ტიპი კომბინირებული მაცივარი-საყინულე SIDE BY SIDE • კონსტრუქციის ტიპი ცალკე მდგომი • კონტროლის ტიპი ელექ...</t>
  </si>
  <si>
    <t xml:space="preserve">შეიძინეთ მაცივარი TCL C521CDIB SIDE BY SIDE BLUE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</si>
  <si>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BOSCH WGA244ZRME (9კგ)</t>
  </si>
  <si>
    <t xml:space="preserve">I92665</t>
  </si>
  <si>
    <t xml:space="preserve">https://superi.ge/bosch-wga244zrme-9/</t>
  </si>
  <si>
    <t xml:space="preserve">შეიძინეთ სარეცხი მანქანა BOSCH WGA244ZRME (9კგ)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</si>
  <si>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GRUNDIG 65 GGU 8960</t>
  </si>
  <si>
    <t xml:space="preserve">219801</t>
  </si>
  <si>
    <t xml:space="preserve">https://superi.ge/grundig-65-ggu-8960/</t>
  </si>
  <si>
    <t xml:space="preserve">• ტელევიზორის კლასი LED • ეკრანის დიაგონალი 65 165 სმ • ეკრანის გაფართოება 4K 3840 x 2160 • SMART ტექნოლოგია კი • ოპერაციული სისტემა Android TV ვიდეო • განახლებ...</t>
  </si>
  <si>
    <t xml:space="preserve">შეიძინეთ ტელევიზორი GRUNDIG 65 GGU 8960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</si>
  <si>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HISENSE 70A6BG</t>
  </si>
  <si>
    <t xml:space="preserve">210460</t>
  </si>
  <si>
    <t xml:space="preserve">https://superi.ge/hisense-70a6bg/</t>
  </si>
  <si>
    <t xml:space="preserve">• ტელევიზორის კლასი DLED • ტიპი UHD TV • ეკრანის დიაგონალი 70 178 სმ • ეკრანის გაფართოება 4K 3840 x 2160 • Smart ტექნოლოგია კი • ოპერაციული სისტემა Vidaa U5 ვიდ...</t>
  </si>
  <si>
    <t xml:space="preserve">შეიძინეთ ტელევიზორი HISENSE 70A6BG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</si>
  <si>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ჩასაშენებელი ღუმელი BOSCH HIJ517YB0R</t>
  </si>
  <si>
    <t xml:space="preserve">I74865</t>
  </si>
  <si>
    <t xml:space="preserve">https://superi.ge/bosch-hij517yb0r/</t>
  </si>
  <si>
    <t xml:space="preserve">• ღუმელის ტიპი ელექტრო • სერია 6 • მართვის ტიპი მექანიკური • მოცულობა 66 ლ • ენერგოეფექტურობის კლასი A+ • წმენდის ტიპი ჰიდროლიზური ფუნქციები • ავტომატური პროგრა...</t>
  </si>
  <si>
    <t xml:space="preserve">შეიძინეთ ჩასაშენებელი ღუმელი BOSCH HIJ517YB0R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</si>
  <si>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ცენტრალური გათბობის ქვაბი MIDEA L1PB32-C28WL</t>
  </si>
  <si>
    <t xml:space="preserve">S77602</t>
  </si>
  <si>
    <t xml:space="preserve">https://superi.ge/midea-l1pb32-c28wl/</t>
  </si>
  <si>
    <t xml:space="preserve">• მონტაჟის ტიპი კედლის ვერტიკალური • სიმძლავრე 32 kW • ანთების ტიპი ელექტრონული • ავზის მოცულობა 8 ლ • წვის კამერის ტიპი დახურული დამატებითი მახასიათებლები • Wi...</t>
  </si>
  <si>
    <t xml:space="preserve">შეიძინეთ ცენტრალური გათბობის ქვაბი MIDEA L1PB32-C28WL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</si>
  <si>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ბაღის ავეჯის კომპლექტი მაგიდა და 6 სკამი SL-003</t>
  </si>
  <si>
    <t xml:space="preserve">17051598</t>
  </si>
  <si>
    <t xml:space="preserve">https://superi.ge/6-sl-003/</t>
  </si>
  <si>
    <t xml:space="preserve">ბაღის ავეჯის კომპლექტი მაგიდა და 6 სკამი SL-003შექმენით ელეგანტური და ფუნქციონალური სასადილო ზონა ღია ცის ქვეშ SL-003ბაღის ავეჯის კომპლექტით ეს კომპლექტი იდეალუ...</t>
  </si>
  <si>
    <t xml:space="preserve">შეიძინეთ ბაღის ავეჯის კომპლექტი მაგიდა და 6 სკამი SL-003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</si>
  <si>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გენერატორი ბენზინის Konner&amp;Sohnen KSB 6500C 5500W</t>
  </si>
  <si>
    <t xml:space="preserve">08043169</t>
  </si>
  <si>
    <t xml:space="preserve">https://superi.ge/konner-and-sohnen-ksb-6500c-5500w/</t>
  </si>
  <si>
    <t xml:space="preserve">სისტემა Easy Start System საშუალებას გაძლევთ სწრაფად და მარტივად ჩართოთ ძრავი მოსახერხებელიდა ერგონომიული გენერატორის პანელი მარტივი მართვისთვის ძაბვის სტაბილიზ...</t>
  </si>
  <si>
    <t xml:space="preserve">შეიძინეთ გენერატორი ბენზინის Konner&amp;Sohnen KSB 6500C 5500W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</si>
  <si>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MIDEA MAE-12N8D6 INVERTER</t>
  </si>
  <si>
    <t xml:space="preserve">S27016</t>
  </si>
  <si>
    <t xml:space="preserve">https://superi.ge/midea-mae-12n8d6-inverter/</t>
  </si>
  <si>
    <t xml:space="preserve">• ტიპი კედლის სპლიტ-სისტემა • რეჟიმი გაგრილება/გათბობა • რეკომენდირებული ფართი 35-40 მ² მდე • ძრავის ტიპი ინვენტორული • მაქსიმალური სიმძლავრე 2300 W • ენერგომოხ...</t>
  </si>
  <si>
    <t xml:space="preserve">შეიძინეთ კონდიციონერი MIDEA MAE-12N8D6 INVERTER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</si>
  <si>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BOSCH CLIMATE 2000 ON/OFF 18000 BTU</t>
  </si>
  <si>
    <t xml:space="preserve">213046</t>
  </si>
  <si>
    <t xml:space="preserve">https://superi.ge/bosch-climate-2000-on-off-18000-btu/</t>
  </si>
  <si>
    <t xml:space="preserve">• ტიპი კედლის სპლიტ სისტემა • რეკომენდირებული ფართი 60 მ²- მდე • შიდა ბლოკის ხმაურის დონე 26 5 dB A • ფრეონის ტიპი R410 მახასიათებლები • Wi-Fi მართვის საშუალება...</t>
  </si>
  <si>
    <t xml:space="preserve">შეიძინეთ კონდიციონერი BOSCH CLIMATE 2000 ON/OFF 18000 BTU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</si>
  <si>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HOFFMANN EIAC-24K (75-80 მ²) INVERTER</t>
  </si>
  <si>
    <t xml:space="preserve">TM-MT-BMT-1198-AC-1263</t>
  </si>
  <si>
    <t xml:space="preserve">https://superi.ge/hoffmann-eiac-24k-75-80-inverter/</t>
  </si>
  <si>
    <t xml:space="preserve">• მწარმოებელი HOFFMANN • ტიპი კედლის სპლიტ-სისტემა • ელექტროენერგიის მოხმარების კლასი A • ძრავის ტიპი ინვენტორული • რეკომენდირებული ფართი 75-80 მ²-მდე • ფრეონის...</t>
  </si>
  <si>
    <t xml:space="preserve">შეიძინეთ კონდიციონერი HOFFMANN EIAC-24K (75-80 მ²) INVERTER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</si>
  <si>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LG GBB62DSHEC</t>
  </si>
  <si>
    <t xml:space="preserve">228859</t>
  </si>
  <si>
    <t xml:space="preserve">https://superi.ge/lg-gbb62dshec/</t>
  </si>
  <si>
    <t xml:space="preserve">• ტიპი ორკამერიანი • საერთო სასარგებლო მოცულობა 384 ლ • მაცივრის კამერის სასარგებლო მოცულობა 277 ლ • საყინულე კამერის სასარგებლო მოცულობა 107 ლ • საყინულე კამერ...</t>
  </si>
  <si>
    <t xml:space="preserve">შეიძინეთ მაცივარი LG GBB62DSHEC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</si>
  <si>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საყინულე GORENJE FN619FEW5</t>
  </si>
  <si>
    <t xml:space="preserve">I90759</t>
  </si>
  <si>
    <t xml:space="preserve">https://superi.ge/gorenje-fn619few5/</t>
  </si>
  <si>
    <t xml:space="preserve">• ტიპი ვერტიკალური • მართვის ტიპი მექანიკური • სასარგებლო მოცულობა 310 ლ • გაგრილების სისტემა No Frost მშრალი გაყინვა • გალღობის სისტემა ავტომატური • უჯრების რა...</t>
  </si>
  <si>
    <t xml:space="preserve">შეიძინეთ საყინულე GORENJE FN619FEW5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</si>
  <si>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SAMSUNG UE55BU8072UXXH</t>
  </si>
  <si>
    <t xml:space="preserve">220342</t>
  </si>
  <si>
    <t xml:space="preserve">https://superi.ge/samsung-ue55bu8072uxxh/</t>
  </si>
  <si>
    <t xml:space="preserve">• ეკრანის ტიპი LEDs • ეკრანის დიაგონალი 55 140 სმ • ეკრანის გაფართოება Ultra HD 3840 x 2160 • სეირა 8 • Smart ტექნოლოგია კი ვიდეო • გამოსახულების პროცესორი Crys...</t>
  </si>
  <si>
    <t xml:space="preserve">შეიძინეთ ტელევიზორი SAMSUNG UE55BU8072UXXH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</si>
  <si>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კომპრესორი REMEZA SB4/С-100.АВ360 (A)</t>
  </si>
  <si>
    <t xml:space="preserve">175634</t>
  </si>
  <si>
    <t xml:space="preserve">https://superi.ge/remeza-sb4-s-100-av360-a/</t>
  </si>
  <si>
    <t xml:space="preserve">• რესივერის მოცულობა 100 ლ • ძაბვა 220 V • ნომინალური სიმძლავრე 2 2 Kw • წარმადობა 360 ლ/წთ • მაქსიმალური წნევა 10 bar ფიზიკური პარამეტრები • ზომა 1150 x 500 x ...</t>
  </si>
  <si>
    <t xml:space="preserve">შეიძინეთ კომპრესორი REMEZA SB4/С-100.АВ360 (A)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</si>
  <si>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BOSCH CLIMATE 3000I INVERTER 9000 BTU</t>
  </si>
  <si>
    <t xml:space="preserve">213058</t>
  </si>
  <si>
    <t xml:space="preserve">https://superi.ge/bosch-climate-3000i-inverter-9000-btu/</t>
  </si>
  <si>
    <t xml:space="preserve">• ტიპი კედლის სპლიტ სისტემა • რეკომენდირებული ფართი 25 მ²- მდე • შიდა ბლოკის ხმაურის დონე 22 dB A • ენერგოეფექტურობის კლასი A++/A+ • კომპრესორის ტიპი ინვერტორულ...</t>
  </si>
  <si>
    <t xml:space="preserve">შეიძინეთ კონდიციონერი BOSCH CLIMATE 3000I INVERTER 9000 BTU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</si>
  <si>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ხელის ტრაქტორი BAUMA PREMIUM BM1000N 7 HP</t>
  </si>
  <si>
    <t xml:space="preserve">194551</t>
  </si>
  <si>
    <t xml:space="preserve">https://superi.ge/bauma-premium-bm1000n-7-hp/</t>
  </si>
  <si>
    <t xml:space="preserve">• ტიპი ხელის ტრაქტორი • საწვავის ტიპი ბენზინი • ძრავი 170 F • დახვნის სიგანე 1100 მმ • დახვნის სიღრმე 150-300 მმ • მაქსიმალური სიმძლავრე 7ცხ ძალა/3600 ბრუნი • თ...</t>
  </si>
  <si>
    <t xml:space="preserve">შეიძინეთ ხელის ტრაქტორი BAUMA PREMIUM BM1000N 7 HP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</si>
  <si>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ხელის ტრაქტორი ROYAL TURBO RT1000BG</t>
  </si>
  <si>
    <t xml:space="preserve">177331</t>
  </si>
  <si>
    <t xml:space="preserve">https://superi.ge/royal-turbo-rt1000bg/</t>
  </si>
  <si>
    <t xml:space="preserve">• ტიპი მოტობლოკი • საწვავის ტიპი ბენზინი • ძრავი 170 F • ძრავის სიმძლავრე 7 HP / 3600 ბრ • ხვნის სიგანე 105 სმ • ხვნის სიღრმე 15-30 სმ • წონა 115 კგ • თოხების რ...</t>
  </si>
  <si>
    <t xml:space="preserve">შეიძინეთ ხელის ტრაქტორი ROYAL TURBO RT1000BG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</si>
  <si>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გამწოვი BOSCH DWK67CM60</t>
  </si>
  <si>
    <t xml:space="preserve">I69413</t>
  </si>
  <si>
    <t xml:space="preserve">https://superi.ge/bosch-dwk67cm60/</t>
  </si>
  <si>
    <t xml:space="preserve">• გამწოვის ტიპი გუმბათოვანი • მონტაჟი კედელზე დასაკიდი • წარმადობა 416 მ³/სთ • სიჩქარეების რაოდენობა 3 • ხმაურის დონე 58-74 dB • რეცირკულაციის ხმაურის დონე 73 d...</t>
  </si>
  <si>
    <t xml:space="preserve">შეიძინეთ გამწოვი BOSCH DWK67CM60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</si>
  <si>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MIDEA XT-09N8D6 INVERTER BLACK (25-30 მ²)</t>
  </si>
  <si>
    <t xml:space="preserve">S58948</t>
  </si>
  <si>
    <t xml:space="preserve">https://superi.ge/midea-xt-09n8d6-inverter-black-25-30/</t>
  </si>
  <si>
    <t xml:space="preserve">• ტიპი კედლის სპლიტ-სისტემა • რეჟიმი გაგრილება/გათბობა • რეკომენდებული ფართი 25-30 მ² მდე • ენერგომოხმარების კლასი A+++/A+++ • მოხმარებადი სიმძლავრე გაგრილების ...</t>
  </si>
  <si>
    <t xml:space="preserve">შეიძინეთ კონდიციონერი MIDEA XT-09N8D6 INVERTER BLACK (25-30 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</si>
  <si>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MIDEA XT-12N8D6 INVERTER GOLD (35-40 მ²)</t>
  </si>
  <si>
    <t xml:space="preserve">S25976</t>
  </si>
  <si>
    <t xml:space="preserve">https://superi.ge/midea-xt-12n8d6-inverter-gold-35-40/</t>
  </si>
  <si>
    <t xml:space="preserve">• ტიპი კედლის სპლიტ-სისტემა • რეჟიმი გაგრილება/გათბობა • რეკომენდებული ფართი 35-40 მ² მდე • ენერგომოხმარების კლასი A+++ • მოხმარებადი სიმძლავრე გაგრილების რეჟიმ...</t>
  </si>
  <si>
    <t xml:space="preserve">შეიძინეთ კონდიციონერი MIDEA XT-12N8D6 INVERTER GOLD (35-40 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</si>
  <si>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ჭურჭლის სარეცხი მანქანა BOSCH SMS43D08ME</t>
  </si>
  <si>
    <t xml:space="preserve">I33176</t>
  </si>
  <si>
    <t xml:space="preserve">https://superi.ge/bosch-sms43d08me/</t>
  </si>
  <si>
    <t xml:space="preserve">• ელექტროენერგიის მოხმარების კლასი A+ • რეცხვის ეფექტურობის კლასი A • გაშრობის ეფექტურობის კლასი A • ტევადობა 12 კომპლექტი • პროგრამების რაოდენობა 4 • ტემპერატუ...</t>
  </si>
  <si>
    <t xml:space="preserve">შეიძინეთ ჭურჭლის სარეცხი მანქანა BOSCH SMS43D08ME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</si>
  <si>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ჭურჭლის სარეცხი მანქანა BOSCH SMV25BX02R</t>
  </si>
  <si>
    <t xml:space="preserve">I75502</t>
  </si>
  <si>
    <t xml:space="preserve">https://superi.ge/bosch-smv25bx02r/</t>
  </si>
  <si>
    <t xml:space="preserve">• ტიპი ჩასაშენებელი • ენერგომოხმარების კლასი A • მართვის ტიპი მექანიკური • ტევადობა 12 კომპლექტი • წყლის მოხმარება 10 5 ლ • წყლის მაქსიმალური ტემპერატურა 70°C •...</t>
  </si>
  <si>
    <t xml:space="preserve">შეიძინეთ ჭურჭლის სარეცხი მანქანა BOSCH SMV25BX02R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</si>
  <si>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კომპრესორი REMEZA SB4/С-100.LB30 (A)</t>
  </si>
  <si>
    <t xml:space="preserve">175630</t>
  </si>
  <si>
    <t xml:space="preserve">https://superi.ge/remeza-sb4-s-100-lb30-a/</t>
  </si>
  <si>
    <t xml:space="preserve">• რესივერის მოცულობა 100 ლ • ძაბვა 220 V • ნომინალური სიმძლავრე 2 2 Kw • წარმადობა 420 ლ/წთ • მაქსიმალური წნევა 10 bar ფიზიკური პარამეტრები • ზომა 1150 x 490 x ...</t>
  </si>
  <si>
    <t xml:space="preserve">შეიძინეთ კომპრესორი REMEZA SB4/С-100.LB30 (A)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</si>
  <si>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SAMSUNG QE50Q60CAUXXH 2023 (127სმ)</t>
  </si>
  <si>
    <t xml:space="preserve">231781</t>
  </si>
  <si>
    <t xml:space="preserve">https://superi.ge/samsung-qe50q60cauxxh-2023-127/</t>
  </si>
  <si>
    <t xml:space="preserve">• ტელევიზორის კლასი QLED • ტიპი 4K Smart TV • ეკრანის დიაგონალი 50 127 სმ • ეკრანის გაფართოება 4K UHD 3840 x 2160 • სერია 6 • Smart ტექნოლოგია კი • ოპერაციული ს...</t>
  </si>
  <si>
    <t xml:space="preserve">შეიძინეთ ტელევიზორი SAMSUNG QE50Q60CAUXXH 2023 (127სმ)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</si>
  <si>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MIDEA MDRS619FGF46</t>
  </si>
  <si>
    <t xml:space="preserve">MDRS619FGF46</t>
  </si>
  <si>
    <t xml:space="preserve">https://superi.ge/midea-mdrs619fgf46/</t>
  </si>
  <si>
    <t xml:space="preserve">• ტიპი Side-by-Side • მართვის ტიპი ელექტრონული • მაცივრის საერთო მოცულობა 460 ლ • მაცივრის სასარგებლო მოცულობა 271 ლ • საყინულის სასარგებლო მოცულობა 189 ლ • საყ...</t>
  </si>
  <si>
    <t xml:space="preserve">შეიძინეთ მაცივარი MIDEA MDRS619FGF46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</si>
  <si>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GREE GWH12AGB-K6DNA1A INVERTER (35-40 მ²)</t>
  </si>
  <si>
    <t xml:space="preserve">232807</t>
  </si>
  <si>
    <t xml:space="preserve">https://superi.ge/gree-gwh12agb-k6dna1a-inverter-35-40/</t>
  </si>
  <si>
    <t xml:space="preserve">• ტიპი კედლის სპლიტ სისტემა • რეკომენდებული ფართი 35-40 მ² -მდე • ენერგო მოხმარება გაგრილების დროს 0 991 kW • ენერგო მოხმარება გათბობის დროს 0 916 kW • სიმძლავრ...</t>
  </si>
  <si>
    <t xml:space="preserve">შეიძინეთ კონდიციონერი GREE GWH12AGB-K6DNA1A INVERTER (35-40 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</si>
  <si>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HITACHI R-VX440PUC9 BSL</t>
  </si>
  <si>
    <t xml:space="preserve">I90899</t>
  </si>
  <si>
    <t xml:space="preserve">https://superi.ge/hitachi-r-vx440puc9-bsl/</t>
  </si>
  <si>
    <t xml:space="preserve">• ტიპი ორკამერიანი • საერთო მოცულობა 450 ლ • საყინულე კამერის განლაგება ზედა • გალღობის სისტემა NoFrost მშრალი გაყინვა • ენერგოეფექტურობის კლასი A+ • კლიმატ კლა...</t>
  </si>
  <si>
    <t xml:space="preserve">შეიძინეთ მაცივარი HITACHI R-VX440PUC9 BSL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</si>
  <si>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MIDEA MDRS619FGF25</t>
  </si>
  <si>
    <t xml:space="preserve">196146</t>
  </si>
  <si>
    <t xml:space="preserve">https://superi.ge/midea-mdrs619fgf25/</t>
  </si>
  <si>
    <t xml:space="preserve">• ტიპი Side-by-Side • მართვის ტიპი ელექტრონული • მაცივრის კამერის სასარგებლო მოცულობა 271 ლ • საყინულე კამერის სასარგებლო მოცულობა 189 ლ • კარების რაოდენობა 2 •...</t>
  </si>
  <si>
    <t xml:space="preserve">შეიძინეთ მაცივარი MIDEA MDRS619FGF25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</si>
  <si>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ჩასაშენებელი ღუმელი SAMSUNG BESPOKE NV7B5645TAK</t>
  </si>
  <si>
    <t xml:space="preserve">S58394</t>
  </si>
  <si>
    <t xml:space="preserve">https://superi.ge/samsung-bespoke-nv7b5645tak/</t>
  </si>
  <si>
    <t xml:space="preserve">• ღუმელის ტიპი ელექტრო • მართვის ტიპი მექანიკური/სენსორული • ღუმელის საერთო სასარგებლო მოცულობა 76 ლ • ენერგოეფექტურობის კლასი A+ • ცხობის მაქსიმალური ტემპერატუ...</t>
  </si>
  <si>
    <t xml:space="preserve">შეიძინეთ ჩასაშენებელი ღუმელი SAMSUNG BESPOKE NV7B5645TAK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</si>
  <si>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პროექტორი ACER MR.JTW11.001</t>
  </si>
  <si>
    <t xml:space="preserve">MR.JTW11.001</t>
  </si>
  <si>
    <t xml:space="preserve">ტექნიკა &gt; საოფისე და ქსელური მოწყობილობები &gt; პროექტორები და აქსესუარები &gt; პროექტორი</t>
  </si>
  <si>
    <t xml:space="preserve">https://superi.ge/acer-mr-jtw11-001/</t>
  </si>
  <si>
    <t xml:space="preserve">• ბრენდი Acer • მოდელი MR JTW11 001 • პროდუქტის ტიპი პროექტორი • ტექნოლოგია DLP • ასპექტის თანაფარდობა 16 10 • სიკაშკაშე 4500 ANSI ლუმენი • გარჩევადობა 1280 x 8...</t>
  </si>
  <si>
    <t xml:space="preserve">შეიძინეთ პროექტორი ACER MR.JTW11.001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</si>
  <si>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AUX ASW-H24A4/QCR1 (75-80მ²)</t>
  </si>
  <si>
    <t xml:space="preserve">H24A4</t>
  </si>
  <si>
    <t xml:space="preserve">https://superi.ge/aux-asw-h24a4-qcr1-75-80/</t>
  </si>
  <si>
    <t xml:space="preserve">• მოდელი ASW-H24A4/QCR1 • ტიპი კედლის სპლიტ სისტემა • რეკომენდებული ფართობი მონტაჟისთვის 75-80 მ² • გაგრილების სიმძლავრე 6300 ვატი • გათბობის სიმძლავრე 6300 ვატ...</t>
  </si>
  <si>
    <t xml:space="preserve">შეიძინეთ კონდიციონერი AUX ASW-H24A4/QCR1 (75-80მ²)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</si>
  <si>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BEKO B3DRCNK402HXBR</t>
  </si>
  <si>
    <t xml:space="preserve">S11210</t>
  </si>
  <si>
    <t xml:space="preserve">https://superi.ge/beko-b3drcnk402hxbr/</t>
  </si>
  <si>
    <t xml:space="preserve">• ტიპი ორკამერიანი • საერთო სასარგებლო მოცულობა 403 ლ • ენერგოეფექტურობის კლასი A+ • გალღობის სისტემა NoFrost მშრალი ყინვა • კლიმატის კლასი SN-T • საყინულე კამე...</t>
  </si>
  <si>
    <t xml:space="preserve">შეიძინეთ მაცივარი BEKO B3DRCNK402HXBR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</si>
  <si>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BOSCH KDN43NW20U</t>
  </si>
  <si>
    <t xml:space="preserve">I72957</t>
  </si>
  <si>
    <t xml:space="preserve">https://superi.ge/bosch-kdn43nw20u/</t>
  </si>
  <si>
    <t xml:space="preserve">• ტიპი ორკამერიანი • საერთო სასარგებლო მოცულობა 328 ლ • მაცივრის კამერის სასარგებლო მოცულობა 239 ლ • საყინულე კამერის სასარგებლო მოცულობა 89 ლ • ენერგოეფექტურობ...</t>
  </si>
  <si>
    <t xml:space="preserve">შეიძინეთ მაცივარი BOSCH KDN43NW20U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</si>
  <si>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LG F2V5GG2S</t>
  </si>
  <si>
    <t xml:space="preserve">07017</t>
  </si>
  <si>
    <t xml:space="preserve">https://superi.ge/lg-f2v5gg2s/</t>
  </si>
  <si>
    <t xml:space="preserve">• ჩატვირთვის ტიპი ფრონტალური • მაქსიმალური ჩატვირთვა 8 5 კგ • მაქსიმალური საშრობი დატვირთვა 5 კგ • ბრუნვის მაქსიმალური სიჩქარე 1200 ბრ/წთ • ძრავის ტიპი ინვერტორ...</t>
  </si>
  <si>
    <t xml:space="preserve">შეიძინეთ სარეცხი მანქანა LG F2V5GG2S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</si>
  <si>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TCL 65C655</t>
  </si>
  <si>
    <t xml:space="preserve">154184</t>
  </si>
  <si>
    <t xml:space="preserve">https://superi.ge/tcl-65c655/</t>
  </si>
  <si>
    <t xml:space="preserve">მახასიათებლები • ტიპი QLED TV • სმარტი დიახ • დიაგონალი 65 • გარჩევადობა 3840 x 2160 4K • განათება DLED • განახლების სიხშირე 60 Hz • სიკაშკაშე 450 cd/m² • სტატი...</t>
  </si>
  <si>
    <t xml:space="preserve">შეიძინეთ ტელევიზორი TCL 65C655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</si>
  <si>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ჩასაშენებელი ღუმელი BOSCH HBG517ES0R</t>
  </si>
  <si>
    <t xml:space="preserve">I74871</t>
  </si>
  <si>
    <t xml:space="preserve">https://superi.ge/bosch-hbg517es0r/</t>
  </si>
  <si>
    <t xml:space="preserve">• ღუმელის ტიპი ელექტრო • მართვის ტიპი მექანიკური • მოცულობა 71 ლ • მაქსიმალური ტემპერატურა 275°C • ენერგომოხმარების კლასი A ფუნქციები • რეჟიმების რაოდენობა 7 • ...</t>
  </si>
  <si>
    <t xml:space="preserve">შეიძინეთ ჩასაშენებელი ღუმელი BOSCH HBG517ES0R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</si>
  <si>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ჩასაშენებელი ჭურჭლის სარეცხი მანქანა GORENJE GV663D60</t>
  </si>
  <si>
    <t xml:space="preserve">I88804</t>
  </si>
  <si>
    <t xml:space="preserve">https://superi.ge/gorenje-gv663d60/</t>
  </si>
  <si>
    <t xml:space="preserve">• ტიპი სრულად ჩასაშენებელი • მართვის ტიპი ელექტრონული / სენსორული • ტევადობა 16 კომპლექტი • წყლის მოხმარება 11 ლ • რეცხვის კლასი A • შრობის კლასი A • ხმაურის დო...</t>
  </si>
  <si>
    <t xml:space="preserve">შეიძინეთ ჩასაშენებელი ჭურჭლის სარეცხი მანქანა GORENJE GV663D60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</si>
  <si>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ჭურჭლის სარეცხი მანქანა BOSCH SMI50D05TR</t>
  </si>
  <si>
    <t xml:space="preserve">I46341</t>
  </si>
  <si>
    <t xml:space="preserve">https://superi.ge/bosch-smi50d05tr/</t>
  </si>
  <si>
    <t xml:space="preserve">• ტიპი ინტეგრირებული • ელექტროენერგიის მოხმარების კლასი A+ • რეცხვის ეფექტურობის კლასი A • გაშრობის ეფექტურობის კლასი A • ტევადობა 12 კომპლექტი • რეცხვის პროგრა...</t>
  </si>
  <si>
    <t xml:space="preserve">შეიძინეთ ჭურჭლის სარეცხი მანქანა BOSCH SMI50D05TR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</si>
  <si>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ჭურჭლის სარეცხი მანქანა BOSCH SMS44DW01T</t>
  </si>
  <si>
    <t xml:space="preserve">S82942</t>
  </si>
  <si>
    <t xml:space="preserve">https://superi.ge/bosch-sms44dw01t/</t>
  </si>
  <si>
    <t xml:space="preserve">• ტიპი ცალკე მდგომი ჩაშენების შესაძლებლობა • მართვის ტიპი ელექტრონული • ტევადობა 13 კომპლექტი • ენერგოეფექტურობის კლასი D • წყლის მოხმარება 9 5 ლ • Ხმაურის დონე...</t>
  </si>
  <si>
    <t xml:space="preserve">შეიძინეთ ჭურჭლის სარეცხი მანქანა BOSCH SMS44DW01T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</si>
  <si>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HAIER TIBIO INVERTER 18000 (55-60მ²)</t>
  </si>
  <si>
    <t xml:space="preserve">HSU-18HTL103/R2(IN)(OUT)</t>
  </si>
  <si>
    <t xml:space="preserve">https://superi.ge/haier-tibio-inverter-18000-55-60/</t>
  </si>
  <si>
    <t xml:space="preserve">• ტიპი კედლის სპლიტ სისტემა • ძირითადი რეჟიმები გაგრილება გათბობა • რეკომენდირებული ფართი 55-60 მ² -მდე • სიმძლავრე გაგრილების რეჟიმში 18000 BTU/სთ • სიმძლავრე ...</t>
  </si>
  <si>
    <t xml:space="preserve">შეიძინეთ კონდიციონერი HAIER TIBIO INVERTER 18000 (55-60მ²)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</si>
  <si>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კომპრესორი REMEZA SB4/С-50.LB30 (A)</t>
  </si>
  <si>
    <t xml:space="preserve">175631</t>
  </si>
  <si>
    <t xml:space="preserve">https://superi.ge/remeza-sb4-s-50-lb30-a/</t>
  </si>
  <si>
    <t xml:space="preserve">• რესივერის მოცულობა 50 ლ • ძაბვა 220 V • ნომინალური სიმძლავრე 2 2 Kw • წარმადობა 420 ლ/წთ • მაქსიმალური წნევა 10 bar ფიზიკური პარამეტრები • ზომა 850 x 450 x 77...</t>
  </si>
  <si>
    <t xml:space="preserve">შეიძინეთ კომპრესორი REMEZA SB4/С-50.LB30 (A)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</si>
  <si>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გენერატორი ბენზინის Konner&amp;Sohnen KS 3000E 3kW</t>
  </si>
  <si>
    <t xml:space="preserve">08043088</t>
  </si>
  <si>
    <t xml:space="preserve">https://superi.ge/konner-and-sohnen-ks-3000e-3kw/</t>
  </si>
  <si>
    <t xml:space="preserve">მოსახერხებელი ერგონომიული მართვის პანელი ელექტროსტარტერით სისტემა Easy Start Systemსაშუალებას გაძლევთ სწრაფად და მარტივად ჩართოთ ძრავი აღჭურვილია დიდი მოცულობის...</t>
  </si>
  <si>
    <t xml:space="preserve">შეიძინეთ გენერატორი ბენზინის Konner&amp;Sohnen KS 3000E 3kW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</si>
  <si>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HOFFMANN EOAC-24K (80 მ²)</t>
  </si>
  <si>
    <t xml:space="preserve">TM-MT-BMT-1198-AC-1260</t>
  </si>
  <si>
    <t xml:space="preserve">https://superi.ge/hoffmann-eoac-24k-80/</t>
  </si>
  <si>
    <t xml:space="preserve">• მწარმოებელი HOFFMANN • ტიპი კედლის სპლიტ-სისტემა • ელექტროენერგიის მოხმარების კლასი A • ძრავის ტიპი ON/OFF • რეკომენდირებული ფართი 75-80 მ²-მდე • ფრეონის ტიპი...</t>
  </si>
  <si>
    <t xml:space="preserve">შეიძინეთ კონდიციონერი HOFFMANN EOAC-24K (80 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</si>
  <si>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LG GR-C639HLCL</t>
  </si>
  <si>
    <t xml:space="preserve">228790</t>
  </si>
  <si>
    <t xml:space="preserve">https://superi.ge/lg-gr-c639hlcl/</t>
  </si>
  <si>
    <t xml:space="preserve">• ტიპი ცალკე მდგომი • მაცივრის სტილი ზედა საყინულით • საერთო სასარგებლო მოცულობა 471 ლ • მაცივრის კამერის სასარგებლო მოცულობა 438 ლ • ენერგო მოხმარება A++ • ხმა...</t>
  </si>
  <si>
    <t xml:space="preserve">შეიძინეთ მაცივარი LG GR-C639HLCL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</si>
  <si>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LG 55UP76703LB</t>
  </si>
  <si>
    <t xml:space="preserve">201120</t>
  </si>
  <si>
    <t xml:space="preserve">https://superi.ge/lg-55up76703lb/</t>
  </si>
  <si>
    <t xml:space="preserve">• ტელევიზორის კლასი LED • ტიპი Real 4K Display • ეკრანის დიაგონალი 55 140 სმ • ეკრანის გაფართოება 4K Ultra HD 3840 x 2160 • Smart ტექნოლოგია კი ვიდეო • სიხშირე ...</t>
  </si>
  <si>
    <t xml:space="preserve">შეიძინეთ ტელევიზორი LG 55UP76703LB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</si>
  <si>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აუზი INTEX 26790 (400X200X122 სმ)</t>
  </si>
  <si>
    <t xml:space="preserve">213943</t>
  </si>
  <si>
    <t xml:space="preserve">სახლი და დეკორი &gt; აუზები და აქსესუარები</t>
  </si>
  <si>
    <t xml:space="preserve">https://superi.ge/intex-26790-400x200x122/</t>
  </si>
  <si>
    <t xml:space="preserve">• ტიპი კარკასული • მოცულობა 8418 ლ • INTEX უზრუნველყოფს აუზის მაღალ საიმედოობასა და გამძლეობას დამატებითი მახასიათებლები • ფორმა მრგვალი • არ სჭირდება ნიადაგის ...</t>
  </si>
  <si>
    <t xml:space="preserve">შეიძინეთ აუზი INTEX 26790 (400X200X122 სმ)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</si>
  <si>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აუზი INTEX 26726 (457х122 სმ)</t>
  </si>
  <si>
    <t xml:space="preserve">209186</t>
  </si>
  <si>
    <t xml:space="preserve">https://superi.ge/intex-26726-457h122/</t>
  </si>
  <si>
    <t xml:space="preserve">• ტიპი კარკასული • მოცულობა 16805 ლ • SUPER-TOUGH ტექნოლოგია უზრუნველყოფს აუზის საიმედოობასა და გამძლეობას დამატებითი მახასიათებლები • ფორმა მრგვალი • ასაწყობი ...</t>
  </si>
  <si>
    <t xml:space="preserve">შეიძინეთ აუზი INTEX 26726 (457х122 სმ)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</si>
  <si>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გამწოვი BOSCH DWF95AJ60T</t>
  </si>
  <si>
    <t xml:space="preserve">I85853</t>
  </si>
  <si>
    <t xml:space="preserve">https://superi.ge/bosch-dwf95aj60t/</t>
  </si>
  <si>
    <t xml:space="preserve">• გამწოვის ტიპი გუმბათოვანი • მონტაჟი კედელზე დასაკიდი • წარმადობა 649 მ³/სთ • სიჩქარეების რაოდენობა 3 • ხმაურის დონე 76 dB მახასიათებლები • მართვის ტიპი ელექტრ...</t>
  </si>
  <si>
    <t xml:space="preserve">შეიძინეთ გამწოვი BOSCH DWF95AJ60T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</si>
  <si>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გამწოვი BOSCH DWK67CM20</t>
  </si>
  <si>
    <t xml:space="preserve">I73439</t>
  </si>
  <si>
    <t xml:space="preserve">https://superi.ge/bosch-dwk67cm20/</t>
  </si>
  <si>
    <t xml:space="preserve">• ტიპი გუმბათოვანი • წარმადობა 700 მ3/სთ • სიმძლავრე 263 W • სიჩქარეების რაოდენობა 3 • ენერგოეფექტურობის კლასი B • ენერგიის საშუალო წლიური მოხმარება 56 6 კვტ/სთ...</t>
  </si>
  <si>
    <t xml:space="preserve">შეიძინეთ გამწოვი BOSCH DWK67CM20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</si>
  <si>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MIDEA MSCB-12HRFN8 (35-40მ²) INVENTER</t>
  </si>
  <si>
    <t xml:space="preserve">S74536</t>
  </si>
  <si>
    <t xml:space="preserve">https://superi.ge/midea-mscb-12hrfn8-35-40-inventer/</t>
  </si>
  <si>
    <t xml:space="preserve">• ტიპი კედლის სპლიტ-სისტემა • ძრავის ტიპი ინვენტორული • რეჟიმი გაგრილება/გათბობა • რეკომენდირებული ფართი 35 - 40 მ² -მდე • სიმძლავრე გაგრილების რეჟიმში 12283 47...</t>
  </si>
  <si>
    <t xml:space="preserve">შეიძინეთ კონდიციონერი MIDEA MSCB-12HRFN8 (35-40მ²) INVENTER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</si>
  <si>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BOSCH KGV39VW30U</t>
  </si>
  <si>
    <t xml:space="preserve">I92597</t>
  </si>
  <si>
    <t xml:space="preserve">https://superi.ge/bosch-kgv39vw30u/</t>
  </si>
  <si>
    <t xml:space="preserve">• ტიპი ორკამერიანი • მართვის ტიპი ელექტრონული • საერთო სასარგებლო მოცულობა 343 ლ • მაცივრის კამერის სასარგებლო მოცულობა 252 ლ • საყინულე კამერის სასარგებლო მოცუ...</t>
  </si>
  <si>
    <t xml:space="preserve">შეიძინეთ მაცივარი BOSCH KGV39VW30U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</si>
  <si>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HISENSE RD-43WC4S/BG</t>
  </si>
  <si>
    <t xml:space="preserve">43WC4S/BG</t>
  </si>
  <si>
    <t xml:space="preserve">https://superi.ge/hisense-rd-43wc4s-bg/</t>
  </si>
  <si>
    <t xml:space="preserve">• ტიპი ორკამერიანი • საერთო სასარგებლო მოცულობა 336 ლ • მაცივრის კამერის სასარგებლო მოცულობა 238 ლ • საყინულე კამერის სასარგებლო მოცულობა 98 ლ • საყინულე კამერი...</t>
  </si>
  <si>
    <t xml:space="preserve">შეიძინეთ მაცივარი HISENSE RD-43WC4S/BG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</si>
  <si>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LG GN-B472PQMB.ADSQMEA</t>
  </si>
  <si>
    <t xml:space="preserve">I92664</t>
  </si>
  <si>
    <t xml:space="preserve">https://superi.ge/lg-gn-b472pqmb-adsqmea/</t>
  </si>
  <si>
    <t xml:space="preserve">• ტიპი: ორკამერიანი • მართვის ტიპი: ელექტრონული • საერთო სასარგებლო მოცულობა: 340 ლ • მაცივრის კამერის სასარგებლო მოცულობა: 246 ლ • საყინულე კამერის სასარგებლო მოცულობა: 79 ლ • საყინულე კამერის განლაგება: ზედა • გაგრილების სისტემა: No Frost • გალღო</t>
  </si>
  <si>
    <t xml:space="preserve">შეიძინეთ მაცივარი LG GN-B472PQMB.ADSQMEA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</si>
  <si>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მიკროტალღური ღუმელი BOSCH BEL653MB3</t>
  </si>
  <si>
    <t xml:space="preserve">I74586</t>
  </si>
  <si>
    <t xml:space="preserve">https://superi.ge/bosch-bel653mb3/</t>
  </si>
  <si>
    <t xml:space="preserve">• ტიპი ჩასაშენებელი • მართვის ტიპი ელექტრონული / მექანიკური • სიმძლავრე 800 W • მოცულობა 25 ლ • ენერგომოხმარება 1 270 W მახასიათებლები • გრილის ფუნქცია • გრილის...</t>
  </si>
  <si>
    <t xml:space="preserve">შეიძინეთ მიკროტალღური ღუმელი BOSCH BEL653MB3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</si>
  <si>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LG F4V5VS0W</t>
  </si>
  <si>
    <t xml:space="preserve">207248</t>
  </si>
  <si>
    <t xml:space="preserve">https://superi.ge/lg-f4v5vs0w/</t>
  </si>
  <si>
    <t xml:space="preserve">• ჩატვირთვის ტიპი ფრონტალური • ძრავის ტიპი ინვერტორული / პირდაპირი წამყვანი • სარეცხის მაქსიმალური ჩატვირთვა 9 კგ • ბრუნვის მაქსიმალური სიჩქარე 1400 ბრ/წთ • ენე...</t>
  </si>
  <si>
    <t xml:space="preserve">შეიძინეთ სარეცხი მანქანა LG F4V5VS0W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</si>
  <si>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SAMSUNG WW11BGA047AELP</t>
  </si>
  <si>
    <t xml:space="preserve">229385</t>
  </si>
  <si>
    <t xml:space="preserve">https://superi.ge/samsung-ww11bga047aelp/</t>
  </si>
  <si>
    <t xml:space="preserve">• ჩატვირთვის ტიპი ფრონტალური • ძრავის ტიპი ინვერტორული • სარეცხის მაქსიმალური ჩატვირთვა 11 კგ • ბრუნვის მაქსიმალური სიჩქარე 1400 ბრ/წთ • რეცვის კლასი A • მართვი...</t>
  </si>
  <si>
    <t xml:space="preserve">შეიძინეთ სარეცხი მანქანა SAMSUNG WW11BGA047AELP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</si>
  <si>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TOSHIBA TW-BK110G4UZ (WK)</t>
  </si>
  <si>
    <t xml:space="preserve">210772</t>
  </si>
  <si>
    <t xml:space="preserve">https://superi.ge/toshiba-tw-bk110g4uz-wk/</t>
  </si>
  <si>
    <t xml:space="preserve">• ჩატვირთვის ტიპი ფრონტალური • მაქსიმალური ჩატვირთვა 10 კგ • ძრავის ტიპი ინვერტორული • ენერგოეფექტურობის კლასი A+++ • ბრუნვის მაქსიმალური სიჩქარე 1400 ბრ/წთ • მ...</t>
  </si>
  <si>
    <t xml:space="preserve">შეიძინეთ სარეცხი მანქანა TOSHIBA TW-BK110G4UZ (WK)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</si>
  <si>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SAMSUNG UE43AU8072UXXH</t>
  </si>
  <si>
    <t xml:space="preserve">199276</t>
  </si>
  <si>
    <t xml:space="preserve">https://superi.ge/samsung-ue43au8072uxxh/</t>
  </si>
  <si>
    <t xml:space="preserve">• ტელევიზორის კლასი LED • ტიპი HDR TV • ეკრანის დიაგონალი 43 109 2 სმ • ეკრანის გაფართოება 4K Ultra HD 3840 x 2160 • სერია 8 • Smart ტექნოლოგია კი ვიდეო • High ...</t>
  </si>
  <si>
    <t xml:space="preserve">შეიძინეთ ტელევიზორი SAMSUNG UE43AU8072UXXH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</si>
  <si>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ჩასაშენებელი ღუმელი BOSCH HBG536HW0R</t>
  </si>
  <si>
    <t xml:space="preserve">I75160</t>
  </si>
  <si>
    <t xml:space="preserve">https://superi.ge/bosch-hbg536hw0r/</t>
  </si>
  <si>
    <t xml:space="preserve">• ტიპი: ჩასაშნებელი • სერია: 6 • ღუმელის საერთო სასარგებლო მოცულობა: 71 ლ • რეჟიმების რაოდენობა: 7 • ენერგოეფექტურობის კლასი: A • ტემპერატურის დიაპაზონი: 50- 275 °C • მართვის ტიპი: მექანიკური / სენსორული • წმენდის ტიპი: ჰიდროლიზური</t>
  </si>
  <si>
    <t xml:space="preserve">შეიძინეთ ჩასაშენებელი ღუმელი BOSCH HBG536HW0R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</si>
  <si>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ჩასაშენებელი ღუმელი GORENJE BOS6727SYB</t>
  </si>
  <si>
    <t xml:space="preserve">S90210</t>
  </si>
  <si>
    <t xml:space="preserve">https://superi.ge/gorenje-bos6727syb/</t>
  </si>
  <si>
    <t xml:space="preserve">• ღუმელის ტიპი ელექტრო • მართვის ტიპი მექანიკური • მოცულობა 71 ლ • ენერგოეფექტურობის კლასი A+ ფუნქციები • გალღობა • ზედა / ქვედა წვა ერთდროულად • ქვედა წვა + კო...</t>
  </si>
  <si>
    <t xml:space="preserve">შეიძინეთ ჩასაშენებელი ღუმელი GORENJE BOS6727SYB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</si>
  <si>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ჭურჭლის სარეცხი მანქანა BOSCH SMS2HTW72E</t>
  </si>
  <si>
    <t xml:space="preserve">I75484</t>
  </si>
  <si>
    <t xml:space="preserve">https://superi.ge/bosch-sms2htw72e/</t>
  </si>
  <si>
    <t xml:space="preserve">• ტიპი ცალკე მდგომი • მართვის ტიპი ელექტრონული/სენსორული • ტევადობა 12 კომპლექტი • ენერგოეფექტურობის კლასი C • წყლის მოხმარება 9 5 ლ • Ხმაურის დონე 46 dB A • ენ...</t>
  </si>
  <si>
    <t xml:space="preserve">შეიძინეთ ჭურჭლის სარეცხი მანქანა BOSCH SMS2HTW72E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</si>
  <si>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ჰაერის კომპრესორი INGCO AC301008</t>
  </si>
  <si>
    <t xml:space="preserve">218705</t>
  </si>
  <si>
    <t xml:space="preserve">https://superi.ge/ingco-ac301008/</t>
  </si>
  <si>
    <t xml:space="preserve">• ბრუნთა რიცხვი 1100 ბრ/წთ • წარმადობა 236 ლ/წთ• სიმძლავრე 2200 W • მოცულობა 100 ლ • მაქსიმალური წნევა 8 ბარი • შემავალი სიმძლავრე 2 2 კვტ 3 ც ძ • ძრავის ტიპი ღ...</t>
  </si>
  <si>
    <t xml:space="preserve">შეიძინეთ ჰაერის კომპრესორი INGCO AC301008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</si>
  <si>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LG 50NANO783QA</t>
  </si>
  <si>
    <t xml:space="preserve">214107</t>
  </si>
  <si>
    <t xml:space="preserve">https://superi.ge/lg-50nano783qa/</t>
  </si>
  <si>
    <t xml:space="preserve">• ტელევიზორის კლასი LED • ტიპი 4K UHD • ეკრანის დიაგონალი 50 127 სმ • ეკრანის გაფართოება 4K Ultra HD 3840 x 2160 • Smart ტექნოლოგია კი • ოპერაციული სისტემა webO...</t>
  </si>
  <si>
    <t xml:space="preserve">შეიძინეთ ტელევიზორი LG 50NANO783QA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</si>
  <si>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SAMSUNG UE55AU7172UXXH</t>
  </si>
  <si>
    <t xml:space="preserve">199240</t>
  </si>
  <si>
    <t xml:space="preserve">https://superi.ge/samsung-ue55au7172uxxh/</t>
  </si>
  <si>
    <t xml:space="preserve">• ტელევიზორის კლასი LED • ტიპი HDR TV • ეკრანის დიაგონალი 55 140 სმ • ეკრანის გაფართოება 4K UHD 3840 x 2160 • Smart ტექნოლოგია კი ვიდეო • PQI გამოსახულების ხარი...</t>
  </si>
  <si>
    <t xml:space="preserve">შეიძინეთ ტელევიზორი SAMSUNG UE55AU7172UXXH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</si>
  <si>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BEKO B5DF T 510447 M</t>
  </si>
  <si>
    <t xml:space="preserve">S27582</t>
  </si>
  <si>
    <t xml:space="preserve">https://superi.ge/beko-b5df-t-510447-m/</t>
  </si>
  <si>
    <t xml:space="preserve">• ჩატვირთვის ტიპი ფრონტალური • სარეცხის მაქსიმალური ჩატვირთვა 10 კგ • გაშრობის მოცულობა 6 კგ • ბრუნვის მაქსიმალური სიჩქარე 1400 ბრ/წთ • ენერგომოხმარების კლასი A...</t>
  </si>
  <si>
    <t xml:space="preserve">შეიძინეთ სარეცხი მანქანა BEKO B5DF T 510447 M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</si>
  <si>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გენერატორი AL-KO 2500-C (8041420)</t>
  </si>
  <si>
    <t xml:space="preserve">203086</t>
  </si>
  <si>
    <t xml:space="preserve">https://superi.ge/al-ko-2500-c-8041420/</t>
  </si>
  <si>
    <t xml:space="preserve">• საწვავის ტიპი ბენზინი • გაშვების ტიპი ელექტრული სტარტერი / მექანიკური • საწვავის ავზის მოცულობა 15 ლ • ნომინალური სიმძლავრე 2200 W • სამუშაო სიმძლავრე 2200 W ...</t>
  </si>
  <si>
    <t xml:space="preserve">შეიძინეთ გენერატორი AL-KO 2500-C (8041420)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</si>
  <si>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LG LBB509EQYW.AEPQMER</t>
  </si>
  <si>
    <t xml:space="preserve">S43100</t>
  </si>
  <si>
    <t xml:space="preserve">https://superi.ge/lg-lbb509eqyw-aepqmer/</t>
  </si>
  <si>
    <t xml:space="preserve">ზოგადი ინფორმაცია • ბრენდი LG • მოდელი LBB509EQYW AEPQMER • ტიპი ორკამერიანი მაცივარი • კონსტრუქციის ტიპი ცალკე მდგომი • საყინულის მდებარეობა ქვედა • ეკრანი დია...</t>
  </si>
  <si>
    <t xml:space="preserve">შეიძინეთ მაცივარი LG LBB509EQYW.AEPQMER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</si>
  <si>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VESTEL IACHA 25FMDN</t>
  </si>
  <si>
    <t xml:space="preserve">210388</t>
  </si>
  <si>
    <t xml:space="preserve">https://superi.ge/vestel-iacha-25fmdn/</t>
  </si>
  <si>
    <t xml:space="preserve">• ტიპი კედლის სპლიტ-სისტემა • რეჟიმი გაგრილება/გათბობა • რეკომენდირებული ფართი 25-35 მ² მდე • მოხმარებადი სიმძლავრე გაგრილების რეჟიმში 2 5KW 8530 BTU • მოხმარებ...</t>
  </si>
  <si>
    <t xml:space="preserve">შეიძინეთ კონდიციონერი VESTEL IACHA 25FMDN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</si>
  <si>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ბაღის ავეჯის კომპლექტი მაგიდა და 2 სავარძელი</t>
  </si>
  <si>
    <t xml:space="preserve">17051602</t>
  </si>
  <si>
    <t xml:space="preserve">https://superi.ge/2-ka-3/</t>
  </si>
  <si>
    <t xml:space="preserve">ბაღის ავეჯის კომპლექტიეს ელეგანტური ბაღის ავეჯის კომპლექტი მოიცავს მყარ ფოლადის საძირკველს და ხარისხიან რატანის ხელნაკეთ საფარს რომელიც თანამედროვე იერსახეს სძე...</t>
  </si>
  <si>
    <t xml:space="preserve">შეიძინეთ ბაღის ავეჯის კომპლექტი მაგიდა და 2 სავარძელი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</si>
  <si>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GREE GWH09AGA-K6DNA1A INVERTER (25-30 მ²)</t>
  </si>
  <si>
    <t xml:space="preserve">232806</t>
  </si>
  <si>
    <t xml:space="preserve">https://superi.ge/gree-gwh09aga-k6dna1a-inverter-25-30/</t>
  </si>
  <si>
    <t xml:space="preserve">• ტიპი კედლის სპლიტ სისტემა • რეკომენდებული ფართი 25-30 მ² -მდე • ენერგო მოხმარება გაგრილების დროს 0 750 kW • ენერგო მოხმარება გათბობის დროს 0 8 kW • სიმძლავრე ...</t>
  </si>
  <si>
    <t xml:space="preserve">შეიძინეთ კონდიციონერი GREE GWH09AGA-K6DNA1A INVERTER (25-30 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</si>
  <si>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LG GBP31DSTZR</t>
  </si>
  <si>
    <t xml:space="preserve">228123</t>
  </si>
  <si>
    <t xml:space="preserve">https://superi.ge/lg-gbp31dstzr/</t>
  </si>
  <si>
    <t xml:space="preserve">• ტიპი ცალკე მდგომი • მაცივრის სტილი ქვედა საყინულით • საერთო სასარგებლო მოცულობა 341 ლ • მაცივრის კამერის სასარგებლო მოცულობა 234 ლ • საყინულე კამერის სასარგებ...</t>
  </si>
  <si>
    <t xml:space="preserve">შეიძინეთ მაცივარი LG GBP31DSTZR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</si>
  <si>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BOSCH WAN2420XME (8კგ)</t>
  </si>
  <si>
    <t xml:space="preserve">I90204</t>
  </si>
  <si>
    <t xml:space="preserve">https://superi.ge/bosch-wan2420xme-8/</t>
  </si>
  <si>
    <t xml:space="preserve">• ჩატვირთვის ტიპი ფრონტალური • სარეცხის მაქსიმალური ჩატვირთვა 8 კგ • ბრუნვის მაქსიმალური სიჩქარე 1200 ბრ/წთ • ენერგომოხმარების კლასი A+++ • მართვის ტიპი ელექტრო...</t>
  </si>
  <si>
    <t xml:space="preserve">შეიძინეთ სარეცხი მანქანა BOSCH WAN2420XME (8კგ)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</si>
  <si>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TOSHIBA 55C450KE (140სმ)</t>
  </si>
  <si>
    <t xml:space="preserve">210463</t>
  </si>
  <si>
    <t xml:space="preserve">https://superi.ge/toshiba-55c450ke-140/</t>
  </si>
  <si>
    <t xml:space="preserve">• ტელევიზორის კლასი QLED • ტიპი HDR TV • ეკრანის დიაგონალი 55 140 სმ • ეკრანის გაფართოება 4K 3840 x 2160 • Smart ტექნოლოგია კი • ოპერაციული სისტემა VIDAA U5 0 ვ...</t>
  </si>
  <si>
    <t xml:space="preserve">შეიძინეთ ტელევიზორი TOSHIBA 55C450KE (140სმ)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</si>
  <si>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SAMSUNG UE55TU7092UXXH</t>
  </si>
  <si>
    <t xml:space="preserve">207563</t>
  </si>
  <si>
    <t xml:space="preserve">https://superi.ge/samsung-ue55tu7092uxxh/</t>
  </si>
  <si>
    <t xml:space="preserve">• ტელევიზორის კლასი LED • ტიპი Crystal UHD TV • ეკრანის დიაგონალი 55 140 სმ • ეკრანის გაფართოება 4K UHD 3840 x 2160 • სერია 7 • Smart ტექნოლოგია კი • ოპერაციული...</t>
  </si>
  <si>
    <t xml:space="preserve">შეიძინეთ ტელევიზორი SAMSUNG UE55TU7092UXXH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</si>
  <si>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საკერავი მანქანა BROTHER MODERN 210E</t>
  </si>
  <si>
    <t xml:space="preserve">180482</t>
  </si>
  <si>
    <t xml:space="preserve">https://superi.ge/brother-modern-210e/</t>
  </si>
  <si>
    <t xml:space="preserve">• ტიპი კომპიუტერიზირებული ელექტრონიული • ჰორიზონტალური მაქო • სიმძლავრე 40 W • კერვის ოპერაციების რაოდენობა 210 ფუნქციები და მახასიათებლები • LCD დისპლეი • მარყ...</t>
  </si>
  <si>
    <t xml:space="preserve">შეიძინეთ საკერავი მანქანა BROTHER MODERN 210E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</si>
  <si>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LG 43UP7550PVG</t>
  </si>
  <si>
    <t xml:space="preserve">207911</t>
  </si>
  <si>
    <t xml:space="preserve">https://superi.ge/lg-43up7550pvg/</t>
  </si>
  <si>
    <t xml:space="preserve">• ტელევიზორის კლასი LED • ტიპი 4K UHD • ეკრანის დიაგონალი 43 109 სმ • ეკრანის გაფართოება 4K Ultra HD 3840 x 2160 • Smart ტექნოლოგია კი • ოპერაციული სისტემა webO...</t>
  </si>
  <si>
    <t xml:space="preserve">შეიძინეთ ტელევიზორი LG 43UP7550PVG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</si>
  <si>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თმის დასახვევი DYSON AIRWRAP MULTI-STYLER COMPLETE LONG HS05 LB COPPER/BLUE</t>
  </si>
  <si>
    <t xml:space="preserve">DY011</t>
  </si>
  <si>
    <t xml:space="preserve">ტექნიკა &gt; წვრილი საყოფაცხოვრებო ტექნიკა &gt; თმის უთო/სტაილერი</t>
  </si>
  <si>
    <t xml:space="preserve">https://superi.ge/dyson-airwrap-multi-styler-complete-long-hs05-lb-copper-blue/</t>
  </si>
  <si>
    <t xml:space="preserve">• ტიპი თმის სახვევი • სიმძლავრე 1300 W • ჰაერის ნაკადის სიჩქარე 13 5 ლ/წმ • ტემპერატურის რეჟიმები 60°C - 150°C • ტემპერატურის პარამეტრები 3 დამატებითი მახასიათე...</t>
  </si>
  <si>
    <t xml:space="preserve">შეიძინეთ თმის დასახვევი DYSON AIRWRAP MULTI-STYLER COMPLETE LONG HS05 LB COPPER/BLUE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</si>
  <si>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MIDEA XT-09N8D6 INVERTER SILVER (25-30 მ²)</t>
  </si>
  <si>
    <t xml:space="preserve">S39191</t>
  </si>
  <si>
    <t xml:space="preserve">https://superi.ge/midea-xt-09n8d6-inverter-silver-25-30/</t>
  </si>
  <si>
    <t xml:space="preserve">• ტიპი კედლის სპლიტ-სისტემა • რეჟიმი გაგრილება/გათბობა • რეკომენდებული ფართი 25-30 მ² მდე • ენერგომოხმარების კლასი A+++ • მოხმარებადი სიმძლავრე გაგრილების რეჟიმ...</t>
  </si>
  <si>
    <t xml:space="preserve">შეიძინეთ კონდიციონერი MIDEA XT-09N8D6 INVERTER SILVER (25-30 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</si>
  <si>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TCL TAC-18CHSA/TPG11I (50-60 მ²) INVENTER</t>
  </si>
  <si>
    <t xml:space="preserve">136640</t>
  </si>
  <si>
    <t xml:space="preserve">https://superi.ge/tcl-tac-18chsa-tpg11i-50-60-inventer/</t>
  </si>
  <si>
    <t xml:space="preserve">• ტიპი კედლის სპლიტ-სისტემა • რეჟიმი გაგრილება / გათბობა / ცირკულაცია • ძრავის ტიპი ინვერტორული • რეკომენდირებული ფართი 50-60 მ² -მდე • გაგრილების სიმძლავრე 18 ...</t>
  </si>
  <si>
    <t xml:space="preserve">შეიძინეთ კონდიციონერი TCL TAC-18CHSA/TPG11I (50-60 მ²) INVENTER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</si>
  <si>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BOSCH KDN30NW20U</t>
  </si>
  <si>
    <t xml:space="preserve">I73630</t>
  </si>
  <si>
    <t xml:space="preserve">https://superi.ge/bosch-kdn30nw20u/</t>
  </si>
  <si>
    <t xml:space="preserve">• ტიპი ორკამერიანი • საერთო სასარგებლო მოცულობა 253 ლ • მაცივრის კამერის სასარგებლო მოცულობა 180 ლ • საყინულე კამერის სასარგებლო მოცულობა 73 ლ • გალღობის სისტემ...</t>
  </si>
  <si>
    <t xml:space="preserve">შეიძინეთ მაცივარი BOSCH KDN30NW20U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</si>
  <si>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BOSCH KGN33NW21U</t>
  </si>
  <si>
    <t xml:space="preserve">I42257</t>
  </si>
  <si>
    <t xml:space="preserve">https://superi.ge/bosch-kgn33nw21u/</t>
  </si>
  <si>
    <t xml:space="preserve">• ტიპი ორკამერიანი • მართვის ტიპი ელექტრონული • საერთო სასარგებლო მოცულობა 279 ლ gross 306 ლ • მაცივრის კამერის სასრგებლო მოცულობა 192 ლ gross 196 ლ • საყინულე ...</t>
  </si>
  <si>
    <t xml:space="preserve">შეიძინეთ მაცივარი BOSCH KGN33NW21U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</si>
  <si>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GRAETZ GTN43NS</t>
  </si>
  <si>
    <t xml:space="preserve">S46978</t>
  </si>
  <si>
    <t xml:space="preserve">https://superi.ge/graetz-gtn43ns/</t>
  </si>
  <si>
    <t xml:space="preserve">• ტიპი ორკამერიანი NO FROST • მართვის ტიპი მექანიკური • საერთო სასარგებლო მოცულობა 432 ლ • საყინულე კამერის განლაგება ზედა • ენერგო მოხმარების კლასი A+ • ხმაური...</t>
  </si>
  <si>
    <t xml:space="preserve">შეიძინეთ მაცივარი GRAETZ GTN43NS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</si>
  <si>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HITACHI R-B410PUC6 PWH</t>
  </si>
  <si>
    <t xml:space="preserve">S50705</t>
  </si>
  <si>
    <t xml:space="preserve">https://superi.ge/hitachi-r-b410puc6-pwh/</t>
  </si>
  <si>
    <t xml:space="preserve">• ტიპი ორკამერიანი • საერთო სასარგებლო მოცულობა 330 ლ • მაცივრის კამერის სასარგებლო მოცულობა 215 ლ • საყინულე კამერის სასარგებლო მოცულობა 115 ლ • საყინულე კამერ...</t>
  </si>
  <si>
    <t xml:space="preserve">შეიძინეთ მაცივარი HITACHI R-B410PUC6 PWH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</si>
  <si>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SAMSUNG RT32K5132S8/WT</t>
  </si>
  <si>
    <t xml:space="preserve">I42399</t>
  </si>
  <si>
    <t xml:space="preserve">https://superi.ge/samsung-rt32k5132s8-wt/</t>
  </si>
  <si>
    <t xml:space="preserve">• ტიპი ორკამერიანი • საერთო მოცულობა 321 ლ • მაცივრის კამერის სასარგებლო მოცულობა 249 ლ • საყინულე კამერის სასარგებლო მოცულობა 72 ლ • საყინულე კამერის განლაგება...</t>
  </si>
  <si>
    <t xml:space="preserve">შეიძინეთ მაცივარი SAMSUNG RT32K5132S8/WT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</si>
  <si>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BOSCH WAN24200ME (8კგ)</t>
  </si>
  <si>
    <t xml:space="preserve">I90207</t>
  </si>
  <si>
    <t xml:space="preserve">https://superi.ge/bosch-wan24200me-8/</t>
  </si>
  <si>
    <t xml:space="preserve">• ჩატვირთვის ტიპი ფრონტალური • მაქსიმალური ჩატვირთვა 8 კგ • ბრუნვის მაქსიმალური სიჩქარე 1200 ბრ/წთ • ენერგომოხმარების კლასი A+++ • მართვის ტიპი მექანიკური/ელექტ...</t>
  </si>
  <si>
    <t xml:space="preserve">შეიძინეთ სარეცხი მანქანა BOSCH WAN24200ME (8კგ)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</si>
  <si>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GORENJE WNEI14AS 10კგ</t>
  </si>
  <si>
    <t xml:space="preserve">I90336</t>
  </si>
  <si>
    <t xml:space="preserve">https://superi.ge/gorenje-wnei14as-10/</t>
  </si>
  <si>
    <t xml:space="preserve">• ჩატვირთვის ტიპი ფრონტალური • ძრავის ტიპი ინვ 10 ბრუნვის • მაქსიმალური სიჩქარე 1400 ბრ/წთ • ენერგოე ფექტურობის კლასი A+++ • მართვის ტიპი ელექტრონული / მექანიკუ...</t>
  </si>
  <si>
    <t xml:space="preserve">შეიძინეთ სარეცხი მანქანა GORENJE WNEI14AS 10კგ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</si>
  <si>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LG F4V5VS2S</t>
  </si>
  <si>
    <t xml:space="preserve">07007</t>
  </si>
  <si>
    <t xml:space="preserve">https://superi.ge/lg-f4v5vs2s/</t>
  </si>
  <si>
    <t xml:space="preserve">• ჩატვირთვის ტიპი ფრონტალური • მაქსიმალური ჩატვირთვა 9 კგ • ბრუნვის მაქსიმალური სიჩქარე 1400 ბრ/წთ • წყლის მოხმარება 56 ლ • მართვის ტიპი ელექტრონული • ენერგომოხ...</t>
  </si>
  <si>
    <t xml:space="preserve">შეიძინეთ სარეცხი მანქანა LG F4V5VS2S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</si>
  <si>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TOSHIBA TW-BK100G4UZ (SK)</t>
  </si>
  <si>
    <t xml:space="preserve">210764</t>
  </si>
  <si>
    <t xml:space="preserve">https://superi.ge/toshiba-tw-bk100g4uz-sk/</t>
  </si>
  <si>
    <t xml:space="preserve">• ჩატვირთვის ტიპი ფრონტალური • მაქსიმალური ჩატვირთვა 9 კგ • ძრავის ტიპი ინვერტორული • ენერგოეფექტურობის კლასი A+++ • ბრუნვის მაქსიმალური სიჩქარე 1400 ბრ/წთ • მა...</t>
  </si>
  <si>
    <t xml:space="preserve">შეიძინეთ სარეცხი მანქანა TOSHIBA TW-BK100G4UZ (SK)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</si>
  <si>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GRUNDIG 55 GGU 8960</t>
  </si>
  <si>
    <t xml:space="preserve">213461</t>
  </si>
  <si>
    <t xml:space="preserve">https://superi.ge/grundig-55-ggu-8960/</t>
  </si>
  <si>
    <t xml:space="preserve">• ტელევიზორის კლასი LED • ეკრანის დიაგონალი 55 139 სმ • ეკრანის გაფართოება Ultra HD 4K 3840 x 2160 • SMART ტექნოლოგია კი • ოპერაციული სისტემა Android TV ხმა • D...</t>
  </si>
  <si>
    <t xml:space="preserve">შეიძინეთ ტელევიზორი GRUNDIG 55 GGU 8960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</si>
  <si>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ღუმელი GORENJE BOS6747A01X</t>
  </si>
  <si>
    <t xml:space="preserve">S95567</t>
  </si>
  <si>
    <t xml:space="preserve">https://superi.ge/gorenje-bos6747a01x/</t>
  </si>
  <si>
    <t xml:space="preserve">• ჩასაშენებელი ღუმელი ელექტრო • მართვის ტიპი მექანიკური/სენსორული • ღუმელის საერთო სასარგებლო მოცულობა 77 ლ • ტემპერატურის დიაპაზონი 300 °C • ენერგოეფექტურობის ...</t>
  </si>
  <si>
    <t xml:space="preserve">შეიძინეთ ღუმელი GORENJE BOS6747A01X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</si>
  <si>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ჩასაშენებელი ღუმელი BOSCH HBJ558YS3Q</t>
  </si>
  <si>
    <t xml:space="preserve">I94713</t>
  </si>
  <si>
    <t xml:space="preserve">https://superi.ge/bosch-hbj558ys3q/</t>
  </si>
  <si>
    <t xml:space="preserve">• ტიპი ჩასაშენებელი • ღუმელის საერთო სასარგებლო მოცულობა 66 ლ • პროგრამების რაოდენობა 5 • ენერგოეფექტურობის კლასი A • მასიმალური ტემპერატურა 50-275 °C ფუნქციები...</t>
  </si>
  <si>
    <t xml:space="preserve">შეიძინეთ ჩასაშენებელი ღუმელი BOSCH HBJ558YS3Q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</si>
  <si>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ჭურჭლის სარეცხი მანქანა BOSCH SMS43D02ME</t>
  </si>
  <si>
    <t xml:space="preserve">I33811</t>
  </si>
  <si>
    <t xml:space="preserve">https://superi.ge/bosch-sms43d02me/</t>
  </si>
  <si>
    <t xml:space="preserve">• ელექტრომოხმარების კლასი A+ • ტევადობა 12 კომპლექტი • პროგრამების რაოდენობა 4 Intensive 70 °C Quick Wash 65 °C Eco 50 °C Quick Wash 45 °C • ტეპერატურის რეჟიმი ...</t>
  </si>
  <si>
    <t xml:space="preserve">შეიძინეთ ჭურჭლის სარეცხი მანქანა BOSCH SMS43D02ME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</si>
  <si>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LG F4X5EYPY8.AGWQME3 (11კგ)</t>
  </si>
  <si>
    <t xml:space="preserve">S38406</t>
  </si>
  <si>
    <t xml:space="preserve">https://superi.ge/lg-f4x5eypy8-agwqme3-11/</t>
  </si>
  <si>
    <t xml:space="preserve">ზოგადი ინფორმაცია • ბრენდი: LG • მოდელი: F4X5EYPY8.AGWQME3 • ტიპი: სარეცხი მანქანა • კონსტრუქციის ტიპი: ცალკე მდგომი • ჩატვირთვის ტიპი: წინა • მართვის ტიპი: ელექტრონული, ღილაკებით • ძრავის ტიპი: ინვერტორული ძირითადი მახასიათებლები • მაქსიმალური</t>
  </si>
  <si>
    <t xml:space="preserve">შეიძინეთ სარეცხი მანქანა LG F4X5EYPY8.AGWQME3 (11კგ)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</si>
  <si>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HAGEN HRSBS1743X</t>
  </si>
  <si>
    <t xml:space="preserve">139155</t>
  </si>
  <si>
    <t xml:space="preserve">https://superi.ge/hagen-hrsbs1743x/</t>
  </si>
  <si>
    <t xml:space="preserve">• ტიპი Side-by-Side • მართვის ტიპი მექანიკური/სენსორული • საერთო სასარგებლო მოცულობა 433 ლ • მაცივრის კამერის სასარგებლო მოცულობა 288 ლ • საყინულე კამერის სასარ...</t>
  </si>
  <si>
    <t xml:space="preserve">შეიძინეთ მაცივარი HAGEN HRSBS1743X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</si>
  <si>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PHILIPS 43PUS8007/12</t>
  </si>
  <si>
    <t xml:space="preserve">214435</t>
  </si>
  <si>
    <t xml:space="preserve">https://superi.ge/philips-43pus8007-12/</t>
  </si>
  <si>
    <t xml:space="preserve">• ტელევიზორის კლასი LED • ტიპი UHD TV • ეკრანის დიაგონალი 43 109 სმ • ეკრანის გაფართოება 4K 3840 x 2160 • Smart ტექნოლოგია კი • ოპერაციული სისტემა Android TV™ 1...</t>
  </si>
  <si>
    <t xml:space="preserve">შეიძინეთ ტელევიზორი PHILIPS 43PUS8007/12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</si>
  <si>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საყინულე FRANKO FCF-400DW (400L)</t>
  </si>
  <si>
    <t xml:space="preserve">FCF-400DW</t>
  </si>
  <si>
    <t xml:space="preserve">https://superi.ge/franko-fcf-400dw-400l/</t>
  </si>
  <si>
    <t xml:space="preserve">• ტიპი ჰორიზონტალური საყინულე • მოცულობა ლ/ფტ 397/14 0 • LED განათება – დიახ • მაცივარი R600a • გასაღები და დაბლოკვა – დიახ • ტემპ კონტროლი/დისპლეი – მექანიკური...</t>
  </si>
  <si>
    <t xml:space="preserve">შეიძინეთ საყინულე FRANKO FCF-400DW (400L)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</si>
  <si>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BOSCH KGV36VWEA</t>
  </si>
  <si>
    <t xml:space="preserve">I72900</t>
  </si>
  <si>
    <t xml:space="preserve">https://superi.ge/bosch-kgv36vwea/</t>
  </si>
  <si>
    <t xml:space="preserve">• ტიპი ორკამერიანი • მართვის ტიპი მექანიკური • საერთო სასარგებლო მოცულობა 312 ლ • მაცივრის კამერის სასარგებლო მოცულობა 217 ლ • საყინულე კამერის სასარგებლო მოცულ...</t>
  </si>
  <si>
    <t xml:space="preserve">შეიძინეთ მაცივარი BOSCH KGV36VWEA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</si>
  <si>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VOX NF 3735 IXF</t>
  </si>
  <si>
    <t xml:space="preserve">219035</t>
  </si>
  <si>
    <t xml:space="preserve">https://superi.ge/vox-nf-3735-ixf/</t>
  </si>
  <si>
    <t xml:space="preserve">• ტიპი ორკამერიანი • საერთო სასარგებლო მოცულობა 331 ლ • მაცივრის კამერის სასარგებლო მოცულობა 230 ლ • საყინულე კამერის სასარგებლო მოცულობა 101 ლ • საყინულე კამერ...</t>
  </si>
  <si>
    <t xml:space="preserve">შეიძინეთ მაცივარი VOX NF 3735 IXF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</si>
  <si>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მიკროტალღური ღუმელი BOSCH BFL524MW0</t>
  </si>
  <si>
    <t xml:space="preserve">I60862</t>
  </si>
  <si>
    <t xml:space="preserve">https://superi.ge/bosch-bfl524mw0/</t>
  </si>
  <si>
    <t xml:space="preserve">• ტიპი ჩასაშენებელი • მართვის ტიპი მექანიკური / ელექტრონული • სიმძლავრე 800 W • მოცულობა 20 ლ • სიმძლავრის დონეების რაოდენობა 5 მახასიათებლები • პროგრამების რაო...</t>
  </si>
  <si>
    <t xml:space="preserve">შეიძინეთ მიკროტალღური ღუმელი BOSCH BFL524MW0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</si>
  <si>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ჰაერის გამწმენდი + ვენტილატორი ROWENTA QU5030F0 (48m²)</t>
  </si>
  <si>
    <t xml:space="preserve">I87296</t>
  </si>
  <si>
    <t xml:space="preserve">ტექნიკა &gt; კლიმატური ტექნიკა &gt; ჰაერის გამწმენდი და დამატენიანებლები</t>
  </si>
  <si>
    <t xml:space="preserve">https://superi.ge/rowenta-qu5030f0-48m/</t>
  </si>
  <si>
    <t xml:space="preserve">• ტიპი ულტრაბგერითი • მართვის ტიპი ელექტრონული • ფართი 48 მ² • სიმძლავრე 33 W • მწარმოებლურობა 120 m3/h • სიჩქარის რაოდენობა 12 • ძირითადი მახასიათებლები დატენი...</t>
  </si>
  <si>
    <t xml:space="preserve">შეიძინეთ ჰაერის გამწმენდი + ვენტილატორი ROWENTA QU5030F0 (48m²)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</si>
  <si>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დედა დაფა ASUS, ROG STRIX Z890-F GAMING WIFI</t>
  </si>
  <si>
    <t xml:space="preserve">90MB1I40-M0EAY0</t>
  </si>
  <si>
    <t xml:space="preserve">ტექნიკა &gt; ნოუთბუქები, კომპიუტერები, მონიტორები &gt; კომპიუტერის ნაწილები &gt; დედა დაფები (motherboard)</t>
  </si>
  <si>
    <t xml:space="preserve">https://superi.ge/asus-rog-strix-z890-f-gaming-wifi/</t>
  </si>
  <si>
    <t xml:space="preserve">ზოგადი ინფორმაცია • ბრენდი ASUS • მოდელი ROG STRIX Z890-F GAMING WIFI • ტიპი დედაპლატა • კატეგორია გეიმინგ დედაპლატა • სოკეტი LGA 1851 • ჩიპსეტი Intel Z890 • ფო...</t>
  </si>
  <si>
    <t xml:space="preserve">შეიძინეთ დედა დაფა ASUS, ROG STRIX Z890-F GAMING WIFI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</si>
  <si>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ბაღის ავეჯის ნაკრები</t>
  </si>
  <si>
    <t xml:space="preserve">17051657</t>
  </si>
  <si>
    <t xml:space="preserve">https://superi.ge/product-8935/</t>
  </si>
  <si>
    <t xml:space="preserve">ბაღის ავეჯის ნაკრებიბაღის ავეჯის კოლექცია რომელიც სპეციალურად შექმნილია მცირე გარე სივრცეებისთვის — აივნებისთვის პატარა ტერასებისთვის და ურბანული საცხოვრებელი ზ...</t>
  </si>
  <si>
    <t xml:space="preserve">შეიძინეთ ბაღის ავეჯის ნაკრები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</si>
  <si>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კარკასული აუზი BESTWAY 56721 (6478 ლტ)</t>
  </si>
  <si>
    <t xml:space="preserve">189223</t>
  </si>
  <si>
    <t xml:space="preserve">https://superi.ge/bestway-56721/</t>
  </si>
  <si>
    <t xml:space="preserve">• ტიპი კარკასული • მოცულობა 6478 ლ დამატებითი მახასიათებლები • ქლორის დოზატორი • კარტრიჯული ფილტრი • კიბე ფიზიკური პარამეტრები • ზომები 404 x 201 x 100 სმ • წონ...</t>
  </si>
  <si>
    <t xml:space="preserve">შეიძინეთ კარკასული აუზი BESTWAY 56721 (6478 ლტ)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</si>
  <si>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ცენტრალური გათბობის ქვაბი MIDEA L1PB24-C28WM</t>
  </si>
  <si>
    <t xml:space="preserve">S78321</t>
  </si>
  <si>
    <t xml:space="preserve">https://superi.ge/midea-l1pb24-c28wm/</t>
  </si>
  <si>
    <t xml:space="preserve">• მონტაჟის ტიპი კედლის ვერტიკალური • სიმძლავრე 24 kW • ანთების ტიპი ელექტრონული • ავზის მოცულობა 6 ლ • წვის კამერის ტიპი დახურული დამატებითი მახასიათებლები • Wi...</t>
  </si>
  <si>
    <t xml:space="preserve">შეიძინეთ ცენტრალური გათბობის ქვაბი MIDEA L1PB24-C28WM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</si>
  <si>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ბაღის ავეჯის კომპლექტი 137x72x63.5 სმ მაგიდა 65x65x37.5 სმ</t>
  </si>
  <si>
    <t xml:space="preserve">17051616</t>
  </si>
  <si>
    <t xml:space="preserve">https://superi.ge/137x72x63-5-65x65x37-5/</t>
  </si>
  <si>
    <t xml:space="preserve">ბაღის ავეჯის კომპლექტი 137x72x63 5 სმ მაგიდა 65x65x37 5 სმდახვეწილი და თანამედროვე დიზაინის ბაღის ავეჯის კომპლექტი იდეალურია აგარაკისთვის ვერანდისთვის ტერასისთვ...</t>
  </si>
  <si>
    <t xml:space="preserve">შეიძინეთ ბაღის ავეჯის კომპლექტი 137x72x63.5 სმ მაგიდა 65x65x37.5 სმ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</si>
  <si>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გაზქურა BEKO FSM 62320 SAC</t>
  </si>
  <si>
    <t xml:space="preserve">00-00012923</t>
  </si>
  <si>
    <t xml:space="preserve">https://superi.ge/beko-fsm-62320-sac/</t>
  </si>
  <si>
    <t xml:space="preserve">მახასიათებლები • ტიპი ცალკე მდგომი • ენერგომოხმარების კლასი A • ქურის ტიპი გაზის • გაზის კომფორის რაოდენობა 4 • ელექტრონული ანთება ✔️ • გაზკონტროლი ✔️ • ცხაურის...</t>
  </si>
  <si>
    <t xml:space="preserve">შეიძინეთ გაზქურა BEKO FSM 62320 SAC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</si>
  <si>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გამწოვი BOSCH DWK65AD30R</t>
  </si>
  <si>
    <t xml:space="preserve">S48895</t>
  </si>
  <si>
    <t xml:space="preserve">https://superi.ge/bosch-dwk65ad30r/</t>
  </si>
  <si>
    <t xml:space="preserve">• გამწოვის ტიპი გუმბათოვანი • მონტაჟი კედელზე დასაკიდი • წარმადობა 331 მ³/სთ • ხმაურის დონე 66 dB მახასიათებლები • მართვის ტიპი ელექტრონული / სენსორული • LED გა...</t>
  </si>
  <si>
    <t xml:space="preserve">შეიძინეთ გამწოვი BOSCH DWK65AD30R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</si>
  <si>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HOFFMANN EIAC-18K (55-60 მ²) INVERTER</t>
  </si>
  <si>
    <t xml:space="preserve">TM-MT-BMT-1198-AC-1262</t>
  </si>
  <si>
    <t xml:space="preserve">https://superi.ge/hoffmann-eiac-18k-55-60-inverter/</t>
  </si>
  <si>
    <t xml:space="preserve">• მწარმოებელი HOFFMANN • ტიპი კედლის სპლიტ-სისტემა • ელექტროენერგიის მოხმარების კლასი A • ძრავის ტიპი ინვენტორული • რეკომენდირებული ფართი 55-60 მ²-მდე • ფრეონის...</t>
  </si>
  <si>
    <t xml:space="preserve">შეიძინეთ კონდიციონერი HOFFMANN EIAC-18K (55-60 მ²) INVERTER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</si>
  <si>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MIDEA AF-12N1C2</t>
  </si>
  <si>
    <t xml:space="preserve">174741</t>
  </si>
  <si>
    <t xml:space="preserve">https://superi.ge/midea-af-12n1c2/</t>
  </si>
  <si>
    <t xml:space="preserve">• ტიპი კედლის სპლიტ სისტემა • ძირითადი რეჟიმები გაგრილება გათბობა • რეკომენდირებული ფართი 35 მ² -მდე • სიმძლავრე გაგრილების რეჟიმში 12000 BTU/სთ • სიმძლავრე გათ...</t>
  </si>
  <si>
    <t xml:space="preserve">შეიძინეთ კონდიციონერი MIDEA AF-12N1C2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</si>
  <si>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VOX SFE18-AA SET</t>
  </si>
  <si>
    <t xml:space="preserve">230051</t>
  </si>
  <si>
    <t xml:space="preserve">https://superi.ge/vox-sfe18-aa-set/</t>
  </si>
  <si>
    <t xml:space="preserve">• ტიპი კედლის სპლიტ სისტემა • ძირითადი რეჟიმები გაგრილება გათბობა • რეკომენდირებული ფართი 55 მ² -მდე • ნომინალური სიმძლავრე 18000 BTU • გაგრილების სიმძლავრე 540...</t>
  </si>
  <si>
    <t xml:space="preserve">შეიძინეთ კონდიციონერი VOX SFE18-AA SET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</si>
  <si>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BEKO RDSE500M20W SUPERIA</t>
  </si>
  <si>
    <t xml:space="preserve">S50957</t>
  </si>
  <si>
    <t xml:space="preserve">https://superi.ge/beko-rdse500m20w-superia/</t>
  </si>
  <si>
    <t xml:space="preserve">• ტიპი ორკამერიანი • საერთო მოცულობა 437 ლ • მაცივრის კამერის სასარგებლო მოცულობა 322 ლ • საყინულე კამერის სასარგებლო მოცულობა 115 ლ • საყინულე კამერის განლაგებ...</t>
  </si>
  <si>
    <t xml:space="preserve">შეიძინეთ მაცივარი BEKO RDSE500M20W SUPERIA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</si>
  <si>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SAMSUNG WW70TA046AE/LE</t>
  </si>
  <si>
    <t xml:space="preserve">186546</t>
  </si>
  <si>
    <t xml:space="preserve">https://superi.ge/samsung-ww70ta046ae-le/</t>
  </si>
  <si>
    <t xml:space="preserve">• ჩატვირთვის ტიპი ფრონტალური • სარეცხის მაქსიმალური ჩატვირთვა 7 კგ • ბრუნვის მაქსიმალური სიჩქარე 1400 ბრ/წთ • ენერგომოხმარების კლასი A+++ • რეცხვის კლასი A • წყ...</t>
  </si>
  <si>
    <t xml:space="preserve">შეიძინეთ სარეცხი მანქანა SAMSUNG WW70TA046AE/LE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</si>
  <si>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საშრობით HITACHI BD-D802HVOW</t>
  </si>
  <si>
    <t xml:space="preserve">S33430</t>
  </si>
  <si>
    <t xml:space="preserve">https://superi.ge/hitachi-bd-d802hvow/</t>
  </si>
  <si>
    <t xml:space="preserve">ზოგადი ინფორმაცია • ბრენდი Hitachi • მოდელი BD-D802HVOW • ტიპი სარეცხი-საშრობი მანქანა • კატეგორია წინა ჩატვირთვის სარეცხი-საშრობი მანქანა • ჩატვირთვის ტიპი წინ...</t>
  </si>
  <si>
    <t xml:space="preserve">შეიძინეთ სარეცხი მანქანა საშრობით HITACHI BD-D802HVOW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</si>
  <si>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სარეცხის საშრობი მანქანა GORENJE D2HNA92W/C</t>
  </si>
  <si>
    <t xml:space="preserve">S83866</t>
  </si>
  <si>
    <t xml:space="preserve">https://superi.ge/gorenje-d2hna92w-c/</t>
  </si>
  <si>
    <t xml:space="preserve">ზოგადი ინფორმაცია • ბრენდი Gorenje • მოდელი D2HNA92W/C • ტიპი საშრობი მანქანა • კონსტრუქციის ტიპი კონდენსაციური თბური ტუმბოთი • მართვის ტიპი ელექტრონული • ეკრან...</t>
  </si>
  <si>
    <t xml:space="preserve">შეიძინეთ სარეცხის საშრობი მანქანა GORENJE D2HNA92W/C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</si>
  <si>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საყინულე SHARP SCF-K520H-WH3 (380L)</t>
  </si>
  <si>
    <t xml:space="preserve">SCF-K520H-WH3</t>
  </si>
  <si>
    <t xml:space="preserve">https://superi.ge/sharp-scf-k520h-wh3-380l/</t>
  </si>
  <si>
    <t xml:space="preserve">• მოცულობა 380 ლიტრი • გალღობის სისტემა მექანიკური • ფრეონის ტიპი R600a • სწრაფი გაყინვის ფუნქცია • ტემპერატურის კონტროლის შესაძლებლობა • საკეტი • განათება LED ...</t>
  </si>
  <si>
    <t xml:space="preserve">შეიძინეთ საყინულე SHARP SCF-K520H-WH3 (380L)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</si>
  <si>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ქურის ზედაპირი BOSCH PPP6A6B10</t>
  </si>
  <si>
    <t xml:space="preserve">I72896</t>
  </si>
  <si>
    <t xml:space="preserve">https://superi.ge/bosch-ppp6a6b10/</t>
  </si>
  <si>
    <t xml:space="preserve">• ზედაპირის ტიპი გაზის • კონფორების რაოდენობა 4 • 1 ზონის სიმძლავრე 1000 W • მე -2 ზონის სიმძლავრე 3000 W • მე -3 ზონის სიმძლავრე 1750 W • მე -4 ზონის სიმძლავრე...</t>
  </si>
  <si>
    <t xml:space="preserve">შეიძინეთ ქურის ზედაპირი BOSCH PPP6A6B10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</si>
  <si>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ჩასაშენებელი ღუმელი BOSCH HBF534EW0Q</t>
  </si>
  <si>
    <t xml:space="preserve">I59050</t>
  </si>
  <si>
    <t xml:space="preserve">https://superi.ge/bosch-hbf534ew0q/</t>
  </si>
  <si>
    <t xml:space="preserve">• ღუმელის ტიპი ელექტრო • მართვის ტიპი ავტომატური • მოცულობა 66 ლ • მაქსიმალური ტემპერატურა 50-275 °C • ენერგომოხმარების კლასი A დამატებითი ინფორმაცია • ქვედა გა...</t>
  </si>
  <si>
    <t xml:space="preserve">შეიძინეთ ჩასაშენებელი ღუმელი BOSCH HBF534EW0Q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</si>
  <si>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ჩასაშენებელი ღუმელი BOSCH HBG517EB1R</t>
  </si>
  <si>
    <t xml:space="preserve">I89255</t>
  </si>
  <si>
    <t xml:space="preserve">https://superi.ge/bosch-hbg517eb1r/</t>
  </si>
  <si>
    <t xml:space="preserve">• ჩასაშენებელი ღუმელი ელექტრო • მართვის ტიპი მექანიკური/სენსორული • ღუმელის საერთო სასარგებლო მოცულობა 71 ლ • პროგრამების რაოდენობა 10 • გათბობის ვარიანტების რა...</t>
  </si>
  <si>
    <t xml:space="preserve">შეიძინეთ ჩასაშენებელი ღუმელი BOSCH HBG517EB1R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</si>
  <si>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GREE GWH12AGB-K3NNA1A (35-40 მ²)</t>
  </si>
  <si>
    <t xml:space="preserve">232798</t>
  </si>
  <si>
    <t xml:space="preserve">https://superi.ge/gree-gwh12agb-k3nna1a-35-40/</t>
  </si>
  <si>
    <t xml:space="preserve">• ტიპი კედლის სპლიტ სისტემა • რეკომენდებული ფართი 35-40 მ² -მდე • ენერგო მოხმარება გაგრილების დროს 0 95 kW • ენერგო მოხმარება გათბობის დროს 0 94 kW • სიმძლავრე ...</t>
  </si>
  <si>
    <t xml:space="preserve">შეიძინეთ კონდიციონერი GREE GWH12AGB-K3NNA1A (35-40 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</si>
  <si>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LG LBB459EQYW.AEPQMER</t>
  </si>
  <si>
    <t xml:space="preserve">S17521</t>
  </si>
  <si>
    <t xml:space="preserve">https://superi.ge/lg-lbb459eqyw-aepqmer/</t>
  </si>
  <si>
    <t xml:space="preserve">ზოგადი ინფორმაცია • ბრენდი LG • მოდელი LBB459EQYW AEPQMER • ტიპი ორკამერიანი მაცივარი • საყინულის მდებარეობა ქვედა • კომპრესორების რაოდენობა 1 • კომპრესორი ინვე...</t>
  </si>
  <si>
    <t xml:space="preserve">შეიძინეთ მაცივარი LG LBB459EQYW.AEPQMER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</si>
  <si>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TCL TAC-24CHSA/XA73 (75-80 მ²)</t>
  </si>
  <si>
    <t xml:space="preserve">S26279</t>
  </si>
  <si>
    <t xml:space="preserve">https://superi.ge/tcl-tac-24chsa-xa73-75-80/</t>
  </si>
  <si>
    <t xml:space="preserve">• ტიპი კედლის სპლიტ სისტემა • ძირითადი რეჟიმები გაგრილება გათბობა • რეკომენდირებული ფართი 75-80 მ² -მდე • სიმძლავრე გაგრილების რეჟიმში 23236 BTU/სთ • სიმძლავრე ...</t>
  </si>
  <si>
    <t xml:space="preserve">შეიძინეთ კონდიციონერი TCL TAC-24CHSA/XA73 (75-80 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</si>
  <si>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ALNEO 18CHSA/XAC1 (55-60)</t>
  </si>
  <si>
    <t xml:space="preserve">01406</t>
  </si>
  <si>
    <t xml:space="preserve">https://superi.ge/alneo-18chsa-xac1-55-60/</t>
  </si>
  <si>
    <t xml:space="preserve">ტიპი კედლის სპლიტ-სისტემა ON/OFF სიმძლავრე 18000BTUრეკომენდებული ფართი 55-60 მ²-მდეგამაგრილებლის ტიპი ფრეონი R410Aდისფლეი კი დაფარული გაგრილების რეჟიმი კიკომპლე...</t>
  </si>
  <si>
    <t xml:space="preserve">შეიძინეთ კონდიციონერი ALNEO 18CHSA/XAC1 (55-60)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</si>
  <si>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პროექტორი EPSON V11HA86340 CO-WX02</t>
  </si>
  <si>
    <t xml:space="preserve">V11HA86340</t>
  </si>
  <si>
    <t xml:space="preserve">https://superi.ge/epson-v11ha86340-co-wx02/</t>
  </si>
  <si>
    <t xml:space="preserve">• ტექნოლოგია LCD 3 P-Si TFT • ეკრანის ზომა 25-378 inch • განათების ტიპი power W UHE 188 • ნათურის ხანგრძლივობა 6000 სთ • ნათურის რესურსი ეკო რეჟიმი 12000 სთ • ს...</t>
  </si>
  <si>
    <t xml:space="preserve">შეიძინეთ პროექტორი EPSON V11HA86340 CO-WX02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</si>
  <si>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ხელის ტრაქტორი ROYAL TURBO RT1000 170F 7HP</t>
  </si>
  <si>
    <t xml:space="preserve">177330</t>
  </si>
  <si>
    <t xml:space="preserve">https://superi.ge/royal-turbo-rt1000-170f-7hp/</t>
  </si>
  <si>
    <t xml:space="preserve">• ტიპი მოტობლოკი • საწვავის ტიპი ბენზინი • ძრავი 170 F • ძრავის სიმძლავრე 7 HP / 3600 ბრ • ხვნის სიგანე 90 სმ • ხვნის სიღრმე 15-30 სმ • წონა 94 კგ • თოხების რაო...</t>
  </si>
  <si>
    <t xml:space="preserve">შეიძინეთ ხელის ტრაქტორი ROYAL TURBO RT1000 170F 7HP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</si>
  <si>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გაზქურა Electrolux LKK520211W</t>
  </si>
  <si>
    <t xml:space="preserve">https://superi.ge/electrolux-lkk520211w/</t>
  </si>
  <si>
    <t xml:space="preserve">ზოგადი ინფორმაცია • ბრენდი Electrolux • მოდელი LKK520211W • ტიპი კომბინირებული ქურა • კატეგორია ცალკე მდგომი გაზქურა ელექტრო ღუმელით • კონსტრუქციის ტიპი ცალკე მ...</t>
  </si>
  <si>
    <t xml:space="preserve">შეიძინეთ გაზქურა Electrolux LKK520211W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</si>
  <si>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MIDEA MSCB-09HRFN8 (25-30მ²) INVENTER</t>
  </si>
  <si>
    <t xml:space="preserve">S96769</t>
  </si>
  <si>
    <t xml:space="preserve">https://superi.ge/midea-mscb-09hrfn8-25-30-inventer/</t>
  </si>
  <si>
    <t xml:space="preserve">• ტიპი კედლის სპლიტ-სისტემა • ძრავის ტიპი ინვენტორული • რეჟიმი გაგრილება/გათბობა • რეკომენდირებული ფართი 25 - 30 მ² -მდე • სიმძლავრე გაგრილების რეჟიმში 9553 350...</t>
  </si>
  <si>
    <t xml:space="preserve">შეიძინეთ კონდიციონერი MIDEA MSCB-09HRFN8 (25-30მ²) INVENTER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</si>
  <si>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საყინულე FRANKO FCF-350DW (347L)</t>
  </si>
  <si>
    <t xml:space="preserve">FCF-350DW</t>
  </si>
  <si>
    <t xml:space="preserve">https://superi.ge/franko-fcf-350dw-347l/</t>
  </si>
  <si>
    <t xml:space="preserve">• ტიპი ჰორიზონტალური საყინულე • მოცულობა ლ/ფტ 347/12 3 • LED განათება – დიახ • მაცივარი R600a • გასაღები და დაბლოკვა – დიახ • ტემპ კონტროლი/დისპლეი – მექანიკური...</t>
  </si>
  <si>
    <t xml:space="preserve">შეიძინეთ საყინულე FRANKO FCF-350DW (347L)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</si>
  <si>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გაზქურა BEKO FSE 63330 DX SUPERIA</t>
  </si>
  <si>
    <t xml:space="preserve">CT0000006151</t>
  </si>
  <si>
    <t xml:space="preserve">https://superi.ge/beko-fse-63330-dx-superia/</t>
  </si>
  <si>
    <t xml:space="preserve">• ტიპი კომბინირებული • მართვის ტიპი მექანიკური • ენერგოეფექტურობის კლასი A • კონფორები 4 3 გაზის + 1 ელექტრო • გაზკონტროლი კი • ელექტრონული ანთება კი ინტეგრირებ...</t>
  </si>
  <si>
    <t xml:space="preserve">შეიძინეთ გაზქურა BEKO FSE 63330 DX SUPERIA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</si>
  <si>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აეროგრილი PHILIPS HD9870/20 WHITE</t>
  </si>
  <si>
    <t xml:space="preserve">HD9870/20</t>
  </si>
  <si>
    <t xml:space="preserve">https://superi.ge/philips-hd9870-20-white/</t>
  </si>
  <si>
    <t xml:space="preserve">• ტიპი აეროგრილი • სიმძლავრე 2225 W • მოცულობა 7 3 ლ მახასიათებლები • შეწვა • ცხობა • დაბრაწვა • Stir Fry • დამატებითი მახასიათებლები • ტემპერატურის რეგულირება ...</t>
  </si>
  <si>
    <t xml:space="preserve">შეიძინეთ აეროგრილი PHILIPS HD9870/20 WHITE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</si>
  <si>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LG LBB389FLDM.APYQMER</t>
  </si>
  <si>
    <t xml:space="preserve">S45907</t>
  </si>
  <si>
    <t xml:space="preserve">https://superi.ge/refrigerator-promo-lbb389fldm-apyqmer/</t>
  </si>
  <si>
    <t xml:space="preserve">ზოგადი ინფორმაცია • ბრენდი LG • მოდელი LBB389FLDM APYQMER • ტიპი ორკამერიანი მაცივარი • კონსტრუქცია ცალკე მდგომი • საყინულის მდებარეობა ქვედა • კომპრესორი Smart...</t>
  </si>
  <si>
    <t xml:space="preserve">შეიძინეთ მაცივარი LG LBB389FLDM.APYQMER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</si>
  <si>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კარკასული აუზი BESTWAY 5612X (15232 ლტ)</t>
  </si>
  <si>
    <t xml:space="preserve">5612X </t>
  </si>
  <si>
    <t xml:space="preserve">https://superi.ge/bestway-5612x/</t>
  </si>
  <si>
    <t xml:space="preserve">აუზის ზომა 4 27m x 1 22cmწყლის ტევადობა 90% 15232ლფორმა მრგვალიფერი ღიანაცრისფერიწყლის დამცლელი სარქველი კიკარკასის მასალა უჟანგავი ლითონიაუზის მასალა სამფენიან...</t>
  </si>
  <si>
    <t xml:space="preserve">შეიძინეთ კარკასული აუზი BESTWAY 5612X (15232 ლტ)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</si>
  <si>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ქურის ზედაპირი BOSCH PNH6B6O92R</t>
  </si>
  <si>
    <t xml:space="preserve">I84341</t>
  </si>
  <si>
    <t xml:space="preserve">https://superi.ge/bosch-pnh6b6o92r/</t>
  </si>
  <si>
    <t xml:space="preserve">• ტიპი გაზის • მართვის ტიპი მექანიკური • კონფორების რაოდენობა 4 1 ტურბო კონფორი • სანთურის სიმძლავრე 1 1000 W • სანთურის სიმძლავრე 2 3500 W • სანთურის სიმძლავრე...</t>
  </si>
  <si>
    <t xml:space="preserve">შეიძინეთ ქურის ზედაპირი BOSCH PNH6B6O92R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</si>
  <si>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ბაღის ავეჯის კომპლექტი 130x90 სმ</t>
  </si>
  <si>
    <t xml:space="preserve">17051593</t>
  </si>
  <si>
    <t xml:space="preserve">https://superi.ge/130x90/</t>
  </si>
  <si>
    <t xml:space="preserve">ბაღის ავეჯის კომპლექტი 130x90 სმეს კომპლექტი იდეალურია როგორც შიდა ისე გარე სივრცეებისთვის მტკიცე ლითონის კონსტრუქცია და ხის სტილის ელემენტები მას ხდის ერთდროულ...</t>
  </si>
  <si>
    <t xml:space="preserve">შეიძინეთ ბაღის ავეჯის კომპლექტი 130x90 სმ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</si>
  <si>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გაზქურა BEKO FSM 62330 DXS b300</t>
  </si>
  <si>
    <t xml:space="preserve">CT0000007783</t>
  </si>
  <si>
    <t xml:space="preserve">https://superi.ge/beko-fsm-62330-dxs-b300/</t>
  </si>
  <si>
    <t xml:space="preserve">მახასიათებლები • ტიპი გაზის • ენერგომოხმარების კლასი A • ტიპი გაზის • გაზის კომფორის რაოდენობა 4 • ზედაპირის მასალა უჟანგავი ფოლადი • ქურის თავსახური კი • ელექტ...</t>
  </si>
  <si>
    <t xml:space="preserve">შეიძინეთ გაზქურა BEKO FSM 62330 DXS b300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</si>
  <si>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HOFFMANN EOAC-18K (55-60 მ²)</t>
  </si>
  <si>
    <t xml:space="preserve">TM-MT-BMT-1198-AC-1259</t>
  </si>
  <si>
    <t xml:space="preserve">https://superi.ge/hoffmann-eoac-18k-55-60/</t>
  </si>
  <si>
    <t xml:space="preserve">• მწარმოებელი HOFFMANN • ტიპი კედლის სპლიტ-სისტემა • ელექტროენერგიის მოხმარების კლასი A • ძრავის ტიპი ON/OFF • რეკომენდირებული ფართი 55-60 მ²-მდე • ფრეონის ტიპი...</t>
  </si>
  <si>
    <t xml:space="preserve">შეიძინეთ კონდიციონერი HOFFMANN EOAC-18K (55-60 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</si>
  <si>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MIDEA AF-09N1C2</t>
  </si>
  <si>
    <t xml:space="preserve">208804</t>
  </si>
  <si>
    <t xml:space="preserve">https://superi.ge/midea-af-09n1c2/</t>
  </si>
  <si>
    <t xml:space="preserve">• ტიპი კედლის სპლიტ-სისტემა • რეჟიმი გაგრილება/გათბობა • ძრავის ტიპი ინვერტორული • რეკომენდირებული ფართი 25-30 მ² მდე • ენერგომოხმარების კლასი A • მოხმარებადი ს...</t>
  </si>
  <si>
    <t xml:space="preserve">შეიძინეთ კონდიციონერი MIDEA AF-09N1C2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</si>
  <si>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ARDESTO DNF-M378GL200</t>
  </si>
  <si>
    <t xml:space="preserve">DNF-M378GL200</t>
  </si>
  <si>
    <t xml:space="preserve">https://superi.ge/ardesto-dnf-m378gl200/</t>
  </si>
  <si>
    <t xml:space="preserve">ბრენდი ARDESTO მოდელი DNF-M378GL200ტიპი მაცივარი საერთო მოცულობა 378 ლმაცივრის მოცულობა 256 ლსაყინულე მოცულობა 122 ლენერგოეფექტურობის კლასი A+ელექტროენერგიის მო...</t>
  </si>
  <si>
    <t xml:space="preserve">შეიძინეთ მაცივარი ARDESTO DNF-M378GL200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</si>
  <si>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BEKO RCNK270K20W</t>
  </si>
  <si>
    <t xml:space="preserve">SA0000008561</t>
  </si>
  <si>
    <t xml:space="preserve">https://superi.ge/beko-rcnk270k20w/</t>
  </si>
  <si>
    <t xml:space="preserve">• ტიპი ორკამერიანი • საერთო სასარგებლო მოცულობა 270 ლ • ენერგოეფექტურობის კლასი A+ • გალღობის სისტემა NoFrost მშრალი ყინვა • კლიმატის კლასი SN-T • საყინულე კამე...</t>
  </si>
  <si>
    <t xml:space="preserve">შეიძინეთ მაცივარი BEKO RCNK270K20W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</si>
  <si>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HITACHI R-H330PUC7 BSL</t>
  </si>
  <si>
    <t xml:space="preserve">I56511</t>
  </si>
  <si>
    <t xml:space="preserve">https://superi.ge/hitachi-r-h330puc7-bsl/</t>
  </si>
  <si>
    <t xml:space="preserve">• ტიპი ორკამერიანი • საერთო სასარგებლო მოცულობა 230 ლ • მაცივრის კამერის სასარგებლო მოცულობა 176 ლ • საყინულე კამერის სასარგებლო მოცულობა 54 ლ • საყინულე კამერი...</t>
  </si>
  <si>
    <t xml:space="preserve">შეიძინეთ მაცივარი HITACHI R-H330PUC7 BSL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</si>
  <si>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მტვერსასრუტი BOSCH BCS712XXL</t>
  </si>
  <si>
    <t xml:space="preserve">S17202</t>
  </si>
  <si>
    <t xml:space="preserve">https://superi.ge/bosch-bcs712xxl/</t>
  </si>
  <si>
    <t xml:space="preserve">• ტიპი ვერტიკალური ელექტრო ცოცხი • მტვრის კონტეინერის მოცულობა 0 3 ლ • დასუფთავების ტიპი მშრალი • ხმაურის დონე 82 dB A re 1 pW • კვების ტიპი აკუმულატორი • მტვრი...</t>
  </si>
  <si>
    <t xml:space="preserve">შეიძინეთ მტვერსასრუტი BOSCH BCS712XXL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</si>
  <si>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პორტატული ელექტროსადგური EcoFlow River 2 Max</t>
  </si>
  <si>
    <t xml:space="preserve">13044660</t>
  </si>
  <si>
    <t xml:space="preserve">https://superi.ge/ecoflow-river-2-max/</t>
  </si>
  <si>
    <t xml:space="preserve">Ecoflow River 2 Max EU არის პორტატული ელექტროსადგური მძლავრი 512 Wh LiFePO4 ბატარეით იგი აღჭურვილია ხელსაყრელი სახელურით უკანა მხარეს ასე რომ თქვენ შეგიძლიათ მა...</t>
  </si>
  <si>
    <t xml:space="preserve">შეიძინეთ პორტატული ელექტროსადგური EcoFlow River 2 Max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</si>
  <si>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პროექტორი ACER X1226AH (MR.JUJ11.001)</t>
  </si>
  <si>
    <t xml:space="preserve">S71688</t>
  </si>
  <si>
    <t xml:space="preserve">https://superi.ge/acer-x1226ah-mr-juj11-001/</t>
  </si>
  <si>
    <t xml:space="preserve">• ბრენდი Acer • მოდელი MR JUJ11 001 • პროდუქტის ტიპი პროექტორი • ტექნოლოგია DLP • ასპექტის თანაფარდობა 4 3 • ციფრული ზუმი 2x • გარჩევადობა 1024 x 768 • კონტრასტ...</t>
  </si>
  <si>
    <t xml:space="preserve">შეიძინეთ პროექტორი ACER X1226AH (MR.JUJ11.001)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</si>
  <si>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BEKO HTV 7736 XSHT B300</t>
  </si>
  <si>
    <t xml:space="preserve">229274</t>
  </si>
  <si>
    <t xml:space="preserve">https://superi.ge/beko-htv-7736-xsht-b300/</t>
  </si>
  <si>
    <t xml:space="preserve">• ტიპი სარეცხი მანქანა საშრობით • მაქსიმალური ჩატვირთვა 7 კგ • საშრობის მოცულობა 4 კგ • ჩატვირთვის ტიპი ფრონტალური • ბრუნვის მაქსიმალური სიჩქარე 1400 ბრ/წ • ენე...</t>
  </si>
  <si>
    <t xml:space="preserve">შეიძინეთ სარეცხი მანქანა BEKO HTV 7736 XSHT B300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</si>
  <si>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GRAETZ WD8614W (8კგ)</t>
  </si>
  <si>
    <t xml:space="preserve">S78494</t>
  </si>
  <si>
    <t xml:space="preserve">https://superi.ge/graetz-wd8614w-8/</t>
  </si>
  <si>
    <t xml:space="preserve">• ჩატვირთვის ტიპი ფრონტალური შრობის ფუნქციით • სარეცხის მაქსიმალური ჩატვირთვა 8 კგ • შრობის მოცულობა 6 კგ • ბრუნვის მაქსიმალური სიჩქარე 1400 ბრ/წთ • მართვის ტიპ...</t>
  </si>
  <si>
    <t xml:space="preserve">შეიძინეთ სარეცხი მანქანა GRAETZ WD8614W (8კგ)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</si>
  <si>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LG F2V9GW9P</t>
  </si>
  <si>
    <t xml:space="preserve">07005</t>
  </si>
  <si>
    <t xml:space="preserve">https://superi.ge/lg-f2v9gw9p/</t>
  </si>
  <si>
    <t xml:space="preserve">• ჩატვირთვის ტიპი ფრონტალური • მაქსიმალური ჩატვირთვა 8 5 კგ • ბრუნვის მაქსიმალური სიჩქარე 1200 ბრ/წთ • ძრავის ტიპი ინვერტორული • მართვის ტიპი ელექტრონული სენსორ...</t>
  </si>
  <si>
    <t xml:space="preserve">შეიძინეთ სარეცხი მანქანა LG F2V9GW9P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</si>
  <si>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საყინულე GORENJE FH50BPW (500L)</t>
  </si>
  <si>
    <t xml:space="preserve">I95050</t>
  </si>
  <si>
    <t xml:space="preserve">https://superi.ge/gorenje-fh50bpw-500l/</t>
  </si>
  <si>
    <t xml:space="preserve">• ტიპი ჰორიზონტალური • მართვის ტიპი მექანიკური • საერთო მოცულობა 500 ლ • გალღობის სისტემა ნახევრად მშრალი • კარების რაოდენობა 2 • ენერგოეფექტურობის კლასი B • ხმ...</t>
  </si>
  <si>
    <t xml:space="preserve">შეიძინეთ საყინულე GORENJE FH50BPW (500L)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</si>
  <si>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საყინულე SHARP SCF-K440H-WH3 (316L)</t>
  </si>
  <si>
    <t xml:space="preserve">SCF-K440H-WH3 </t>
  </si>
  <si>
    <t xml:space="preserve">https://superi.ge/sharp-scf-k440h-wh3-316l/</t>
  </si>
  <si>
    <t xml:space="preserve">• მოცულობა 380 ლიტრი • ფრეონის ტიპი R600a • სწრაფი გაყინვის ფუნქცია • ტემპერატურის კონტროლის შესაძლებლობა • საკეტი • განათება LED • 2 X კალათა • ელექტრონული მარ...</t>
  </si>
  <si>
    <t xml:space="preserve">შეიძინეთ საყინულე SHARP SCF-K440H-WH3 (316L)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</si>
  <si>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SAMSUNG UE50CU7100UXRU (127სმ)</t>
  </si>
  <si>
    <t xml:space="preserve">230667</t>
  </si>
  <si>
    <t xml:space="preserve">https://superi.ge/samsung-ue50cu7100uxru-127/</t>
  </si>
  <si>
    <t xml:space="preserve">• ტელევიზორის კლასი LED • ეკრანის დიაგონალი 50 127 სმ • ეკრანის გაფართოება 4K UHD 3840 x 2160 • Smart ტექნოლოგია კი • ოპერაციული სისტემა OS Tizen ვიდეო • HDR მხ...</t>
  </si>
  <si>
    <t xml:space="preserve">შეიძინეთ ტელევიზორი SAMSUNG UE50CU7100UXRU (127სმ)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</si>
  <si>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ჩასაშენებელი საყინულე MIDEA MDRE306FZF01 (212 L)</t>
  </si>
  <si>
    <t xml:space="preserve">S75038</t>
  </si>
  <si>
    <t xml:space="preserve">https://superi.ge/midea-mdre306fzf01-212-l/</t>
  </si>
  <si>
    <t xml:space="preserve">მახასიათებლები • მოცულობა 212 ლ • კლიმატის კლასი N/ST • ენერგიის მოხმარება A+ • ხმაურის დონე 41დბ • მაცივრის ტიპი No Frost • კარის გადატანა დიახ • დისფლეი დიახ ...</t>
  </si>
  <si>
    <t xml:space="preserve">შეიძინეთ ჩასაშენებელი საყინულე MIDEA MDRE306FZF01 (212 L)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</si>
  <si>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ჩასაშენებელი ღუმელი BOSCH HBF534EB0Q</t>
  </si>
  <si>
    <t xml:space="preserve">I59033</t>
  </si>
  <si>
    <t xml:space="preserve">https://superi.ge/bosch-hbf534eb0q/</t>
  </si>
  <si>
    <t xml:space="preserve">• ღუმელის ტიპი ჩასაშენებელი • მართვის ტიპი მექანიკური • მოცულობა 66 ლ • მაქსიმალური ტემპერატურა 275°C • ენერგომოხმარების კლასი A ფუნქციები • 3D ეკო • 3D ცხელი ჰ...</t>
  </si>
  <si>
    <t xml:space="preserve">შეიძინეთ ჩასაშენებელი ღუმელი BOSCH HBF534EB0Q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</si>
  <si>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ჩასაშენებელი ღუმელი GORENJE BOSB6737E03X</t>
  </si>
  <si>
    <t xml:space="preserve">I76740</t>
  </si>
  <si>
    <t xml:space="preserve">https://superi.ge/gorenje-bosb6737e03x/</t>
  </si>
  <si>
    <t xml:space="preserve">• ღუმელის ტიპი ელექტრო • მართვის ტიპი ელექტრონული / სენსორული • მოცულობა 77 ლ • მაქსიმალური ტემპერატურა 300°C • ენერგომოხმარების კლასი A ფუნქციები • რეჟიმების რ...</t>
  </si>
  <si>
    <t xml:space="preserve">შეიძინეთ ჩასაშენებელი ღუმელი GORENJE BOSB6737E03X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</si>
  <si>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ბაღის ავეჯის კომპლექტი მაგიდა და 4 სკამი SLX-5</t>
  </si>
  <si>
    <t xml:space="preserve">17051470</t>
  </si>
  <si>
    <t xml:space="preserve">https://superi.ge/4-slx-5/</t>
  </si>
  <si>
    <t xml:space="preserve">ბაღის ავეჯის კომპლექტი მაგიდა და 4 სკამი SLX-5კომპლექტაცია • მაგიდა • 4 ც სკამი ფიზიკური პარამეტრები • მაგიდის ზომა 90x90x73 სმ • სკამის ზომა 56x64x89 სმ * მწარ...</t>
  </si>
  <si>
    <t xml:space="preserve">შეიძინეთ ბაღის ავეჯის კომპლექტი მაგიდა და 4 სკამი SLX-5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</si>
  <si>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LG 43UP78003LB</t>
  </si>
  <si>
    <t xml:space="preserve">199267</t>
  </si>
  <si>
    <t xml:space="preserve">https://superi.ge/lg-43up78003lb/</t>
  </si>
  <si>
    <t xml:space="preserve">• ტელევიზორის კლასი LCD • ტიპი HDR TV • ეკრანის დიაგონალი 43 109 2 სმ • ეკრანის გაფართოება 4K Ultra HD 3840 x 2160 • Smart ტექნოლოგია კი ვიდეო • High Dynamic Ra...</t>
  </si>
  <si>
    <t xml:space="preserve">შეიძინეთ ტელევიზორი LG 43UP78003LB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</si>
  <si>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AEG L6SE47SRE</t>
  </si>
  <si>
    <t xml:space="preserve">212754</t>
  </si>
  <si>
    <t xml:space="preserve">https://superi.ge/aeg-l6se47sre/</t>
  </si>
  <si>
    <t xml:space="preserve">• ჩატვირთვის ტიპი ფრონტალური • ძრავის ტიპი ინვერტორული • სიმძლავრე 2200 W • სარეცხის მაქსიმალური ჩატვირთვა 7 კგ • ბრუნვის მაქსიმალური სიჩქარე 1400 ბრ/წთ • რეცხვ...</t>
  </si>
  <si>
    <t xml:space="preserve">შეიძინეთ სარეცხი მანქანა AEG L6SE47SRE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</si>
  <si>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გამწოვი BOSCH DWK65AJ80R</t>
  </si>
  <si>
    <t xml:space="preserve">S15660</t>
  </si>
  <si>
    <t xml:space="preserve">https://superi.ge/bosch-dwk65aj80r/</t>
  </si>
  <si>
    <t xml:space="preserve">• გამწოვის ტიპი: გუმბათოვანი • მონტაჟი: კედელზე დასამონტაჟებელი • სიმძლავრე: 216 W • წარმადობა: 530 მ³/სთ • სიგანე: 59.6 სმ • სიჩქარეების რაოდენობა: 3</t>
  </si>
  <si>
    <t xml:space="preserve">შეიძინეთ გამწოვი BOSCH DWK65AJ80R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</si>
  <si>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მტვერსასრუტი BOSCH BGS7POW1</t>
  </si>
  <si>
    <t xml:space="preserve">I74813</t>
  </si>
  <si>
    <t xml:space="preserve">https://superi.ge/bosch-bgs7pow1/</t>
  </si>
  <si>
    <t xml:space="preserve">• ტიპი კონტეინერით • სიმძლავრე 800 W • მტვრის ტომრის მოცულობა 3 ლ • დასუფთავების ტიპი მშრალი • მართვის ტიპი მექანიკური • მუშაობის რადიუსი 11 მ • ფილტრის ტიპი HE...</t>
  </si>
  <si>
    <t xml:space="preserve">შეიძინეთ მტვერსასრუტი BOSCH BGS7POW1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</si>
  <si>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TOSHIBA TW-BK90G4UZ (WK)</t>
  </si>
  <si>
    <t xml:space="preserve">210759</t>
  </si>
  <si>
    <t xml:space="preserve">https://superi.ge/toshiba-tw-bk90g4uz-wk/</t>
  </si>
  <si>
    <t xml:space="preserve">• ჩატვირთვის ტიპი ფრონტალური • მაქსიმალური ჩატვირთვა 8 კგ • ძრავის ტიპი ინვერტორული • ენერგოეფექტურობის კლასი A+++ • ბრუნვის მაქსიმალური სიჩქარე 1400 ბრ/წთ • მა...</t>
  </si>
  <si>
    <t xml:space="preserve">შეიძინეთ სარეცხი მანქანა TOSHIBA TW-BK90G4UZ (WK)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</si>
  <si>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TOSHIBA TW-BL100A4UZ (WK)</t>
  </si>
  <si>
    <t xml:space="preserve">210740</t>
  </si>
  <si>
    <t xml:space="preserve">https://superi.ge/toshiba-tw-bl100a4uz-wk/</t>
  </si>
  <si>
    <t xml:space="preserve">• ჩატვირთვის ტიპი ფრონტალური • მაქსიმალური ჩატვირთვა 9 კგ • ძრავის ტიპი ინვერტორული • ენერგოეფექტურობის კლასი A+++ • ბრუნვის მაქსიმალური სიჩქარე 1200 ბრ/წთ • მა...</t>
  </si>
  <si>
    <t xml:space="preserve">შეიძინეთ სარეცხი მანქანა TOSHIBA TW-BL100A4UZ (WK)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</si>
  <si>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საყინულე VESTEL RN270FR3EI-W</t>
  </si>
  <si>
    <t xml:space="preserve">S98680</t>
  </si>
  <si>
    <t xml:space="preserve">https://superi.ge/vestel-rn270fr3ei-w/</t>
  </si>
  <si>
    <t xml:space="preserve">• ტიპი ვერტიკალური • მართვის ტიპი მექანიკური • სასარგებლო მოცულობა 172 ლ • გაგრილების სისტემა No Frost მშრალი გაყინვა • გალღობის სისტემა ავტომატური • უჯრების რა...</t>
  </si>
  <si>
    <t xml:space="preserve">შეიძინეთ საყინულე VESTEL RN270FR3EI-W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</si>
  <si>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BEKO B55M D 790 B 55"</t>
  </si>
  <si>
    <t xml:space="preserve">SA0000009800</t>
  </si>
  <si>
    <t xml:space="preserve">https://superi.ge/beko-b55m-d-790-b-55/</t>
  </si>
  <si>
    <t xml:space="preserve">• ტელევიზორის კლასი LED • ტიპი UHD TV • ეკრანის დიაგონალი 55 140 სმ • ეკრანის გაფართოება 4K 3840 x 2160 • სერია კრისტალი 7 • Smart ტექნოლოგია კი ვიდეო • HDR Hig...</t>
  </si>
  <si>
    <t xml:space="preserve">შეიძინეთ ტელევიზორი BEKO B55M D 790 B 55"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</si>
  <si>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TOSHIBA GR-RT559WE-PMJ(06)</t>
  </si>
  <si>
    <t xml:space="preserve">S87573</t>
  </si>
  <si>
    <t xml:space="preserve">https://superi.ge/toshiba-gr-rt559we-pmj-06/</t>
  </si>
  <si>
    <t xml:space="preserve">• ტიპი ორკამერიანი • მართვის ტიპი ელექტრონული • ძრავის ტიპი ინვერტორული • საერთო მოცულობა 411 ლ • მაცივრის კამერის სასარგებლო მოცულობა 304 ლ • საყინულე კამერის ...</t>
  </si>
  <si>
    <t xml:space="preserve">შეიძინეთ მაცივარი TOSHIBA GR-RT559WE-PMJ(06)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</si>
  <si>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INDESIT ITS 4200 W</t>
  </si>
  <si>
    <t xml:space="preserve">189262</t>
  </si>
  <si>
    <t xml:space="preserve">https://superi.ge/indesit-its-4200-w/</t>
  </si>
  <si>
    <t xml:space="preserve">• ტიპი ორკამერიანი • მართვის ტიპი მექანიკური • საერთო სასარგებლო მოცულობა 325 ლ • მაცივრის კამერის სასარგებლო მოცულობა 247 ლ • საყინულე კამერის სასარგებლო მოცულ...</t>
  </si>
  <si>
    <t xml:space="preserve">შეიძინეთ მაცივარი INDESIT ITS 4200 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</si>
  <si>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BEKO WTV 9612 XS NOVA</t>
  </si>
  <si>
    <t xml:space="preserve">CT0000005244</t>
  </si>
  <si>
    <t xml:space="preserve">https://superi.ge/beko-wtv-9612-xs-nova/</t>
  </si>
  <si>
    <t xml:space="preserve">• მაქსიმალური ჩატვირთვა 9 კგ • ჩატვირთვის ტიპი ფრონტალური • ბრუნვის მაქსიმალური სიჩქარე 1200 ბრ/წ • ენერგო მოხმარების კლასი A+++ • რეცხვის კლასი A • გაწურვის კლ...</t>
  </si>
  <si>
    <t xml:space="preserve">შეიძინეთ სარეცხი მანქანა BEKO WTV 9612 XS NOVA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</si>
  <si>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LG 43UP76703LB</t>
  </si>
  <si>
    <t xml:space="preserve">200862</t>
  </si>
  <si>
    <t xml:space="preserve">https://superi.ge/lg-43up76703lb/</t>
  </si>
  <si>
    <t xml:space="preserve">• ტელევიზორის კლასი LED • ტიპი Real 4K Display • ეკრანის დიაგონალი 43 109 სმ • ეკრანის გაფართოება 4K Ultra HD 3840 x 2160 • Smart ტექნოლოგია კი ვიდეო • სიხშირე ...</t>
  </si>
  <si>
    <t xml:space="preserve">შეიძინეთ ტელევიზორი LG 43UP76703LB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</si>
  <si>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SAMSUNG UE43TU7092UXXH</t>
  </si>
  <si>
    <t xml:space="preserve">200633</t>
  </si>
  <si>
    <t xml:space="preserve">https://superi.ge/samsung-ue43tu7092uxxh/</t>
  </si>
  <si>
    <t xml:space="preserve">• ტელევიზორის კლასი LED • ტიპი UHD TV • ეკრანის დიაგონალი 43 109 სმ • ეკრანის გაფართოება 4K UHD 3840 x 2160 • სერია 7 • Smart ტექნოლოგია კი ვიდეო • PQI გამოსახუ...</t>
  </si>
  <si>
    <t xml:space="preserve">შეიძინეთ ტელევიზორი SAMSUNG UE43TU7092UXXH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</si>
  <si>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გენერატორი BAUMA PREMIUM BM3500E-M</t>
  </si>
  <si>
    <t xml:space="preserve">204656</t>
  </si>
  <si>
    <t xml:space="preserve">https://superi.ge/bauma-premium-bm3500e-m/</t>
  </si>
  <si>
    <t xml:space="preserve">• საწვავის ტიპი ბენზინი • დაქოქვის ტიპი ელექტრო გასაღებით / მექანიკური • სამუშაო სიმძლავრე 2800 W • მაქსიმალური სიმძლავრე 3000 W • ბორბლები მარტივი გადაადგილები...</t>
  </si>
  <si>
    <t xml:space="preserve">შეიძინეთ გენერატორი BAUMA PREMIUM BM3500E-M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</si>
  <si>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COOPER &amp; HUNTER CH-S12 XZ3 UNIVERSAL PRO</t>
  </si>
  <si>
    <t xml:space="preserve">216061</t>
  </si>
  <si>
    <t xml:space="preserve">https://superi.ge/cooper-and-hunter-ch-s12-xz3-universal-pro/</t>
  </si>
  <si>
    <t xml:space="preserve">• ტიპი კედლის სპლიტ სისტემა • რეკომენდირებული ფართი 35 მ² -მდე • გაგრილების სიმძლავრე 3 25 KW • გათბობის სიმძლავრე 3 4 KW • ენერგიის მოხმარება გათბობა / გაგრილე...</t>
  </si>
  <si>
    <t xml:space="preserve">შეიძინეთ კონდიციონერი COOPER &amp; HUNTER CH-S12 XZ3 UNIVERSAL PRO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</si>
  <si>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აუზი BESTWAY (56950) 427 x 107 სმ</t>
  </si>
  <si>
    <t xml:space="preserve">177589</t>
  </si>
  <si>
    <t xml:space="preserve">https://superi.ge/bestway-56950/</t>
  </si>
  <si>
    <t xml:space="preserve">• ტიპი კარკასული • მოცულობა 13030 ლ დამატებითი მახასიათებლები • ფორმა მრგვალი • წყლის ფილტრაცია 3028ლ/სთ • წყლის დამცველი სარქველი კი • ტუმბო ფილტრი კი • კიბე კ...</t>
  </si>
  <si>
    <t xml:space="preserve">შეიძინეთ აუზი BESTWAY (56950) 427 x 107 სმ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</si>
  <si>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გამწოვი BOSCH DWF65AJ60T (649 მ³/სთ)</t>
  </si>
  <si>
    <t xml:space="preserve">I75047</t>
  </si>
  <si>
    <t xml:space="preserve">https://superi.ge/bosch-dwf65aj60t-649/</t>
  </si>
  <si>
    <t xml:space="preserve">ტიპი: გუმბათოვანი სერია: 4 სიმძლავრე: 165 W წარმადობა: 649 მ³/სთ სიჩქარეების რაოდენობა: 3 ენერგოეფექტურობის კლასი: B ენერგიის საშუალო წლიური მოხმარება: 74.8 კვტ/სთ ხმაურის დონე: 52/68 dB მართვის ტიპი: სენსორული</t>
  </si>
  <si>
    <t xml:space="preserve">შეიძინეთ გამწოვი BOSCH DWF65AJ60T (649 მ³/სთ)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</si>
  <si>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გამწოვი BOSCH DWK65AJ90R</t>
  </si>
  <si>
    <t xml:space="preserve">183008</t>
  </si>
  <si>
    <t xml:space="preserve">https://superi.ge/bosch-dwk65aj90r/</t>
  </si>
  <si>
    <t xml:space="preserve">• გამწოვის ტიპი გუმბათოვანი • მონტაჟი კედელზე დასამონტაჟებელი • სიმძლავრე 216 W • წარმადობა 530 მ³/სთ • სიგანე 59 6 სმ • სიჩქარეების რაოდენობა 3 • ხმაურის დონე ...</t>
  </si>
  <si>
    <t xml:space="preserve">შეიძინეთ გამწოვი BOSCH DWK65AJ90R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</si>
  <si>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MIDEA MPPX-12CRN7</t>
  </si>
  <si>
    <t xml:space="preserve">S54180</t>
  </si>
  <si>
    <t xml:space="preserve">https://superi.ge/midea-mppd-12crn7/</t>
  </si>
  <si>
    <t xml:space="preserve">• ტიპი პორტატული • ძირითადი რეჟიმები გაგრილება/გათბობა • გაგრილების სიმძლავრე 12000 BTU • გათბობის სიმძლავრე 11600 BTU • მოხმარებადი სიმძლავრე გაგრილებისას 1213...</t>
  </si>
  <si>
    <t xml:space="preserve">შეიძინეთ კონდიციონერი MIDEA MPPX-12CRN7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</si>
  <si>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BEKO RDNE43W SUPERIA</t>
  </si>
  <si>
    <t xml:space="preserve">CT0000008022</t>
  </si>
  <si>
    <t xml:space="preserve">https://superi.ge/beko-rdne43w-superia/</t>
  </si>
  <si>
    <t xml:space="preserve">• ტიპი ორკამერიანი • საერთო მოცულობა 314 ლ • მაცივრის კამერის სასარგებლო მოცულობა 241 ლ • საყინულე კამერის სასარგებლო მოცულობა 73 ლ • საყინულე კამერის განლაგება...</t>
  </si>
  <si>
    <t xml:space="preserve">შეიძინეთ მაცივარი BEKO RDNE43W SUPERIA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</si>
  <si>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მტვერსასრუტი BOSCH BCS711XXL</t>
  </si>
  <si>
    <t xml:space="preserve">S68532</t>
  </si>
  <si>
    <t xml:space="preserve">https://superi.ge/bosch-bcs711xxl/</t>
  </si>
  <si>
    <t xml:space="preserve">• ტიპი ვერტიკალური ელექტრო ცოცხი • რეჟიმების რაოდენობა 3 • მართვის ტიპი მექანიკური • წმენდის ტიპი მშრალი • კვების ტიპი აკუმულატორი • ხმაურის დონე 82 dB A მახასი...</t>
  </si>
  <si>
    <t xml:space="preserve">შეიძინეთ მტვერსასრუტი BOSCH BCS711XXL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</si>
  <si>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GORENJE WNEI84SDS</t>
  </si>
  <si>
    <t xml:space="preserve">I86508</t>
  </si>
  <si>
    <t xml:space="preserve">https://superi.ge/gorenje-wnei84sds/</t>
  </si>
  <si>
    <t xml:space="preserve">• ჩატვირთვის ტიპი ფრონტალური • ძრავის ტიპი ინვერტორული PowerDrive • სარეცხის მაქსიმალური ჩატვირთვა 8 კგ • ბრუნვის მაქსიმალური სიჩქარე 1400 ბრ/წთ • რეცხვის კლასი...</t>
  </si>
  <si>
    <t xml:space="preserve">შეიძინეთ სარეცხი მანქანა GORENJE WNEI84SDS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</si>
  <si>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LG F2T2TYM1S</t>
  </si>
  <si>
    <t xml:space="preserve">07015</t>
  </si>
  <si>
    <t xml:space="preserve">https://superi.ge/lg-f2t2tym1s/</t>
  </si>
  <si>
    <t xml:space="preserve">• ჩატვირთვის ტიპი ფრონტალური • მაქსიმალური ჩატვირთვა 8 კგ • ბრუნვის მაქსიმალური სიჩქარე 1200 ბრ/წთ • მართვის ტიპი ელექტრონული/სენსორული • დოლის მოცულობა 55 ლ რე...</t>
  </si>
  <si>
    <t xml:space="preserve">შეიძინეთ სარეცხი მანქანა LG F2T2TYM1S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</si>
  <si>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ქურის ზედაპირი BOSCH PCI6B1B90R</t>
  </si>
  <si>
    <t xml:space="preserve">I72886</t>
  </si>
  <si>
    <t xml:space="preserve">https://superi.ge/bosch-pci6b1b90r/</t>
  </si>
  <si>
    <t xml:space="preserve">• მოწყობილობის ტიპი გაზის • გაცხელების ზონები 4 • სიმძლავრე 9750 W • მართვის ტიპი მექანიკური გაცხელების ზონები • სტანდარტული სანთურა 1 75 კვტ • ეკონომიური სანთუ...</t>
  </si>
  <si>
    <t xml:space="preserve">შეიძინეთ ქურის ზედაპირი BOSCH PCI6B1B90R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</si>
  <si>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ჩასაშენებელი ღუმელი MIDEA MO82170GB</t>
  </si>
  <si>
    <t xml:space="preserve">S11963</t>
  </si>
  <si>
    <t xml:space="preserve">https://superi.ge/midea-mo82170gb/</t>
  </si>
  <si>
    <t xml:space="preserve">• ღუმელის ტიპი ელექტრო • მართვის ტიპი მექანიკური &amp; სენსორული ღილაკები • მოცულობა 72 ლ • მაქსიმალური ტემპერატურა 50-250°C • ენერგომოხმარების კლასი A+ • პროგრამებ...</t>
  </si>
  <si>
    <t xml:space="preserve">შეიძინეთ ჩასაშენებელი ღუმელი MIDEA MO82170GB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</si>
  <si>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ჩასაშენებელი ჭურჭლის სარეცხი მანქანა ELECTROLUX EEA913100L</t>
  </si>
  <si>
    <t xml:space="preserve">EEA913100L</t>
  </si>
  <si>
    <t xml:space="preserve">https://superi.ge/electrolux-eea913100l/</t>
  </si>
  <si>
    <t xml:space="preserve">• ტიპი ჩასაშენებელი • ძრავის ტიპი ინვერტორული • მართვის ტიპი ელექტრონული • სიმძლავრე 1950 W • ტევადობა 10 კომპლექტი • ტემპერატურის რეჟიმების რაოდენობა 3 • ენერგ...</t>
  </si>
  <si>
    <t xml:space="preserve">შეიძინეთ ჩასაშენებელი ჭურჭლის სარეცხი მანქანა ELECTROLUX EEA913100L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</si>
  <si>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ჩასაშენებელი ჭურჭლის სარეცხი მანქანა GORENJE GV561D10</t>
  </si>
  <si>
    <t xml:space="preserve">I76093</t>
  </si>
  <si>
    <t xml:space="preserve">https://superi.ge/gorenje-gv561d10/</t>
  </si>
  <si>
    <t xml:space="preserve">• ტიპი ჩასაშენებელი • ტევადობა 11 კომპლექტი • მართვის ტიპი ელექტრონული • ენერგომოხმარების კლასი A+++ • რეცხვის კლასი A • წყლის მოხმარება ციკლზე 9 5 ლ • ძრავის ტ...</t>
  </si>
  <si>
    <t xml:space="preserve">შეიძინეთ ჩასაშენებელი ჭურჭლის სარეცხი მანქანა GORENJE GV561D10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</si>
  <si>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ჭურჭლის სარეცხი მანქანა GORENJE GS541D10X</t>
  </si>
  <si>
    <t xml:space="preserve">S37533</t>
  </si>
  <si>
    <t xml:space="preserve">https://superi.ge/gorenje-gs541d10x/</t>
  </si>
  <si>
    <t xml:space="preserve">• ენერგომოხმარების კლასი A+++ A-30% • მართვის ტიპი ელექტრონული • ტევადობა 11 კომპლექტი • წყლის მოხმარება 9 5 ლ • წყლის მაქსიმალური ტემპერატურა 60°C • ელექტროენე...</t>
  </si>
  <si>
    <t xml:space="preserve">შეიძინეთ ჭურჭლის სარეცხი მანქანა GORENJE GS541D10X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</si>
  <si>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მიკროტალღური ღუმელი BOSCH BEL653MW3</t>
  </si>
  <si>
    <t xml:space="preserve">I74585</t>
  </si>
  <si>
    <t xml:space="preserve">https://superi.ge/bosch-bel653mw3/</t>
  </si>
  <si>
    <t xml:space="preserve">• ტიპი ჩასაშენებელი • მიკროტალღურის სიმძლავრე 800 W • გრილის სიმძლავრე 360 W • მოცულობა 25 ლ • მართვის ტიპი ელექტრონული სენსორული მახასიათებლები • სიმძლავრის დო...</t>
  </si>
  <si>
    <t xml:space="preserve">შეიძინეთ მიკროტალღური ღუმელი BOSCH BEL653MW3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</si>
  <si>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VESTEL RM 400TFZM (BG)</t>
  </si>
  <si>
    <t xml:space="preserve">181181</t>
  </si>
  <si>
    <t xml:space="preserve">https://superi.ge/vestel-rm-400tfzm-bg/</t>
  </si>
  <si>
    <t xml:space="preserve">• ტიპი ორკამერიანი • მართვა მექანიკური • საერთო მოცულობა 275 ლ • მაცივრის კამერის მოცულობა 191 ლ • საყინულე კამერის მოცულობა 59 ლ • საყინულე კამერის განლაგება ზ...</t>
  </si>
  <si>
    <t xml:space="preserve">შეიძინეთ მაცივარი VESTEL RM 400TFZM (BG)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</si>
  <si>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GREE GWH09AGA-K3NNA1A (25-30 მ²</t>
  </si>
  <si>
    <t xml:space="preserve">232795</t>
  </si>
  <si>
    <t xml:space="preserve">https://superi.ge/gree-gwh09aga-k3nna1a-25-30/</t>
  </si>
  <si>
    <t xml:space="preserve">• ტიპი კედლის სპლიტ სისტემა • რეკომენდებული ფართი 25-30 მ² -მდე • ენერგო მოხმარება გაგრილების დროს 0 79 kW • ენერგო მოხმარება გათბობის დროს 0 73 kW • სიმძლავრე ...</t>
  </si>
  <si>
    <t xml:space="preserve">შეიძინეთ კონდიციონერი GREE GWH09AGA-K3NNA1A (25-30 მ²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</si>
  <si>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BEKO WSPE7612A</t>
  </si>
  <si>
    <t xml:space="preserve">213184</t>
  </si>
  <si>
    <t xml:space="preserve">https://superi.ge/beko-wspe7612a/</t>
  </si>
  <si>
    <t xml:space="preserve">• ტიპი ჩასაშენებელი • მაქსიმალური ჩატვირთვა 7 კგ • ჩატვირთვის ტიპი წინა • ეკრანის ტიპი Digital Display • ბრუნვის მაქსიმალური სიჩქარე 1200 ბრ/წ • ენერგო მოხმარებ...</t>
  </si>
  <si>
    <t xml:space="preserve">შეიძინეთ სარეცხი მანქანა BEKO WSPE7612A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</si>
  <si>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ჰაერის კომპრესორი DINGQI 10080105</t>
  </si>
  <si>
    <t xml:space="preserve">222888</t>
  </si>
  <si>
    <t xml:space="preserve">https://superi.ge/dingqi-10080105/</t>
  </si>
  <si>
    <t xml:space="preserve">• სიმძლავრე 1490 W • ძრავის სიჩქარე 2880 ბრ/წთ • მოცულობა 50 ლ ფიზიკური პარამეტრები • წონა 20 კგ • ფერი ნარინჯისფერი</t>
  </si>
  <si>
    <t xml:space="preserve">შეიძინეთ ჰაერის კომპრესორი DINGQI 10080105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</si>
  <si>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INDESIT ITS 4180 W</t>
  </si>
  <si>
    <t xml:space="preserve">S41033</t>
  </si>
  <si>
    <t xml:space="preserve">https://superi.ge/indesit-its-4180-w/</t>
  </si>
  <si>
    <t xml:space="preserve">• ტიპი ორკამერიანი • მართვის ტიპი მექანიკური • საერთო სასარგებლო მოცულობა 298 ლ • მაცივრის კამერის სასარგებლო მოცულობა 220 ლ • საყინულე კამერის სასარგებლო მოცულ...</t>
  </si>
  <si>
    <t xml:space="preserve">შეიძინეთ მაცივარი INDESIT ITS 4180 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</si>
  <si>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რობოტი მტვერსასრუტი MIDEA M6</t>
  </si>
  <si>
    <t xml:space="preserve">2000000062693</t>
  </si>
  <si>
    <t xml:space="preserve">https://superi.ge/midea-m6/</t>
  </si>
  <si>
    <t xml:space="preserve">• ტიპი რობოტი მტვერსასრუტი • ფართობი 200 მ² • მაქსიმალური შესრუტვის სიმძლავრე 2000Pa • მაქსიმალური სიმძლავრე BLDC - 40W • მტვრის კონტეინერის მოცულობა 600 მლ • წ...</t>
  </si>
  <si>
    <t xml:space="preserve">შეიძინეთ რობოტი მტვერსასრუტი MIDEA M6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</si>
  <si>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გაზქურა BEKO FSE 62320 DX b300</t>
  </si>
  <si>
    <t xml:space="preserve">WE0000003195</t>
  </si>
  <si>
    <t xml:space="preserve">https://superi.ge/beko-fse-62320-dx-b300/</t>
  </si>
  <si>
    <t xml:space="preserve">მახასიათებლები • ტიპი ცალკე მდგომი • ენერგომოხმარების კლასი A • ქურის ტიპი გაზის • გაზის კომფორის რაოდენობა 4 • ელექტრონული ანთება კი • გაზკონტროლი კი ღუმელი • ...</t>
  </si>
  <si>
    <t xml:space="preserve">შეიძინეთ გაზქურა BEKO FSE 62320 DX b300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</si>
  <si>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ელექტრო ღუმელი NINJA OO101EU 8IN1</t>
  </si>
  <si>
    <t xml:space="preserve">S63735</t>
  </si>
  <si>
    <t xml:space="preserve">https://superi.ge/ninja-oo101eu-8in1/</t>
  </si>
  <si>
    <t xml:space="preserve">მახასიათებლბი • ტიპი ღუმელი 8IN1 • ტაიმერი დიახ • სიმძლავრე 2400 W • კონტროლის ტიპი ელექტრონული • ეკრანი დიახ • პარამეტრების რაოდენობა 9 • ენერგიის წყარო ქსელი ...</t>
  </si>
  <si>
    <t xml:space="preserve">შეიძინეთ ელექტრო ღუმელი NINJA OO101EU 8IN1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</si>
  <si>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Dixi MG 12B INVERTER (35-40მ²)</t>
  </si>
  <si>
    <t xml:space="preserve">MG12B</t>
  </si>
  <si>
    <t xml:space="preserve">https://superi.ge/dixi-mg-12b-inverter-35-40/</t>
  </si>
  <si>
    <t xml:space="preserve">მოდელი MG 12 B ტიპი ინვერტორული კედლის სპლიტ სისტემა რეკომენდებული ფართობი მონტაჟისთვის 35 -40 მ² გაგრილების სიმძლავრე 3400 ვატი გათბობის სიმძლავრე 3420 ვატი ენ...</t>
  </si>
  <si>
    <t xml:space="preserve">შეიძინეთ კონდიციონერი Dixi MG 12B INVERTER (35-40მ²)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</si>
  <si>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ZELLMER TAC-12CHSD/XA</t>
  </si>
  <si>
    <t xml:space="preserve">179731</t>
  </si>
  <si>
    <t xml:space="preserve">https://superi.ge/zellmer-tac-12chsd-xa/</t>
  </si>
  <si>
    <t xml:space="preserve">• ტიპი კედლის სპლიტ სისტემა • ძირითადი რეჟიმები გაგრილება გათბობა დატენიანება ვენტილაცია ავტო • რეკომენდირებული ფართი 40 მ² -მდე • სიმძლავრე გაგრილების რეჟიმში ...</t>
  </si>
  <si>
    <t xml:space="preserve">შეიძინეთ კონდიციონერი ZELLMER TAC-12CHSD/XA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</si>
  <si>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GRAETZ GTN36NDXW</t>
  </si>
  <si>
    <t xml:space="preserve">S31304</t>
  </si>
  <si>
    <t xml:space="preserve">https://superi.ge/graetz-gtn36ndxw/</t>
  </si>
  <si>
    <t xml:space="preserve">• ტიპი ორკამერიანი • მუშაობის პრინციპი მშრალი ყინვა • საერთო მოცულობა 324 ლ • საყინულე კამერის განლაგება ქვედა • ენერგოეფექტურობის კლასი A+ • ხმაურის დონე 39 db...</t>
  </si>
  <si>
    <t xml:space="preserve">შეიძინეთ მაცივარი GRAETZ GTN36NDXW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</si>
  <si>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ELECTROLUX EW6F4R28B</t>
  </si>
  <si>
    <t xml:space="preserve">181167</t>
  </si>
  <si>
    <t xml:space="preserve">https://superi.ge/electrolux-ew6f4r28b/</t>
  </si>
  <si>
    <t xml:space="preserve">• ჩატვირთვის ტიპი ფრონტალური • სარეცხის მაქსიმალური ჩატვირთვა 8 კგ • ბრუნვის მაქსიმალური სიჩქარე 1200 ბრ/წთ • რეცხვის კლასი A • გაწურვის კლასი B • ენერგომოხმარე...</t>
  </si>
  <si>
    <t xml:space="preserve">შეიძინეთ სარეცხი მანქანა ELECTROLUX EW6F4R28B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</si>
  <si>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ქურა OZ OBIG90X60B5E</t>
  </si>
  <si>
    <t xml:space="preserve">126254</t>
  </si>
  <si>
    <t xml:space="preserve">https://superi.ge/oz-obig90x60b5e/</t>
  </si>
  <si>
    <t xml:space="preserve">• ტიპი კომბინირებული • მართვის ტიპი მექანიკური • კონფორები 5 გაზის 4 სტანდართული + 1 WOK კომფორი ღუმელი • ტიპი ელექტრო • შიდა განათება დამატებითი მახასიათებლები...</t>
  </si>
  <si>
    <t xml:space="preserve">შეიძინეთ ქურა OZ OBIG90X60B5E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</si>
  <si>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ღუმელი BOSCH HBF113BR0Q</t>
  </si>
  <si>
    <t xml:space="preserve">I62735</t>
  </si>
  <si>
    <t xml:space="preserve">https://superi.ge/bosch-hbf113br0q/</t>
  </si>
  <si>
    <t xml:space="preserve">• ღუმელის ტიპი ელექტრო • საერთო სასარგებლო მოცულობა 67 ლ • სიმძლავრე 3300 W • ტემპერატურის დიაპაზონი 50 °C - 275 °C • ენერგოეფექტურობის კლასი A • მართვის ტიპი მ...</t>
  </si>
  <si>
    <t xml:space="preserve">შეიძინეთ ღუმელი BOSCH HBF113BR0Q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</si>
  <si>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ჩასაშენებელი ღუმელი MIDEA MO58100RGB-B</t>
  </si>
  <si>
    <t xml:space="preserve">S79549</t>
  </si>
  <si>
    <t xml:space="preserve">https://superi.ge/midea-mo58100rgb-b/</t>
  </si>
  <si>
    <t xml:space="preserve">• ტიპი ჩასაშენებელი • ღუმელის ტიპი ელექტრო • მოცულობა 70 ლ • მართვის ტიპი მექანიკური • ენერგომოხმარების კლასი A • სიმძლავრე ქვედა ცხობა 1138 W • სიმძლავრე ორმხრ...</t>
  </si>
  <si>
    <t xml:space="preserve">შეიძინეთ ჩასაშენებელი ღუმელი MIDEA MO58100RGB-B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</si>
  <si>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ჭურჭლის სარეცხი მანქანა GORENJE GV531E10</t>
  </si>
  <si>
    <t xml:space="preserve">I73616</t>
  </si>
  <si>
    <t xml:space="preserve">https://superi.ge/gorenje-gv531e10/</t>
  </si>
  <si>
    <t xml:space="preserve">• ტიპი ჩასაშენებელი • ენერგომოხმარების კლასი A++ • მართვის ტიპი მექანიკური • ტევადობა 9 კომპლექტი • წყლის მოხმარება 9 ლ • წყლის ტემპერატურა 65°C • ელექტროენერგი...</t>
  </si>
  <si>
    <t xml:space="preserve">შეიძინეთ ჭურჭლის სარეცხი მანქანა GORENJE GV531E10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</si>
  <si>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ბაღის ავეჯის კომპლექტი მაგიდა და 6 სკამი HY-009</t>
  </si>
  <si>
    <t xml:space="preserve">17051320</t>
  </si>
  <si>
    <t xml:space="preserve">https://superi.ge/6-hy-009/</t>
  </si>
  <si>
    <t xml:space="preserve">HY-009 არის ბაღის ავეჯის ნაკრები რომელიც შემატებს სიმყუდროვეს თქვენს სახლს იდეალურია ბაღისთვის აივნისთვის ვერანდისთვის მაგიდას გააჩნია განყოფილება ქოლგისთვის ტე...</t>
  </si>
  <si>
    <t xml:space="preserve">შეიძინეთ ბაღის ავეჯის კომპლექტი მაგიდა და 6 სკამი HY-009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</si>
  <si>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ფოტოაპარატი CANON EOS 4000D BLACK+LENS EF-S 18-55 DC III (3011C004AA)</t>
  </si>
  <si>
    <t xml:space="preserve">184547</t>
  </si>
  <si>
    <t xml:space="preserve">https://superi.ge/canon-eos-4000d-blacklens-ef-s-18-55-dc-iii-3011c004aa/</t>
  </si>
  <si>
    <t xml:space="preserve">• ტიპი DSLR • ეფექტური პიქსელების რაოდენობა 18 0 MP • საერთო პიქსელების რაოდენობა 18 7 MP • პროცესორი DIGIC 4+ კამერის მახასიათებლები • სენსორის ზომა APS-C 22 3...</t>
  </si>
  <si>
    <t xml:space="preserve">შეიძინეთ ფოტოაპარატი CANON EOS 4000D BLACK+LENS EF-S 18-55 DC III (3011C004AA)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</si>
  <si>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BEKO RSPE78612S</t>
  </si>
  <si>
    <t xml:space="preserve">214477</t>
  </si>
  <si>
    <t xml:space="preserve">https://superi.ge/beko-rspe78612s/</t>
  </si>
  <si>
    <t xml:space="preserve">• ჩატვირთვის ტიპი ფრონტალური • ძაბვა 230 ვ • მაქსიმალური ჩატვირთვა 7 კგ • სიხშირე 50 Hz • ბრუნვის მაქსიმალური სიჩქარე 1200 ბრ/წთ • მართვის ტიპი ელექტრონული/მექა...</t>
  </si>
  <si>
    <t xml:space="preserve">შეიძინეთ სარეცხი მანქანა BEKO RSPE78612S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</si>
  <si>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SAMSUNG WW65AG4S20CXLP</t>
  </si>
  <si>
    <t xml:space="preserve">238354</t>
  </si>
  <si>
    <t xml:space="preserve">https://superi.ge/samsung-ww65ag4s20cxlp/</t>
  </si>
  <si>
    <t xml:space="preserve">• ჩატვირთვის ტიპი ფრონტალური • სარეცხის მაქსიმალური ჩატვირთვა 6 5 კგ • ბრუნვის მაქსიმალური სიჩქარე 1200 ბრ/წთ • ენერგომოხმარების კლასი A+++ • რეცხვის კლასი A • ...</t>
  </si>
  <si>
    <t xml:space="preserve">შეიძინეთ სარეცხი მანქანა SAMSUNG WW65AG4S20CXLP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</si>
  <si>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VESTEL W9B12TB</t>
  </si>
  <si>
    <t xml:space="preserve">191879</t>
  </si>
  <si>
    <t xml:space="preserve">https://superi.ge/vestel-w9b12tb/</t>
  </si>
  <si>
    <t xml:space="preserve">• ჩატვირთვის ტიპი ფრონტალური • მაქსიმალური ჩატვირთვა 9 კგ • ბრუნვის სიჩქარე 1200 ბრ/წთ • ენერგომოხმარების კლასი A++ • ციფრული LED ეკრანი სენსორული მართვით • მარ...</t>
  </si>
  <si>
    <t xml:space="preserve">შეიძინეთ სარეცხი მანქანა VESTEL W9B12TB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</si>
  <si>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მტვერსასრუტი BOSCH BCH86HYG1</t>
  </si>
  <si>
    <t xml:space="preserve">I91543</t>
  </si>
  <si>
    <t xml:space="preserve">https://superi.ge/bosch-bch86hyg1/</t>
  </si>
  <si>
    <t xml:space="preserve">• ტიპი ვერტიკალური ელექტრო ცოცხი • მტვრის კონტეინერის მოცულობა 900 მლ • კვების ტიპი უსადენო • დასუფთავების ტიპი მშრალი მახასიათებლები • სწრაფი და ეფექტური წმენდ...</t>
  </si>
  <si>
    <t xml:space="preserve">შეიძინეთ მტვერსასრუტი BOSCH BCH86HYG1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</si>
  <si>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მტვერსასრუტი BOSCH BWD421PET</t>
  </si>
  <si>
    <t xml:space="preserve">S93626</t>
  </si>
  <si>
    <t xml:space="preserve">https://superi.ge/bosch-bwd421pet/</t>
  </si>
  <si>
    <t xml:space="preserve">• ტიპი ტომრის გარეშე კონტეინერით • სიმძლავრე 1400 W • მტვრის კონტეინერის მოცულობა 3 ლ • დასუფთავების ტიპი მშრალი/სველი • ფილტრის ტიპი რეცხვადი HEPA • მუშაობის რ...</t>
  </si>
  <si>
    <t xml:space="preserve">შეიძინეთ მტვერსასრუტი BOSCH BWD421PET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</si>
  <si>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SAMSUNG AR09BQHQASINER</t>
  </si>
  <si>
    <t xml:space="preserve">230106</t>
  </si>
  <si>
    <t xml:space="preserve">https://superi.ge/samsung-ar09bqhqasiner/</t>
  </si>
  <si>
    <t xml:space="preserve">• ტიპი კედლის სპლიტ-სისტემა • რეჟიმი გაგრილება / გათბობა / გამოშრობა / ცირკულაცია • რეკომენდირებული ფართი 25-30 მ² -მდე • გაგრილების სიმძლავრე 9000 BTU • ფრეონი...</t>
  </si>
  <si>
    <t xml:space="preserve">შეიძინეთ კონდიციონერი SAMSUNG AR09BQHQASINER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</si>
  <si>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SAMSUNG WW70AGAS25AXLP 7KG</t>
  </si>
  <si>
    <t xml:space="preserve">143739</t>
  </si>
  <si>
    <t xml:space="preserve">https://superi.ge/samsung-ww70agas25axlp-7kg/</t>
  </si>
  <si>
    <t xml:space="preserve">• ჩატვირთვის ტიპი ფრონტალური • ძრავის ტიპი ციფრული ინვერტორული • სარეცხის მაქსიმალური ჩატვირთვა 7 კგ • ბრუნვის მაქსიმალური სიჩქარე 1200 ბრ/წთ • რეცვის კლასი A •...</t>
  </si>
  <si>
    <t xml:space="preserve">შეიძინეთ სარეცხი მანქანა SAMSUNG WW70AGAS25AXLP 7KG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</si>
  <si>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გამწოვი GORENJE WHI6SYB</t>
  </si>
  <si>
    <t xml:space="preserve">S61061</t>
  </si>
  <si>
    <t xml:space="preserve">https://superi.ge/gorenje-whi6syb/</t>
  </si>
  <si>
    <t xml:space="preserve">• გამწოვის ტიპი გუმბათოვანი • მონტაჟი კედელზე დასაკიდი • წარმადობა 650 მ³/სთ • სიჩქარეების რაოდენობა 3 • ენერგომოხმარების კლასი B • წლიური ენერგომოხმარება 66 KW...</t>
  </si>
  <si>
    <t xml:space="preserve">შეიძინეთ გამწოვი GORENJE WHI6SYB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</si>
  <si>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GORENJE KAM26 PHP</t>
  </si>
  <si>
    <t xml:space="preserve">I84717</t>
  </si>
  <si>
    <t xml:space="preserve">https://superi.ge/gorenje-kam26-php/</t>
  </si>
  <si>
    <t xml:space="preserve">• ტიპი პორტატული • ძირითადი რეჟიმები გაგრილება/გათბობა • რეკომენდირებული ფართი 15 მ² -მდე • სიმძლავრე გაგრილების რეჟიმში 2600 W • სიმძლავრე გათბობის რეჟიმში 240...</t>
  </si>
  <si>
    <t xml:space="preserve">შეიძინეთ კონდიციონერი GORENJE KAM26 PHP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</si>
  <si>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GORENJE REA26 KC INVERTER (25-30 მ²)</t>
  </si>
  <si>
    <t xml:space="preserve">S64189</t>
  </si>
  <si>
    <t xml:space="preserve">https://superi.ge/gorenje-rea26-kc-inverter-25-30/</t>
  </si>
  <si>
    <t xml:space="preserve">• ტიპი კედლის სპლიტ-სისტემა • რეჟიმი გაგრილება/გათბობა • რეკომენდებული ფართი 30 მ² -მდე • ძრავის ტიპი ინვენტორული • სიმძლავრე გაგრილების რეჟიმში 855 W / 9500 BT...</t>
  </si>
  <si>
    <t xml:space="preserve">შეიძინეთ კონდიციონერი GORENJE REA26 KC INVERTER (25-30 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</si>
  <si>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MIDEA MSAF-12HRN8-W</t>
  </si>
  <si>
    <t xml:space="preserve">S74615</t>
  </si>
  <si>
    <t xml:space="preserve">https://superi.ge/midea-msaf-12hrn8-w/</t>
  </si>
  <si>
    <t xml:space="preserve">• ტიპი კედლის სპლიტ-სისტემა • რეჟიმი გაგრილება/გათბობა • რეკომენდირებული ფართი 35-40 მ² მდე • ენერგომოხმარების კლასი A • მოხმარებადი სიმძლავრე გაგრილების რეჟიმშ...</t>
  </si>
  <si>
    <t xml:space="preserve">შეიძინეთ კონდიციონერი MIDEA MSAF-12HRN8-W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</si>
  <si>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GRAETZ GTN36NW</t>
  </si>
  <si>
    <t xml:space="preserve">S69677</t>
  </si>
  <si>
    <t xml:space="preserve">https://superi.ge/graetz-gtn36nw/</t>
  </si>
  <si>
    <t xml:space="preserve">• ტიპი ორკამერიანი • მუშაობის პრინციპი მშრალი ყინვა • საერთო მოცულობა 312 ლ • საყინულე კამერის განლაგება ქვედა • ენერგოეფექტურობის კლასი A+ • ხმაურის დონე 39 db...</t>
  </si>
  <si>
    <t xml:space="preserve">შეიძინეთ მაცივარი GRAETZ GTN36NW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</si>
  <si>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მტვერსასრუტი BOSCH BGS7PET</t>
  </si>
  <si>
    <t xml:space="preserve">I73563</t>
  </si>
  <si>
    <t xml:space="preserve">https://superi.ge/bosch-bgs7pet/</t>
  </si>
  <si>
    <t xml:space="preserve">• ტიპი ტომრის გარეშე კონტეინერით • მტვრის კონტეინერის მოცულობა 3 ლ • დასუფთავების ტიპი მშრალი • ფილტრის ტიპი რეცხვადი HEPA • მუშაობის რადიუსი 11 მ • ხმაურის დონ...</t>
  </si>
  <si>
    <t xml:space="preserve">შეიძინეთ მტვერსასრუტი BOSCH BGS7PET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</si>
  <si>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სარბენი ბილიკი FITNES</t>
  </si>
  <si>
    <t xml:space="preserve">224821</t>
  </si>
  <si>
    <t xml:space="preserve">https://superi.ge/fitnes/</t>
  </si>
  <si>
    <t xml:space="preserve">• მწარმოებელი FITNES • მომხმარებლის მაქსიმალური წონა 110 კგ • სიჩქარე 12 კმ/სთ • გარანტია ძრავზე 6 თვე პროგრამები • კალორია • პულსი • სიჩქარე • მანძილი • დრო და...</t>
  </si>
  <si>
    <t xml:space="preserve">შეიძინეთ სარბენი ბილიკი FITNES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</si>
  <si>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GORENJE W2NHAI94APS/C</t>
  </si>
  <si>
    <t xml:space="preserve">I95092</t>
  </si>
  <si>
    <t xml:space="preserve">https://superi.ge/gorenje-w2nhai94aps-c/</t>
  </si>
  <si>
    <t xml:space="preserve">• ჩატვირთვის ტიპი ფრონტალური • ძრავის ტიპი ინვერტორული PowerDrive • სარეცხის მაქსიმალური ჩატვირთვა 9 კგ • ბრუნვის მაქსიმალური სიჩქარე 1400 ბრ/წთ • რეცხვის კლასი...</t>
  </si>
  <si>
    <t xml:space="preserve">შეიძინეთ სარეცხი მანქანა GORENJE W2NHAI94APS/C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</si>
  <si>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GORENJE WNEI72SB (7კგ)</t>
  </si>
  <si>
    <t xml:space="preserve">I76091</t>
  </si>
  <si>
    <t xml:space="preserve">https://superi.ge/gorenje-wnei72sb-7/</t>
  </si>
  <si>
    <t xml:space="preserve">• ჩატვირთვის ტიპი ფრონტალური • მართვის ტიპი მექანიკური სენსორული • მაქსიმალური ჩატვირთვა 7 კგ • ენერგოეფექტურობის კლასი A+++ • დოლურის მოცულობა 49 ლ • ბრუნვის მ...</t>
  </si>
  <si>
    <t xml:space="preserve">შეიძინეთ სარეცხი მანქანა GORENJE WNEI72SB (7კგ)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</si>
  <si>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GORENJE WNHAI1X4APS/C (10.5კგ)</t>
  </si>
  <si>
    <t xml:space="preserve">I95091</t>
  </si>
  <si>
    <t xml:space="preserve">https://superi.ge/gorenje-wnhai1x4aps-c-10-5/</t>
  </si>
  <si>
    <t xml:space="preserve">• ჩატვირთვის ტიპი ფრონტალური • ძრავის ტიპი ინვერტორული PowerDrive • სარეცხის მაქსიმალური ჩატვირთვა 10 5 კგ • ბრუნვის მაქსიმალური სიჩქარე 1400 ბრ/წთ • რეცხვის კლ...</t>
  </si>
  <si>
    <t xml:space="preserve">შეიძინეთ სარეცხი მანქანა GORENJE WNHAI1X4APS/C (10.5კგ)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</si>
  <si>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LG F-2J3NS0W</t>
  </si>
  <si>
    <t xml:space="preserve">170932</t>
  </si>
  <si>
    <t xml:space="preserve">https://superi.ge/lg-f-2j3ns0w/</t>
  </si>
  <si>
    <t xml:space="preserve">• ჩატვირთვის ტიპი ფრონტალური • ძრავის ტიპი ინვერტორული • სარეცხის მაქსიმალური ჩატვირთვა 6 კგ • ბრუნვის მაქსიმალური სიჩქარე 1200 ბრ/წთ • ენერგომოხმარების კლასი A...</t>
  </si>
  <si>
    <t xml:space="preserve">შეიძინეთ სარეცხი მანქანა LG F-2J3NS0W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</si>
  <si>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საშრობით GORENJE W1D2A854ADPS (8/5კგ)</t>
  </si>
  <si>
    <t xml:space="preserve">S54670</t>
  </si>
  <si>
    <t xml:space="preserve">https://superi.ge/gorenje-w1d2a854adps-8-5/</t>
  </si>
  <si>
    <t xml:space="preserve">• ჩატვირთვის ტიპი ფრონტალური • ტევადობა 8 კგ • საშრობი სარეცხის ტევადობა 5 კგ • ბრუნვის მაქსიმალური სიჩქარე 1400 ბრ/წთ • ენერგო მოხმარების კლასი A • რეცხვის კლა...</t>
  </si>
  <si>
    <t xml:space="preserve">შეიძინეთ სარეცხი მანქანა საშრობით GORENJE W1D2A854ADPS (8/5კგ)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</si>
  <si>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SAMSUNG UE43AU7172UXXH</t>
  </si>
  <si>
    <t xml:space="preserve">199278</t>
  </si>
  <si>
    <t xml:space="preserve">https://superi.ge/samsung-ue43au7172uxxh/</t>
  </si>
  <si>
    <t xml:space="preserve">• ტელევიზორის კლასი LED • ტიპი HDR TV • ეკრანის დიაგონალი 43 109 2 სმ • ეკრანის გაფართოება 4K Ultra HD 3840 x 2160 • სერია 7 • Smart ტექნოლოგია კი ვიდეო • High ...</t>
  </si>
  <si>
    <t xml:space="preserve">შეიძინეთ ტელევიზორი SAMSUNG UE43AU7172UXXH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</si>
  <si>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SAMSUNG UE43CU7100UXRU (109სმ)</t>
  </si>
  <si>
    <t xml:space="preserve">231774</t>
  </si>
  <si>
    <t xml:space="preserve">https://superi.ge/samsung-ue43cu7100uxru-109/</t>
  </si>
  <si>
    <t xml:space="preserve">• ტელევიზორის კლასი LED • ეკრანის დიაგონალი 43 109 სმ • ეკრანის გაფართოება 4K UHD 3840 x 2160 • სერია 7 • Smart ტექნოლოგია კი • ოპერაციული სისტემა OS Tizen ვიდე...</t>
  </si>
  <si>
    <t xml:space="preserve">შეიძინეთ ტელევიზორი SAMSUNG UE43CU7100UXRU (109სმ)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</si>
  <si>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ქურის ზედაპირი GORENJE GCE691BSC</t>
  </si>
  <si>
    <t xml:space="preserve">S88776</t>
  </si>
  <si>
    <t xml:space="preserve">https://superi.ge/gorenje-gce691bsc/</t>
  </si>
  <si>
    <t xml:space="preserve">• ტიპი კომბინირებული • მართვის ტიპი მექანიკური • კონფორების რაოდენობა 2 გაზის 2 ელექტრო • ელექტრო სანთურის სიმძლავრე / ზომა 1 1200 W / 145 მმ • ელექტრო სანთურის...</t>
  </si>
  <si>
    <t xml:space="preserve">შეიძინეთ ქურის ზედაპირი GORENJE GCE691BSC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</si>
  <si>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ჩასაშენებელი ღუმელი BOSCH HBF113BA0Q</t>
  </si>
  <si>
    <t xml:space="preserve">I62734</t>
  </si>
  <si>
    <t xml:space="preserve">https://superi.ge/bosch-hbf113ba0q/</t>
  </si>
  <si>
    <t xml:space="preserve">• ტიპი ჩასაშენებელი • ღუმელის საერთო სასარგებლო მოცულობა 66 ლ • სიმძლავრე 3300 W • პროგრამების რაოდენობა 5 • ენერგოეფექტურობის კლასი A • მასიმალური ტემპერატურა ...</t>
  </si>
  <si>
    <t xml:space="preserve">შეიძინეთ ჩასაშენებელი ღუმელი BOSCH HBF113BA0Q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</si>
  <si>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ჭურჭლის სარეცხი მანქანა GORENJE GV62040</t>
  </si>
  <si>
    <t xml:space="preserve">I71685</t>
  </si>
  <si>
    <t xml:space="preserve">https://superi.ge/gorenje-gv62040/</t>
  </si>
  <si>
    <t xml:space="preserve">• ენერგომოხმარების კლასი A++ • ტევადობა 13 კომპლექტი • Მართვის პანელი LED • მართვის ტიპი ელექტრონული • წყლის მოხმარება წელიწადში 2800 ლ • ელექტროენერგიის მოხმარ...</t>
  </si>
  <si>
    <t xml:space="preserve">შეიძინეთ ჭურჭლის სარეცხი მანქანა GORENJE GV62040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</si>
  <si>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VOX NF 3830 IXF</t>
  </si>
  <si>
    <t xml:space="preserve">WE0000003518</t>
  </si>
  <si>
    <t xml:space="preserve">https://superi.ge/vox-nf-3830-ixf/</t>
  </si>
  <si>
    <t xml:space="preserve">• ტიპი ორკამერიანი • საერთო სასარგებლო მოცულობა 363 ლ • მაცივრის კამერის სასარგებლო მოცულობა 266 ლ • საყინულე კამერის სასარგებლო მოცულობა 101 ლ • საყინულე კამერ...</t>
  </si>
  <si>
    <t xml:space="preserve">შეიძინეთ მაცივარი VOX NF 3830 IXF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</si>
  <si>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საყინულე FRANKO FCF-294DW (295ლ)</t>
  </si>
  <si>
    <t xml:space="preserve">FCF-294DW</t>
  </si>
  <si>
    <t xml:space="preserve">https://superi.ge/franko-fcf-294dw-295/</t>
  </si>
  <si>
    <t xml:space="preserve">• ტიპი ჰორიზონტალური საყინულე • მოცულობა ლ/ფტ 295/10 4 • LED განათება – დიახ • მაცივარი R600a • გასაღები და დაბლოკვა – დიახ • ტემპ კონტროლი/დისპლეი – მექანიკური...</t>
  </si>
  <si>
    <t xml:space="preserve">შეიძინეთ საყინულე FRANKO FCF-294DW (295ლ)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</si>
  <si>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TCL P315BF SILVER</t>
  </si>
  <si>
    <t xml:space="preserve">S99826</t>
  </si>
  <si>
    <t xml:space="preserve">https://superi.ge/tcl-p315bf-silver/</t>
  </si>
  <si>
    <t xml:space="preserve">ზოგადი ინფორმაცია • ბრენდი TCL • მოდელი P315BF • ტიპი ორკამერიანი მაცივარი • კონსტრუქციის ტიპი ცალკე მდგომი • საყინულის მდებარეობა ქვედა • მართვის ტიპი ელექტრონ...</t>
  </si>
  <si>
    <t xml:space="preserve">შეიძინეთ მაცივარი TCL P315BF SILVER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</si>
  <si>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BEKO WTV 8712 XW B100</t>
  </si>
  <si>
    <t xml:space="preserve">229275</t>
  </si>
  <si>
    <t xml:space="preserve">https://superi.ge/beko-wtv-8712-xw-b100/</t>
  </si>
  <si>
    <t xml:space="preserve">• ჩატვირთვის ტიპი ფრონტალური • სარეცხის მაქსიმალური ჩატვირთვა 8 კგ • ბრუნვის მაქსიმალური სიჩქარე 1400 ბრ/წთ • ენერგომოხმარების კლასი B • მართვის ტიპი მექანიკური...</t>
  </si>
  <si>
    <t xml:space="preserve">შეიძინეთ სარეცხი მანქანა BEKO WTV 8712 XW B100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</si>
  <si>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TOSHIBA TW-BL90A4UZ (WK)</t>
  </si>
  <si>
    <t xml:space="preserve">215947</t>
  </si>
  <si>
    <t xml:space="preserve">https://superi.ge/toshiba-tw-bl90a4uz-wk/</t>
  </si>
  <si>
    <t xml:space="preserve">• ჩატვირთვის ტიპი ფრონტალური • მაქსიმალური ჩატვირთვა 8 კგ • ძრავის ტიპი ინვერტორული • ენერგოეფექტურობის კლასი A+++ • ბრუნვის მაქსიმალური სიჩქარე 1200 ბრ/წთ • მა...</t>
  </si>
  <si>
    <t xml:space="preserve">შეიძინეთ სარეცხი მანქანა TOSHIBA TW-BL90A4UZ (WK)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</si>
  <si>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საკერავი მანქანა JANOME 718A</t>
  </si>
  <si>
    <t xml:space="preserve">S70641</t>
  </si>
  <si>
    <t xml:space="preserve">https://superi.ge/janome-718a/</t>
  </si>
  <si>
    <t xml:space="preserve">• ტიპი ელექტრომექანიკური • ჰორიზონტალური მაქო • კერვის ოპერაციების რაოდენობა 19 ფუნქციები და მახასიათებლები • ხაზები სტანდარტული ტრიკოტაჟის ავერლოკის დეკორატიულ...</t>
  </si>
  <si>
    <t xml:space="preserve">შეიძინეთ საკერავი მანქანა JANOME 718A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</si>
  <si>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VESTFROST GT/N3664MGKS(A+) IX</t>
  </si>
  <si>
    <t xml:space="preserve">180663</t>
  </si>
  <si>
    <t xml:space="preserve">https://superi.ge/vestfrost-gt-n3664mgks-a-ix/</t>
  </si>
  <si>
    <t xml:space="preserve">• ტიპი ორკამერიანი • მართვის ტიპი მექანიკური • საერთო სასარგებლო მოცულობა 318ლ • მაცივრის კამერის სასარგებლო მოცულობა 231ლ • საყინულე კამერის სასარგებლო მოცულობ...</t>
  </si>
  <si>
    <t xml:space="preserve">შეიძინეთ მაცივარი VESTFROST GT/N3664MGKS(A+) IX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</si>
  <si>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HAIER TIBIO INVERTER 12000 (35-40მ²)</t>
  </si>
  <si>
    <t xml:space="preserve">HSU-12HTL103/R2(IN)(OUT)</t>
  </si>
  <si>
    <t xml:space="preserve">https://superi.ge/haier-tibio-inverter-12000-35-40/</t>
  </si>
  <si>
    <t xml:space="preserve">• ტიპი კედლის სპლიტ სისტემა • ძირითადი რეჟიმები გაგრილება გათბობა • რეკომენდირებული ფართი 35-40 მ² -მდე • სიმძლავრე გაგრილების რეჟიმში 12000 BTU/სთ • სიმძლავრე ...</t>
  </si>
  <si>
    <t xml:space="preserve">შეიძინეთ კონდიციონერი HAIER TIBIO INVERTER 12000 (35-40მ²)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</si>
  <si>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SAMSUNG WW80T3040BS/LP</t>
  </si>
  <si>
    <t xml:space="preserve">117728</t>
  </si>
  <si>
    <t xml:space="preserve">https://superi.ge/samsung-ww80t3040bs-lp/</t>
  </si>
  <si>
    <t xml:space="preserve">• ჩატვირთვის ტიპი ფრონტალური • სარეცხის მაქსიმალური ჩატვირთვა 8 კგ • ბრუნვის მაქსიმალური სიჩქარე 1400 ბრ/წთ • ენერგომოხმარების კლასი A+++ • რეცხვის კლასი A • წყ...</t>
  </si>
  <si>
    <t xml:space="preserve">შეიძინეთ სარეცხი მანქანა SAMSUNG WW80T3040BS/LP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</si>
  <si>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გაზქურა BEKO FSE 63320 DX</t>
  </si>
  <si>
    <t xml:space="preserve">CT0000003427</t>
  </si>
  <si>
    <t xml:space="preserve">https://superi.ge/beko-fse-63320-dx/</t>
  </si>
  <si>
    <t xml:space="preserve">• ტიპი კომბინირებული • მართვის ტიპი მექანიკური • კონფორები 4 3 გაზის + 1 ელექტრო • ენერგომოხმარების კლასი A • გრილი კი • გაზკონტროლი კი • ელექტრონული ანთება კი ...</t>
  </si>
  <si>
    <t xml:space="preserve">შეიძინეთ გაზქურა BEKO FSE 63320 DX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</si>
  <si>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გაზქურა BEKO FSGT 62110 DXO b100</t>
  </si>
  <si>
    <t xml:space="preserve">SA0000008258</t>
  </si>
  <si>
    <t xml:space="preserve">https://superi.ge/beko-fsgt-62110-dxo-b100/</t>
  </si>
  <si>
    <t xml:space="preserve">მახასიათებლები • ღუმელის ტიპი გაზის • კონტროლის ტიპი მექანიკური • ღუმელის მოცულობა 59 ლ • ენერგოეფექტურობის კლასი A • ღუმელის ფუნქციების რაოდენობა 6 • ტაიმერი •...</t>
  </si>
  <si>
    <t xml:space="preserve">შეიძინეთ გაზქურა BEKO FSGT 62110 DXO b100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</si>
  <si>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გენერატორი INGCO GE35006 (3.5კვტ)</t>
  </si>
  <si>
    <t xml:space="preserve">1005182</t>
  </si>
  <si>
    <t xml:space="preserve">https://superi.ge/ingco-ge35006-3-5/</t>
  </si>
  <si>
    <t xml:space="preserve">• გენერატორი ბენზინის ძრავზე 3 5 კვტ INGCO GE35006 • ძირითადი ინფორმაცია • გამომავალი ძაბვა 12 ვ 8 3 ამპ • დანიშნულება სამომხმარებლო • სამუშაო დრო 11 სთ • საწვა...</t>
  </si>
  <si>
    <t xml:space="preserve">შეიძინეთ გენერატორი INGCO GE35006 (3.5კვტ)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</si>
  <si>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მონობლოკი LENOVO IDEACENTRE AIO 3 22ITL6 (F0G500ALRK) WHITE</t>
  </si>
  <si>
    <t xml:space="preserve">124948</t>
  </si>
  <si>
    <t xml:space="preserve">https://superi.ge/lenovo-ideacentre-aio-3-22itl6-f0g500alrk-white/</t>
  </si>
  <si>
    <t xml:space="preserve">ეკრანი • დიაგონალი 21 5 • გაფართოება 1920 x 1080 • ტექნოლოგია IPS • ფორმატი 16 9 • სიკაშკაშე 250 cd/m² • განახლების სიჩქარე 60 Hz • ზედაპირი მქრქალი პროცესორი •...</t>
  </si>
  <si>
    <t xml:space="preserve">შეიძინეთ მონობლოკი LENOVO IDEACENTRE AIO 3 22ITL6 (F0G500ALRK) WHITE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</si>
  <si>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მრავალფუნქციური მოწყობილობა CANON i-SENSYS MF264DW II 5938C017AA</t>
  </si>
  <si>
    <t xml:space="preserve">5938C017AA</t>
  </si>
  <si>
    <t xml:space="preserve">https://superi.ge/canon-i-sensys-mf264dw-ii-5938c017aa/</t>
  </si>
  <si>
    <t xml:space="preserve">ბრენდი Canon მოდელი MF264DWპროდუქტის ტიპი პრინტერიფუნქციები ბეჭდვა კოპირება სკანირებასკანრების ტიპი ავტომატური დოკუმენტის მიმწოდებელი ADF ბეჭდვის მეთოდი ლაზერულ...</t>
  </si>
  <si>
    <t xml:space="preserve">შეიძინეთ მრავალფუნქციური მოწყობილობა CANON i-SENSYS MF264DW II 5938C017AA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</si>
  <si>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მტვერსასრუტი BOSCH BGS412234A</t>
  </si>
  <si>
    <t xml:space="preserve">S55791</t>
  </si>
  <si>
    <t xml:space="preserve">https://superi.ge/bosch-bgs412234a/</t>
  </si>
  <si>
    <t xml:space="preserve">• ტიპი კონტეინერით • სიმძლავრე 1800 W • მტვრის კონტეინერის მოცულობა 2 4 ლ • დასუფთავების ტიპი მშრალი • მართვის ტიპი მექანიკური • მუშაობის რადიუსი 10 მ • ფილტრის...</t>
  </si>
  <si>
    <t xml:space="preserve">შეიძინეთ მტვერსასრუტი BOSCH BGS412234A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</si>
  <si>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პრინტერი CANON MAXIFY GX5040 (5550C009AA_5550C009AB)</t>
  </si>
  <si>
    <t xml:space="preserve">140551</t>
  </si>
  <si>
    <t xml:space="preserve">https://superi.ge/canon-maxify-gx5040-5550c009aa5550c009ab/</t>
  </si>
  <si>
    <t xml:space="preserve">• ფუნქციები ბეჭდვა • ბეჭდვის ტექნოლოგია ჭავლური • დისპლეის ტიპი LCD პრინტერის ფუნქციები • ბეჭდვის ტიპი ფერადი • ფერთა რაოდენობა 3 • ორმხრივი ბეჭდვა ავტომატური •...</t>
  </si>
  <si>
    <t xml:space="preserve">შეიძინეთ პრინტერი CANON MAXIFY GX5040 (5550C009AA_5550C009AB)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</si>
  <si>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DAEWOO WM914T3WB0GE (9კგ)</t>
  </si>
  <si>
    <t xml:space="preserve">I92362</t>
  </si>
  <si>
    <t xml:space="preserve">https://superi.ge/daewoo-wm914t3wb0ge-9/</t>
  </si>
  <si>
    <t xml:space="preserve">შეიძინეთ სარეცხი მანქანა DAEWOO WM914T3WB0GE (9კგ)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</si>
  <si>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VOX WM1410-SAT15ABLDC</t>
  </si>
  <si>
    <t xml:space="preserve">227710</t>
  </si>
  <si>
    <t xml:space="preserve">https://superi.ge/vox-wm1410-sat15abldc/</t>
  </si>
  <si>
    <t xml:space="preserve">• ჩატვირთვის ტიპი ფრონტალური • მაქსიმალური ჩატვირთვა 10 კგ • ბრუნვის მაქსიმალური სიჩქარე 1400 ბრ/წთ • დოლურის მოცულობა 62 ლ • ენერგოეფექტურობის კლასი A • წყლის ...</t>
  </si>
  <si>
    <t xml:space="preserve">შეიძინეთ სარეცხი მანქანა VOX WM1410-SAT15ABLDC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</si>
  <si>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TCL TAC-18CHSA/XA73 (55-60მ²)</t>
  </si>
  <si>
    <t xml:space="preserve">S25488</t>
  </si>
  <si>
    <t xml:space="preserve">https://superi.ge/tcl-tac-18chsa-xa73-55-60/</t>
  </si>
  <si>
    <t xml:space="preserve">• ტიპი კედლის სპლიტ სისტემა • ძირითადი რეჟიმები გაგრილება გათბობა • რეკომენდირებული ფართი 55-60 მ² -მდე • სიმძლავრე გაგრილების რეჟიმში 17486 BTU/სთ • სიმძლავრე ...</t>
  </si>
  <si>
    <t xml:space="preserve">შეიძინეთ კონდიციონერი TCL TAC-18CHSA/XA73 (55-60მ²)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</si>
  <si>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SAMSUNG AR07BQHQASINER</t>
  </si>
  <si>
    <t xml:space="preserve">230118</t>
  </si>
  <si>
    <t xml:space="preserve">https://superi.ge/samsung-ar07bqhqasiner/</t>
  </si>
  <si>
    <t xml:space="preserve">• ტიპი კედლის სპლიტ-სისტემა • რეჟიმი გაგრილება / გათბობა / გამოშრობა / ცირკულაცია • რეკომენდირებული ფართი 15-20 მ² -მდე • სიმძლავრე 7000 BTU • გაგრილების სიმძლა...</t>
  </si>
  <si>
    <t xml:space="preserve">შეიძინეთ კონდიციონერი SAMSUNG AR07BQHQASINER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</si>
  <si>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ჭურჭლის სარეცხი მანქანა BEKO DVN05320S</t>
  </si>
  <si>
    <t xml:space="preserve">WE0000003584</t>
  </si>
  <si>
    <t xml:space="preserve">https://superi.ge/beko-dvn05320s/</t>
  </si>
  <si>
    <t xml:space="preserve">• ტიპი ცალკე მდგომი • მართვის ტიპი მექანიკური • ტევადობა 13 კომპლექტი • წლიური ენერგომოხმარება 262 kW • წყლის მოხმარება 12 9 ლ • ხმაურის დონე 49 dBA პროგრამები ...</t>
  </si>
  <si>
    <t xml:space="preserve">შეიძინეთ ჭურჭლის სარეცხი მანქანა BEKO DVN05320S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</si>
  <si>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საკერავი მანქანა JANOME DC3900</t>
  </si>
  <si>
    <t xml:space="preserve">211053</t>
  </si>
  <si>
    <t xml:space="preserve">https://superi.ge/janome-dc3900/</t>
  </si>
  <si>
    <t xml:space="preserve">• ტიპი ელექტრომექანიკური • შატლი ჰორიზონტალური • მარყუჟი ავტომატური • კერვის ოპერაციების რაოდენობა 50 • განათება კი ფუნქციები და მახასიათებლები • ნაკერების მაქს...</t>
  </si>
  <si>
    <t xml:space="preserve">შეიძინეთ საკერავი მანქანა JANOME DC3900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</si>
  <si>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ASUS TUF GAMING Z890-PRO WIFI Intel Z890 DDR5 EATX დედა დაფა</t>
  </si>
  <si>
    <t xml:space="preserve">90MB1IR0-M0EAY0</t>
  </si>
  <si>
    <t xml:space="preserve">https://superi.ge/asus-tuf-gaming-z890-pro-wifi-intel-z890-ddr5-eatx/</t>
  </si>
  <si>
    <t xml:space="preserve">ზოგადი ინფორმაცია • ბრენდი ASUS • მოდელი TUF GAMING Z890-PRO WIFI • ტიპი დედაპლატა • კატეგორია გეიმინგ დედაპლატა • სოკეტი LGA 1851 • ჩიპსეტი Intel Z890 • ფორმ-ფ...</t>
  </si>
  <si>
    <t xml:space="preserve">შეიძინეთ ASUS TUF GAMING Z890-PRO WIFI Intel Z890 DDR5 EATX დედა დაფა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</si>
  <si>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ველოსიპედი TRINX N600 NANA</t>
  </si>
  <si>
    <t xml:space="preserve">179497</t>
  </si>
  <si>
    <t xml:space="preserve">https://superi.ge/trinx-n600-nana/</t>
  </si>
  <si>
    <t xml:space="preserve">• საბურავის დიამეტრი 26 • ჩარჩო TRINX 26” x 15 5” • დისკის ტიპი ღეროვანი მახასიათებლები • ჯაჭვი M30 8S • ჯაჭვის კბილანა PROWHEEL 22/34/42T*170L • უკანა კბილანა ...</t>
  </si>
  <si>
    <t xml:space="preserve">შეიძინეთ ველოსიპედი TRINX N600 NANA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</si>
  <si>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გაზქურა BEKO FSET 62111 GSS SUPERIA</t>
  </si>
  <si>
    <t xml:space="preserve">CT0000008000</t>
  </si>
  <si>
    <t xml:space="preserve">https://superi.ge/beko-fset-62111-gss-superia/</t>
  </si>
  <si>
    <t xml:space="preserve">• ტიპი ცალკე მდგომი • მართვის ტიპი მექანიკური • კონფორები 4 გაზის • ელექტრო ანთება • გასკონტროლი ღუმელი • ღუმელის რაოდენობა 1 • ტიპი ელექტრო • მართვის ტიპი მექა...</t>
  </si>
  <si>
    <t xml:space="preserve">შეიძინეთ გაზქურა BEKO FSET 62111 GSS SUPERIA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</si>
  <si>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ელექტრო მანქანა ASTON MARTIN 5DB11</t>
  </si>
  <si>
    <t xml:space="preserve">232858</t>
  </si>
  <si>
    <t xml:space="preserve">საბავშვო პროდუქცია &gt; ელექტრო მანქანები</t>
  </si>
  <si>
    <t xml:space="preserve">https://superi.ge/aston-martin-5db11/</t>
  </si>
  <si>
    <t xml:space="preserve">• ტიპი ელექტრო • ადგილების რაოდენობა 1 • მაქსიმალური დატვირთვა 30 კგ • სიჩქარეების რაოდენობ 4 5 კმ/სთ დამატებითი მახასიათებლები • კარების გახსნა/დაკეტვა • ხმის ...</t>
  </si>
  <si>
    <t xml:space="preserve">შეიძინეთ ელექტრო მანქანა ASTON MARTIN 5DB11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</si>
  <si>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AUX ASW-H12A4/QCR1 (35-40მ²)</t>
  </si>
  <si>
    <t xml:space="preserve">H12A4</t>
  </si>
  <si>
    <t xml:space="preserve">https://superi.ge/aux-asw-h12a4-qcr1-35-40/</t>
  </si>
  <si>
    <t xml:space="preserve">• მოდელი ASW-H12A4/QCR1 • ტიპი კედლის სპლიტ სისტემა • რეკომენდებული ფართობი მონტაჟისთვის 35-40 მ² • გაგრილების სიმძლავრე 3100 ვატი • გათბობის სიმძლავრე 3230 ვატ...</t>
  </si>
  <si>
    <t xml:space="preserve">შეიძინეთ კონდიციონერი AUX ASW-H12A4/QCR1 (35-40მ²)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</si>
  <si>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VOX IVA1-9IR INV SET</t>
  </si>
  <si>
    <t xml:space="preserve">210187</t>
  </si>
  <si>
    <t xml:space="preserve">https://superi.ge/vox-iva1-9ir-inv-set/</t>
  </si>
  <si>
    <t xml:space="preserve">• ტიპი კედლის სპლიტ სისტემა • ძირითადი რეჟიმები გაგრილება გათბობა • რეკომენდირებული ფართი 25-30 მ² -მდე • ელექტროენერგიის მოხმარება გათბობის დროს 850 W • გაგრილ...</t>
  </si>
  <si>
    <t xml:space="preserve">შეიძინეთ კონდიციონერი VOX IVA1-9IR INV SET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</si>
  <si>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HAGEN HRBF1828X SILVER</t>
  </si>
  <si>
    <t xml:space="preserve">140162</t>
  </si>
  <si>
    <t xml:space="preserve">https://superi.ge/hagen-hrbf1828x-silver/</t>
  </si>
  <si>
    <t xml:space="preserve">• ტიპი: ორკამერიანი • მართვის ტიპი: მექანიკური • საერთო სასარგებლო მოცულობა: 286 ლ • მაცივრის კამერის სასარგებლო მოცულობა: 210 ლ • საყინულე კამერის სასარგებლო მოცულობა: 76 ლ • საყინულე კამერის განლაგება: ქვედა • გაგრილების სისტემა: No Frost (მშრალი</t>
  </si>
  <si>
    <t xml:space="preserve">შეიძინეთ მაცივარი HAGEN HRBF1828X SILVER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</si>
  <si>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HISENSE RD-32WRN</t>
  </si>
  <si>
    <t xml:space="preserve">204126</t>
  </si>
  <si>
    <t xml:space="preserve">https://superi.ge/hisense-rd-32wrn/</t>
  </si>
  <si>
    <t xml:space="preserve">• ტიპი ორკამერიანი • საერთო სასარგებლო მოცულობა 249 ლ • მაცივრის კამერის სასარგებლო მოცულობა 197 ლ • საყინულე კამერის სასარგებლო მოცულობა 52 ლ • საყინულე კამერი...</t>
  </si>
  <si>
    <t xml:space="preserve">შეიძინეთ მაცივარი HISENSE RD-32WRN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</si>
  <si>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VESTEL RS 390 SILVER</t>
  </si>
  <si>
    <t xml:space="preserve">203635</t>
  </si>
  <si>
    <t xml:space="preserve">https://superi.ge/vestel-rs-390-silver/</t>
  </si>
  <si>
    <t xml:space="preserve">• ტიპი ორკამერიანი • მართვის ტიპი მექანიკური • საერთო სასარგებლო მოცულობა 270 ლ • მაცივრის კამერის სასარგებლო მოცულობა 184 ლ • საყინულე კამერის სასარგებლო მოცულ...</t>
  </si>
  <si>
    <t xml:space="preserve">შეიძინეთ მაცივარი VESTEL RS 390 SILVER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</si>
  <si>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პორტატული კონდიციონერი VOX PMF12CH</t>
  </si>
  <si>
    <t xml:space="preserve">SA0000009000</t>
  </si>
  <si>
    <t xml:space="preserve">https://superi.ge/vox-pmf12ch/</t>
  </si>
  <si>
    <t xml:space="preserve">ძირითადი ინფორმაცია • ავტომატური გადატვირთვა დიახ • გაგრილების ფართი 35-40 კვადრატი • ენერგეტიკული კლასი - გაგრილება A • ენერგეტიკული კლასი - გათბობა B ტექნიკურ...</t>
  </si>
  <si>
    <t xml:space="preserve">შეიძინეთ პორტატული კონდიციონერი VOX PMF12CH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</si>
  <si>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პრინტერი CANON INK MAXIFY MB5140 (0960C007AA)</t>
  </si>
  <si>
    <t xml:space="preserve">78136</t>
  </si>
  <si>
    <t xml:space="preserve">https://superi.ge/canon-ink-maxify-mb5140-0960c007aa/</t>
  </si>
  <si>
    <t xml:space="preserve">ზოგადი ინფორმაცია ბრენდი Canonსერია MAXIFYმოდელი/PN MAXIFY MB5140ტიპი All-in-One ძირითადი ფუნქციებიპრინტერი დიახსკანერი დიახასლის გადაღება დიახფაქსი დიახპრინტერ...</t>
  </si>
  <si>
    <t xml:space="preserve">შეიძინეთ პრინტერი CANON INK MAXIFY MB5140 (0960C007AA)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</si>
  <si>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LG F2J3HS2W</t>
  </si>
  <si>
    <t xml:space="preserve">07001</t>
  </si>
  <si>
    <t xml:space="preserve">https://superi.ge/lg-f2j3hs2w/</t>
  </si>
  <si>
    <t xml:space="preserve">• ჩატვირთვის ტიპი ფრონტალური • მაქსიმალური ჩატვირთვა 7 კგ • ბრუნვის მაქსიმალური სიჩქარე 1200 ბრ/წთ • ძრავის ტიპი ინვერტორული • მართვის ტიპი ელექტრონული • ენერგო...</t>
  </si>
  <si>
    <t xml:space="preserve">შეიძინეთ სარეცხი მანქანა LG F2J3HS2W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</si>
  <si>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TOSHIBA TW-BL80A2UZ (WK)</t>
  </si>
  <si>
    <t xml:space="preserve">210752</t>
  </si>
  <si>
    <t xml:space="preserve">https://superi.ge/toshiba-tw-bl80a2uz-wk/</t>
  </si>
  <si>
    <t xml:space="preserve">• ჩატვირთვის ტიპი ფრონტალური • მაქსიმალური ჩატვირთვა 7 კგ • ძრავის ტიპი ინვერტორული • ენერგოეფექტურობის კლასი A+++ • ბრუნვის მაქსიმალური სიჩქარე 1200 ბრ/წთ • მა...</t>
  </si>
  <si>
    <t xml:space="preserve">შეიძინეთ სარეცხი მანქანა TOSHIBA TW-BL80A2UZ (WK)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</si>
  <si>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VOX WM1288-SAT2T15D</t>
  </si>
  <si>
    <t xml:space="preserve">227833</t>
  </si>
  <si>
    <t xml:space="preserve">https://superi.ge/vox-wm1288-sat2t15d/</t>
  </si>
  <si>
    <t xml:space="preserve">• ჩატვირთვის ტიპი ფრონტალური • მაქსიმალური ჩატვირთვა 8 კგ • ბრუნვის მაქსიმალური სიჩქარე 1200 ბრ/წთ • დოლურის მოცულობა 51 ლ • ენერგოეფექტურობის კლასი D • მართვის...</t>
  </si>
  <si>
    <t xml:space="preserve">შეიძინეთ სარეცხი მანქანა VOX WM1288-SAT2T15D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</si>
  <si>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საყინულე SHARP SCF-K350H-WH3 (251L)</t>
  </si>
  <si>
    <t xml:space="preserve">SCF-K350H-WH3</t>
  </si>
  <si>
    <t xml:space="preserve">https://superi.ge/sharp-scf-k350h-wh3-251l/</t>
  </si>
  <si>
    <t xml:space="preserve">• მოცულობა 251 ლიტრი • ფრეონის ტიპი R600a • სწრაფი გაყინვის ფუნქცია • ტემპერატურის კონტროლის შესაძლებლობა • საკეტი • განათება LED • 2 X კალათა • ელექტრონული მარ...</t>
  </si>
  <si>
    <t xml:space="preserve">შეიძინეთ საყინულე SHARP SCF-K350H-WH3 (251L)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</si>
  <si>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BLAUPUNKT 55UGC6000 (139 სმ)</t>
  </si>
  <si>
    <t xml:space="preserve">I92002</t>
  </si>
  <si>
    <t xml:space="preserve">https://superi.ge/blaupunkt-55ugc6000-139/</t>
  </si>
  <si>
    <t xml:space="preserve">მახასიათებლები • ეკრანის ზომა 55 /139 სმ • რეზოლუცია 4K 3840 x 2160 • სიხშირე Hz 60 • ტექნოლოგია D-LED • სიკაშკაშე 280 cd/m • დახრის კუთხე 170/170 • კონტრასტულო...</t>
  </si>
  <si>
    <t xml:space="preserve">შეიძინეთ ტელევიზორი BLAUPUNKT 55UGC6000 (139 სმ)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</si>
  <si>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LG 43UR78006LK (109სმ)</t>
  </si>
  <si>
    <t xml:space="preserve">000016</t>
  </si>
  <si>
    <t xml:space="preserve">https://superi.ge/lg-43ur78006lk-109/</t>
  </si>
  <si>
    <t xml:space="preserve">• ტელევიზორის კლასი LED • ეკრანის დიაგონალი 43 109 სმ • ეკრანის გაფართოება 4K UHD 3840 x 2160 • Smart ტექნოლოგია კი • ოპერაციული სისტემა webOS ვიდეო • სიხშირე 5...</t>
  </si>
  <si>
    <t xml:space="preserve">შეიძინეთ ტელევიზორი LG 43UR78006LK (109სმ)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</si>
  <si>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ჭურჭლის სარეცხი მანქანა BEKO DVN05321B</t>
  </si>
  <si>
    <t xml:space="preserve">S80181</t>
  </si>
  <si>
    <t xml:space="preserve">https://superi.ge/beko-dvn05321b/</t>
  </si>
  <si>
    <t xml:space="preserve">• მანქანის ტიპი დასადგამი • ენერგომოხმარების კლასი A++ • ტევადობა 10 კომპლექტი • ხმაურის დონე 49 dB • ენერგომოხმარება წელიწადში 262 kW პროგრამები • პროგრამების ...</t>
  </si>
  <si>
    <t xml:space="preserve">შეიძინეთ ჭურჭლის სარეცხი მანქანა BEKO DVN05321B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</si>
  <si>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ჭურჭლის სარეცხი მანქანა GORENJE GS62040W</t>
  </si>
  <si>
    <t xml:space="preserve">221665</t>
  </si>
  <si>
    <t xml:space="preserve">https://superi.ge/gorenje-gs62040w/</t>
  </si>
  <si>
    <t xml:space="preserve">• ენერგომოხმარების კლასი A++ • მართვის ტიპი ელექტრონული • ტევადობა 13 კომპლექტი • წყლის მოხმარება 11 ლ • წყლის მაქსიმალური ტემპერატურა 60°C • ელექტროენერგიის მო...</t>
  </si>
  <si>
    <t xml:space="preserve">შეიძინეთ ჭურჭლის სარეცხი მანქანა GORENJE GS62040W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</si>
  <si>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ჭურჭლის სარეცხი მანქანა TOSHIBA DW-14F1CIS (W)</t>
  </si>
  <si>
    <t xml:space="preserve">179316</t>
  </si>
  <si>
    <t xml:space="preserve">https://superi.ge/toshiba-dw-14f1cis-w/</t>
  </si>
  <si>
    <t xml:space="preserve">• ენერგომოხმარების კლასი A++ • ტევადობა 14 კომპლექტი • პროგრამების რაოდენობა 8 • რეცხვის კლასი A • შრობის კლასი A • ხმაურის დონე 49 dB ფიზიკური პარამეტრები • ზო...</t>
  </si>
  <si>
    <t xml:space="preserve">შეიძინეთ ჭურჭლის სარეცხი მანქანა TOSHIBA DW-14F1CIS (W)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</si>
  <si>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კომპრესორი REMEZA SB4/C-50.J1048B</t>
  </si>
  <si>
    <t xml:space="preserve">#P00014</t>
  </si>
  <si>
    <t xml:space="preserve">https://superi.ge/remeza-sb4-c-50-j1048b/</t>
  </si>
  <si>
    <t xml:space="preserve">• რესივერის მოცულობა 50 ლ • ძაბვა 220 V • ნომინალური სიმძლავრე 1 8 Kw • წარმადობა 260 ლ/წთ • მაქსიმალური წნევა 8 bar ფიზიკური პარამეტრები • ზომა 850 x 400 x 750...</t>
  </si>
  <si>
    <t xml:space="preserve">შეიძინეთ კომპრესორი REMEZA SB4/C-50.J1048B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</si>
  <si>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მტვერსასრუტი BOSCH BCH86SIL1</t>
  </si>
  <si>
    <t xml:space="preserve">I70902</t>
  </si>
  <si>
    <t xml:space="preserve">https://superi.ge/bosch-bch86sil1/</t>
  </si>
  <si>
    <t xml:space="preserve">• ტიპი ვერტიკალური ელექტრო ცოცხი • მტვრის კონტეინერის მოცულობა 0 9 ლ • დასუფთავების ტიპი მშრალი • ხმაურის დონე 79 dB A • კვების ტიპი აკუმულატორი მახასიათებლები ...</t>
  </si>
  <si>
    <t xml:space="preserve">შეიძინეთ მტვერსასრუტი BOSCH BCH86SIL1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</si>
  <si>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კომპრესორი REMEZA SB4/C-50.J1047B</t>
  </si>
  <si>
    <t xml:space="preserve">#P00013</t>
  </si>
  <si>
    <t xml:space="preserve">https://superi.ge/remeza-sb4-c-50-j1047b/</t>
  </si>
  <si>
    <t xml:space="preserve">• რესივერის მოცულობა 50 ლ • ძაბვა 220 V • ნომინალური სიმძლავრე 1 5 Kw • წარმადობა 200 ლ/წთ • მაქსიმალური წნევა 8 bar ფიზიკური პარამეტრები • ზომა 840 x 435 x 680...</t>
  </si>
  <si>
    <t xml:space="preserve">შეიძინეთ კომპრესორი REMEZA SB4/C-50.J1047B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</si>
  <si>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საყინულე FRANKO FCF-249DW (245ლ)</t>
  </si>
  <si>
    <t xml:space="preserve">FCF-249DW</t>
  </si>
  <si>
    <t xml:space="preserve">https://superi.ge/franko-fcf-249dw-245/</t>
  </si>
  <si>
    <t xml:space="preserve">• ტიპი ჰორიზონტალური საყინულე • მოცულობა ლ/ფტ 245/8 6 • LED განათება – დიახ • მაცივარი R600a • გასაღები და დაბლოკვა – დიახ • ტემპ კონტროლი/დისპლეი – მექანიკური ...</t>
  </si>
  <si>
    <t xml:space="preserve">შეიძინეთ საყინულე FRANKO FCF-249DW (245ლ)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</si>
  <si>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კულტივატორი HECHT 752</t>
  </si>
  <si>
    <t xml:space="preserve">213060</t>
  </si>
  <si>
    <t xml:space="preserve">https://superi.ge/hecht-752/</t>
  </si>
  <si>
    <t xml:space="preserve">• ტიპი ბენზინი • სიმძლავრე 2 2 HP მახასიათებლები • ბრუნვის სიხშირე 280 ბრ/წთ • სამუშაო სიგანე 25 სმ • სამუშაო სიღრმე 15 სმ • გადასაადგილებელი ბორბლები ფიზიკური ...</t>
  </si>
  <si>
    <t xml:space="preserve">შეიძინეთ კულტივატორი HECHT 752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</si>
  <si>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გაზის გამათბობელი AKOG 100 SP (110 მ²) GRAFITE SIT</t>
  </si>
  <si>
    <t xml:space="preserve">S66706</t>
  </si>
  <si>
    <t xml:space="preserve">https://superi.ge/akog-100-sp-110-grafite-sit/</t>
  </si>
  <si>
    <t xml:space="preserve">• მონტაჟის ტიპი კედლის • რეკომინდებული ფართი 110 მ² • სიმძლავრე 8 5 kW • წვის კამერის ტიპი დახურული • ანთება პიეზო სანთებელა • მოხმარებადი აირის ტიპი ბუნებრივი ...</t>
  </si>
  <si>
    <t xml:space="preserve">შეიძინეთ გაზის გამათბობელი AKOG 100 SP (110 მ²) GRAFITE SIT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</si>
  <si>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VOX 50A11U314B</t>
  </si>
  <si>
    <t xml:space="preserve">218255</t>
  </si>
  <si>
    <t xml:space="preserve">https://superi.ge/vox-50a11u314b/</t>
  </si>
  <si>
    <t xml:space="preserve">• ტელევიზორის კლასი Direct LED • ტიპი HDR TV • ეკრანის დიაგონალი 50 127 სმ • ეკრანის გაფართოება 4K 3840 x 2160 • SMART TV კი • ოპერაციული სისტემა Android TV ვიდ...</t>
  </si>
  <si>
    <t xml:space="preserve">შეიძინეთ ტელევიზორი VOX 50A11U314B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</si>
  <si>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VOX 50ADWD1B</t>
  </si>
  <si>
    <t xml:space="preserve">189124</t>
  </si>
  <si>
    <t xml:space="preserve">https://superi.ge/vox-50adwd1b/</t>
  </si>
  <si>
    <t xml:space="preserve">• ტელევიზორის კლასი LED • ეკრანის დიაგონალი 50 127 სმ • ეკრანის გაფართოება 4K 3840 x 2160 • სერია ADWD1B • Smart TV კი • Android TV კი ვიდეო • სიხშირე 60 Hz ხმა...</t>
  </si>
  <si>
    <t xml:space="preserve">შეიძინეთ ტელევიზორი VOX 50ADWD1B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</si>
  <si>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ველოსიპედი TRINX MAJESTIC M600 ELITE</t>
  </si>
  <si>
    <t xml:space="preserve">174857</t>
  </si>
  <si>
    <t xml:space="preserve">https://superi.ge/trinx-majestic-m600-elite/</t>
  </si>
  <si>
    <t xml:space="preserve">• ტიპი მთისთვის • საბურავის დიამეტრი 27 5 • ჩარჩო TRINX 27 5” x 18” • სიჩქარეების რაოდენობა 24 • დისკის ტიპი ღეროვანი მახასიათებლები • ჯაჭვი KMC 8S • ჯაჭვის კბი...</t>
  </si>
  <si>
    <t xml:space="preserve">შეიძინეთ ველოსიპედი TRINX MAJESTIC M600 ELITE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</si>
  <si>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ნაძვის ხე - 270 სმ (2355-210)</t>
  </si>
  <si>
    <t xml:space="preserve">2355-210</t>
  </si>
  <si>
    <t xml:space="preserve">https://superi.ge/270-2355-210/</t>
  </si>
  <si>
    <t xml:space="preserve">სადა მწვანე ნაძვის ხე სილიკონის წიწვებით გამძლე დრეკადი მეტალის ტოტებით ჯანმრთელობისთვის უსაფრთხო მასალისგან დამზადებული წიწვები მეტალის მყარი სადგამით და მთავა...</t>
  </si>
  <si>
    <t xml:space="preserve">შეიძინეთ ნაძვის ხე - 270 სმ (2355-210)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</si>
  <si>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VOX WM1490-SAT2T15D</t>
  </si>
  <si>
    <t xml:space="preserve">227774</t>
  </si>
  <si>
    <t xml:space="preserve">https://superi.ge/vox-wm1490-sat2t15d/</t>
  </si>
  <si>
    <t xml:space="preserve">• ჩატვირთვის ტიპი ფრონტალური • მაქსიმალური ჩატვირთვა 9 კგ • ბრუნვის მაქსიმალური სიჩქარე 1400 ბრ/წთ • დოლურის მოცულობა 61 ლ • Ძრავის ტიპი DC • ენერგოეფექტურობის ...</t>
  </si>
  <si>
    <t xml:space="preserve">შეიძინეთ სარეცხი მანქანა VOX WM1490-SAT2T15D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</si>
  <si>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საკერავი მანქანა BROTHER ST55E</t>
  </si>
  <si>
    <t xml:space="preserve">188698</t>
  </si>
  <si>
    <t xml:space="preserve">https://superi.ge/brother-st55e/</t>
  </si>
  <si>
    <t xml:space="preserve">• ტიპი საკერავი მანქანა • მართვის ტიპი კომპიუტერიზებული • სიმძლავრე 40 W • კერვის ოპერაციების რაოდენობა 49 ფუნქციები და მახასიათებლები • მარყუჟების რაოდენობა 5 ...</t>
  </si>
  <si>
    <t xml:space="preserve">შეიძინეთ საკერავი მანქანა BROTHER ST55E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</si>
  <si>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VESTFROST TM343W</t>
  </si>
  <si>
    <t xml:space="preserve">215699</t>
  </si>
  <si>
    <t xml:space="preserve">https://superi.ge/vestfrost-tm343w/</t>
  </si>
  <si>
    <t xml:space="preserve">• ტიპი ორკამერიანი • მართვის ტიპი მექანიკური • საერთო სასარგებლო მოცულობა 310 ლ • მაცივრის კამერის სასარგებლო მოცულობა 239 ლ • საყინულე კამერის სასარგებლო მოცულ...</t>
  </si>
  <si>
    <t xml:space="preserve">შეიძინეთ მაცივარი VESTFROST TM343W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</si>
  <si>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Dixi MG 09B INVERTER (25-30მ²)</t>
  </si>
  <si>
    <t xml:space="preserve">MG09B</t>
  </si>
  <si>
    <t xml:space="preserve">https://superi.ge/dixi-mg-09b-inverter-25-30/</t>
  </si>
  <si>
    <t xml:space="preserve">მოდელი MG 09 B ტიპი ინვერტორული კედლის სპლიტ სისტემა რეკომენდებული ფართობი მონტაჟისთვის 25-35 მ² გაგრილების სიმძლავრე 2600 ვატი 940 3300 გათბობის სიმძლავრე 2630...</t>
  </si>
  <si>
    <t xml:space="preserve">შეიძინეთ კონდიციონერი Dixi MG 09B INVERTER (25-30მ²)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</si>
  <si>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HAGEN HRBF1828W NO FROST</t>
  </si>
  <si>
    <t xml:space="preserve">140161</t>
  </si>
  <si>
    <t xml:space="preserve">https://superi.ge/hagen-hrbf1828w-no-frost/</t>
  </si>
  <si>
    <t xml:space="preserve">• მოდელი: HRBF1828W • ტიპი: ორკამერიანი • მართვის ტიპი: მექანიკური • საერთო სასარგებლო მოცულობა: 286 ლ • მაცივრის კამერის სასარგებლო მოცულობა: 210 ლ • საყინულე კამერის სასარგებლო მოცულობა: 76 ლ</t>
  </si>
  <si>
    <t xml:space="preserve">შეიძინეთ მაცივარი HAGEN HRBF1828W NO FROST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</si>
  <si>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მტვერსასრუტი BOSCH BCH85N</t>
  </si>
  <si>
    <t xml:space="preserve">I73103</t>
  </si>
  <si>
    <t xml:space="preserve">https://superi.ge/bosch-bch85n/</t>
  </si>
  <si>
    <t xml:space="preserve">• ტიპი ვერტიკალური ელექტრო ცოცხი • მტვრის კონტეინერის მოცულობა 0 9 ლ • დასუფთავების ტიპი მშრალი • ხმაურის დონე 81 dB A • კვების ტიპი აკუმულატორი მახასიათებლები ...</t>
  </si>
  <si>
    <t xml:space="preserve">შეიძინეთ მტვერსასრუტი BOSCH BCH85N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</si>
  <si>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ELECTROLUX EW6S5R06W</t>
  </si>
  <si>
    <t xml:space="preserve">173032</t>
  </si>
  <si>
    <t xml:space="preserve">https://superi.ge/electrolux-ew6s5r06w/</t>
  </si>
  <si>
    <t xml:space="preserve">• ჩატვირთვის ტიპი ფრონტალური • ტევადობა 6 კგ • ბრუნვის მაქსიმალური სიჩქარე 1000 ბრ/წთ • რეცხვის კლასი A • გაწურვის კლასი C • ენერგომოხმარების კლასი A++ • წყლის ...</t>
  </si>
  <si>
    <t xml:space="preserve">შეიძინეთ სარეცხი მანქანა ELECTROLUX EW6S5R06W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</si>
  <si>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GORENJE WNHEI84AS/R (8 კგ)</t>
  </si>
  <si>
    <t xml:space="preserve">I92521</t>
  </si>
  <si>
    <t xml:space="preserve">https://superi.ge/gorenje-wnhei84as-r-8/</t>
  </si>
  <si>
    <t xml:space="preserve">• ჩატვირთვის ტიპი ფრონტალური • სარეცხის მაქსიმალური ჩატვირთვა 8 კგ • ბრუნვის მაქსიმალური სიჩქარე 1400 ბრ/წთ • ენერგოეფექტურობის კლასი A • რეცხვის კლასი A • წურვ...</t>
  </si>
  <si>
    <t xml:space="preserve">შეიძინეთ სარეცხი მანქანა GORENJE WNHEI84AS/R (8 კგ)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</si>
  <si>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SAMSUNG WW60AG4S00CELP</t>
  </si>
  <si>
    <t xml:space="preserve">145330</t>
  </si>
  <si>
    <t xml:space="preserve">https://superi.ge/samsung-ww60ag4s00celp/</t>
  </si>
  <si>
    <t xml:space="preserve">• ჩატვირთვის ტიპი ფრონტალური • ძრავის ტიპი ინვერტორული • სარეცხის მაქსიმალური ჩატვირთვა 6 კგ • ბრუნვის მაქსიმალური სიჩქარე 1000 ბრ/წთ • წყლის მოხმარება ერთ ციკლ...</t>
  </si>
  <si>
    <t xml:space="preserve">შეიძინეთ სარეცხი მანქანა SAMSUNG WW60AG4S00CELP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</si>
  <si>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VOX WM1280-SAT2T15D</t>
  </si>
  <si>
    <t xml:space="preserve">230066</t>
  </si>
  <si>
    <t xml:space="preserve">https://superi.ge/vox-wm1280-sat2t15d/</t>
  </si>
  <si>
    <t xml:space="preserve">• ჩატვირთვის ტიპი ფრონტალური • მაქსიმალური ჩატვირთვა 8 კგ • ბრუნვის მაქსიმალური სიჩქარე 1200 ბრ/წთ • დოლურის მოცულობა 55 ლ • ენერგოეფექტურობის კლასი D • ელექტრო...</t>
  </si>
  <si>
    <t xml:space="preserve">შეიძინეთ სარეცხი მანქანა VOX WM1280-SAT2T15D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</si>
  <si>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SAMSUNG UE43T5300AUXCE</t>
  </si>
  <si>
    <t xml:space="preserve">I87608</t>
  </si>
  <si>
    <t xml:space="preserve">https://superi.ge/samsung-ue43t5300auxce/</t>
  </si>
  <si>
    <t xml:space="preserve">• ტელევიზორის კლასი LED • ეკრანის დიაგონალი 43 109 სმ • ეკრანის გაფართოება FULL HD 1920 x 1080 • სერია 5 • Smart ტექნოლოგია კი • ოპერაციული სისტემა Tizen™ ვიდეო...</t>
  </si>
  <si>
    <t xml:space="preserve">შეიძინეთ ტელევიზორი SAMSUNG UE43T5300AUXCE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</si>
  <si>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ჩასაშენებელი ელექტრო ღუმელი MIDEA MO69110GB</t>
  </si>
  <si>
    <t xml:space="preserve">S79841</t>
  </si>
  <si>
    <t xml:space="preserve">https://superi.ge/midea-mo69110gb/</t>
  </si>
  <si>
    <t xml:space="preserve">მახასიათებლები • პროდუქტის ტიპი ჩასაშენებელი ელექტრო ღუმელი • მოცულობა 70 ლ • ენერგოეფექტურობის კლასი A • სიმძლავრე 3000 W • ფიქსირებული ქრომირებული თარო 5 დონი...</t>
  </si>
  <si>
    <t xml:space="preserve">შეიძინეთ ჩასაშენებელი ელექტრო ღუმელი MIDEA MO69110GB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</si>
  <si>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ჭურჭლის სარეცხი მანქანა GORENJE GS541D10W</t>
  </si>
  <si>
    <t xml:space="preserve">S43476</t>
  </si>
  <si>
    <t xml:space="preserve">https://superi.ge/gorenje-gs541d10w/</t>
  </si>
  <si>
    <t xml:space="preserve">• ტიპი ცალკე მდგომი • ენერგომოხმარების კლასი A++ • მართვის ტიპი მექანიკური • ტევადობა 11 კომპლექტი • წყლის მოხმარება 9 5 ლ • წყლის ტემპერატურა 60°C • ელექტროენე...</t>
  </si>
  <si>
    <t xml:space="preserve">შეიძინეთ ჭურჭლის სარეცხი მანქანა GORENJE GS541D10W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</si>
  <si>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სათამაშო LEGO City - ROCKET LAUNCH CENTER</t>
  </si>
  <si>
    <t xml:space="preserve">222784</t>
  </si>
  <si>
    <t xml:space="preserve">საბავშვო პროდუქცია &gt; სათამაშოები</t>
  </si>
  <si>
    <t xml:space="preserve">https://superi.ge/lego-city-rocket-launch-center/</t>
  </si>
  <si>
    <t xml:space="preserve">• ბრენდი LEGO • ასაკი 7+• ფიგურების რაოდენობა 1010 • ხელს უწყობს აზროვნების განვითარებას • მარტივად დაშლადი-ასაწყობი ფიგურები ფიზიკური პარამეტრები • მასალა პლას...</t>
  </si>
  <si>
    <t xml:space="preserve">შეიძინეთ სათამაშო LEGO City - ROCKET LAUNCH CENTER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</si>
  <si>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COOPER &amp; HUNTER CH-S09 XZ3 UNIVERSAL PRO</t>
  </si>
  <si>
    <t xml:space="preserve">216056</t>
  </si>
  <si>
    <t xml:space="preserve">https://superi.ge/cooper-and-hunter-ch-s09-xz3-universal-pro/</t>
  </si>
  <si>
    <t xml:space="preserve">• ტიპი კედლის სპლიტ სისტემა • რეკომენდირებული ფართი 20 მ² -მდე • გაგრილების სიმძლავრე 2 55 KW • გათბობის სიმძლავრე 2 65 KW • ენერგიის მოხმარება გათბობა / გაგრილ...</t>
  </si>
  <si>
    <t xml:space="preserve">შეიძინეთ კონდიციონერი COOPER &amp; HUNTER CH-S09 XZ3 UNIVERSAL PRO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</si>
  <si>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VESTEL RS455TF3M-W</t>
  </si>
  <si>
    <t xml:space="preserve">188952</t>
  </si>
  <si>
    <t xml:space="preserve">https://superi.ge/vestel-rs455tf3m-w/</t>
  </si>
  <si>
    <t xml:space="preserve">• ტიპი ორკამერიანი მაცივარი/საყინულე • მართვის ტიპი მექანიკური • გაყინვის ტიპი ნახევრად მშრალი • საერთო სასარგებლო მოცულობა 313 ლ • სამაცივრე 243 ლ • საყინულე 7...</t>
  </si>
  <si>
    <t xml:space="preserve">შეიძინეთ მაცივარი VESTEL RS455TF3M-W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</si>
  <si>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ჭურჭლის სარეცხი მანქანა BEKO DVN05320W</t>
  </si>
  <si>
    <t xml:space="preserve">S37343</t>
  </si>
  <si>
    <t xml:space="preserve">https://superi.ge/beko-dvn05320w/</t>
  </si>
  <si>
    <t xml:space="preserve">• ტიპი ცალკე მდგომი • მართვის ტიპი მექანიკური • ტევადობა 13 კომპლექტი • წლიური ენერგომოხმარება 262 kW • წყლის მოხმარება 12 9 ლ • ხმაურის დონე 49 dBA • ენერგოეფე...</t>
  </si>
  <si>
    <t xml:space="preserve">შეიძინეთ ჭურჭლის სარეცხი მანქანა BEKO DVN05320W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</si>
  <si>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საკერავი მანქანა JANOME CLIO 325</t>
  </si>
  <si>
    <t xml:space="preserve">S15422</t>
  </si>
  <si>
    <t xml:space="preserve">https://superi.ge/janome-clio-325/</t>
  </si>
  <si>
    <t xml:space="preserve">• ტიპი ელექტრომექანიკური • ჰორიზონტალური მაქო • კერვის ოპერაციების რაოდენობა 25 • სილძლავრე 55 W ფუნქციები და მახასიათებლები • მარყუჟის გაკეთება ავტომატური • LE...</t>
  </si>
  <si>
    <t xml:space="preserve">შეიძინეთ საკერავი მანქანა JANOME CLIO 325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</si>
  <si>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ჩასაშენებელი ღუმელი MIDEA MO78101CGW</t>
  </si>
  <si>
    <t xml:space="preserve">S70045</t>
  </si>
  <si>
    <t xml:space="preserve">https://superi.ge/midea-mo78101cgw/</t>
  </si>
  <si>
    <t xml:space="preserve">მახასიათებლები • ტიპი ჩასაშენებელი • მართვის ტიპი ციფრული / ღილაკები • სიმძლავრე 3000W • მოცულობა 70 ლ • მომზადების მაქსიმალური ტემპერატურა 250°C • ენერგომოხმარ...</t>
  </si>
  <si>
    <t xml:space="preserve">შეიძინეთ ჩასაშენებელი ღუმელი MIDEA MO78101CGW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</si>
  <si>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ჩასაშენებელი ღუმელი VESTEL BO-8786B</t>
  </si>
  <si>
    <t xml:space="preserve">191865</t>
  </si>
  <si>
    <t xml:space="preserve">https://superi.ge/vestel-bo-8786b/</t>
  </si>
  <si>
    <t xml:space="preserve">• მოცულობა 75 ლ • მართვის ტიპი სენსორული • ენერგოეფექტურობის კლასი A • ციფრული LED ეკრანი ფუნქციები და თავისებურებები • პროგრამების რაოდენობა 8 • ღუმელის ტიპი ე...</t>
  </si>
  <si>
    <t xml:space="preserve">შეიძინეთ ჩასაშენებელი ღუმელი VESTEL BO-8786B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</si>
  <si>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საკერავი მანქანა JANOME HD6130</t>
  </si>
  <si>
    <t xml:space="preserve">211036</t>
  </si>
  <si>
    <t xml:space="preserve">https://superi.ge/janome-hd6130/</t>
  </si>
  <si>
    <t xml:space="preserve">• ტიპი ელექტრომექანიკური • შატლი ჰორიზონტალური • მარყუჟი პროგრამირებადი • კერვის ოპერაციების რაოდენობა 30 • განათება კი ფუნქციები და მახასიათებლები • ნაკერების ...</t>
  </si>
  <si>
    <t xml:space="preserve">შეიძინეთ საკერავი მანქანა JANOME HD6130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</si>
  <si>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გეიმერული სავარძელლი HyperX 367522 RUBY</t>
  </si>
  <si>
    <t xml:space="preserve">367522</t>
  </si>
  <si>
    <t xml:space="preserve">ტექნიკა &gt; ნოუთბუქები, კომპიუტერები, მონიტორები &gt; GAMING მაგიდა-სავარძლები</t>
  </si>
  <si>
    <t xml:space="preserve">https://superi.ge/hyperx-367522-ruby/</t>
  </si>
  <si>
    <t xml:space="preserve">• ბრენდი HyperX • მოდელი 367522 • პროდუქტის ტიპი Gaming სავარძელი რეგულირება • სიმაღლის მიხედვით • ზურგის დახრილობის კუთხით • მასალა ეკო ტყავი • გვერდითი საყრდე...</t>
  </si>
  <si>
    <t xml:space="preserve">შეიძინეთ გეიმერული სავარძელლი HyperX 367522 RUBY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</si>
  <si>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ველოსიპედი TRINX M500 PRO 17 2020</t>
  </si>
  <si>
    <t xml:space="preserve">179491</t>
  </si>
  <si>
    <t xml:space="preserve">https://superi.ge/trinx-m500-pro-17-2020/</t>
  </si>
  <si>
    <t xml:space="preserve">• საბურავის დიამეტრი 29 • ჩარჩო TRINX 29” x 17” • სიჩქარეების რაოდენობა 24 • დისკის ტიპი ღეროვანი მახასიათებლები • ჯაჭვი KMC 8S • ჯაჭვის კბილანა PROWHEEL 34T*17...</t>
  </si>
  <si>
    <t xml:space="preserve">შეიძინეთ ველოსიპედი TRINX M500 PRO 17 2020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</si>
  <si>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HAIER TIBIO INVERTER 9000 (25-30 მ²)</t>
  </si>
  <si>
    <t xml:space="preserve">HSU-09HT103/R2(IN)(OUT)</t>
  </si>
  <si>
    <t xml:space="preserve">https://superi.ge/haier-tibio-inverter-9000-25-30/</t>
  </si>
  <si>
    <t xml:space="preserve">• ტიპი კედლის სპლიტ სისტემა • ძირითადი რეჟიმები გაგრილება გათბობა • რეკომენდირებული ფართი 25-30 მ² -მდე • სიმძლავრე გაგრილების რეჟიმში 9000 BTU/სთ • სიმძლავრე გ...</t>
  </si>
  <si>
    <t xml:space="preserve">შეიძინეთ კონდიციონერი HAIER TIBIO INVERTER 9000 (25-30 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</si>
  <si>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საკერავი მანქანა BROTHER ELITE 45</t>
  </si>
  <si>
    <t xml:space="preserve">S87074</t>
  </si>
  <si>
    <t xml:space="preserve">https://superi.ge/brother-elite-45/</t>
  </si>
  <si>
    <t xml:space="preserve">• ტიპი ელექტრომექანიკური • ჰორიზონტალური მაქო • სიმძლავრე 51 W • კერვის ოპერაციების რაოდენობა 27 ფუნქციები და მახასიათებლები • ძაფის დაჭიმვის რეგულირება • კოჭის...</t>
  </si>
  <si>
    <t xml:space="preserve">შეიძინეთ საკერავი მანქანა BROTHER ELITE 45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</si>
  <si>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გამწოვი BOSCH DWK66PJ20T</t>
  </si>
  <si>
    <t xml:space="preserve">I95791</t>
  </si>
  <si>
    <t xml:space="preserve">https://superi.ge/bosch-dwk66pj20t/</t>
  </si>
  <si>
    <t xml:space="preserve">• გამწოვის ტიპი გუმბათოვანი • მონტაჟი კედელზე დასაკიდი • წარმადობა 700მ³/სთ • სიჩქარეების რაოდენობა 3 • ხმაურის დონე 59 dB • ენერგოეფექტურობის კლასი A მახასიათე...</t>
  </si>
  <si>
    <t xml:space="preserve">შეიძინეთ გამწოვი BOSCH DWK66PJ20T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</si>
  <si>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VOX WM1495-T14QD</t>
  </si>
  <si>
    <t xml:space="preserve">227790</t>
  </si>
  <si>
    <t xml:space="preserve">https://superi.ge/vox-wm1495-t14qd/</t>
  </si>
  <si>
    <t xml:space="preserve">• ჩატვირთვის ტიპი ფრონტალური • მაქსიმალური ჩატვირთვა 9 კგ • ბრუნვის მაქსიმალური სიჩქარე 1400 ბრ/წთ • დოლურის მოცულობა 59 ლ • ენერგოეფექტურობის კლასი D • მართვის...</t>
  </si>
  <si>
    <t xml:space="preserve">შეიძინეთ სარეცხი მანქანა VOX WM1495-T14QD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</si>
  <si>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GRUNDIG 43 GFU 7800B</t>
  </si>
  <si>
    <t xml:space="preserve">SA0000007709</t>
  </si>
  <si>
    <t xml:space="preserve">https://superi.ge/grundig-43-gfu-7800b/</t>
  </si>
  <si>
    <t xml:space="preserve">• ტელევიზორის კლასი LED • ეკრანის დიაგონალი 43 108 სმ • ეკრანის გაფართოება UHD 3840 x 2160 • Smart ტექნოლოგია კი • ოპერაციული სისტემა Android TV ვიდეო • ეკრანის...</t>
  </si>
  <si>
    <t xml:space="preserve">შეიძინეთ ტელევიზორი GRUNDIG 43 GFU 7800B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</si>
  <si>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ბლენდერი BOSCH MMBH6P6B</t>
  </si>
  <si>
    <t xml:space="preserve">I72938</t>
  </si>
  <si>
    <t xml:space="preserve">https://superi.ge/bosch-mmbh6p6b/</t>
  </si>
  <si>
    <t xml:space="preserve">• ტიპი სტაციონალური • სიმძლავრე 1600 W • ჯამის მოცულობა 2 ლ • ბრუნვის სიჩქარე 45 000 ბრ/წთ • კვების ტიპი ქსელის • ხმაურის დონე 89 dB A ფუნქციები და მახასიათებლე...</t>
  </si>
  <si>
    <t xml:space="preserve">შეიძინეთ ბლენდერი BOSCH MMBH6P6B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</si>
  <si>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ჭურჭლის სარეცხი მანქანა VESTEL DWA1B3BOW</t>
  </si>
  <si>
    <t xml:space="preserve">207923</t>
  </si>
  <si>
    <t xml:space="preserve">https://superi.ge/vestel-dwa1b3bow/</t>
  </si>
  <si>
    <t xml:space="preserve">• ტევადობა 12 კომპლექტი • წლიური წყლის მოხმარება ლ/წელი 3360 • წლიური ენერგომოხმარება kWh/წელი 258 • წყლის მოხმარება თითო ციკლზე 12 ლ • ენერგომოხმარების კლასი A...</t>
  </si>
  <si>
    <t xml:space="preserve">შეიძინეთ ჭურჭლის სარეცხი მანქანა VESTEL DWA1B3BOW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</si>
  <si>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2E-55A06L (140 სმ)</t>
  </si>
  <si>
    <t xml:space="preserve">2E-55A06L</t>
  </si>
  <si>
    <t xml:space="preserve">https://superi.ge/2e-55a06l-140/</t>
  </si>
  <si>
    <t xml:space="preserve">• ტელევიზორის კლასი: LED • ეკრანის დიაგონალი: 55" (140 სმ) • ეკრანის გაფართოება: 4K UHD (3840 x 2160) • ენერგოეფექტურობის კლასი A+ • ენერგიის მოხმარება: 135 V • Smart ტექნოლოგია: კი • ოპერაციული სისტემა: Android 11.0</t>
  </si>
  <si>
    <t xml:space="preserve">შეიძინეთ ტელევიზორი 2E-55A06L (140 სმ)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</si>
  <si>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ბაღის ავეჯის კომპლექტი 106.6x74 სმ 4 სკამი 73.5x59.8x108 სმ JM-PS-T720</t>
  </si>
  <si>
    <t xml:space="preserve">17051614</t>
  </si>
  <si>
    <t xml:space="preserve">https://superi.ge/106-6x74-4-73-5x59-8x108-jm-ps-t720/</t>
  </si>
  <si>
    <t xml:space="preserve">ბაღის ავეჯის კომპლექტი 106 6x74 სმ 4 სკამი 73 5x59 8x108 სმ JM-PS-T720ბაღის ავეჯი იდეალურია აგარაკისთვის ტერასისთვის კაფესთვის სამზარეულოსთვის ან სახლისთვის ელე...</t>
  </si>
  <si>
    <t xml:space="preserve">შეიძინეთ ბაღის ავეჯის კომპლექტი 106.6x74 სმ 4 სკამი 73.5x59.8x108 სმ JM-PS-T720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</si>
  <si>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ALNEO 12CHSA/XAC1 (35-40მ²)</t>
  </si>
  <si>
    <t xml:space="preserve">01405</t>
  </si>
  <si>
    <t xml:space="preserve">https://superi.ge/alneo-12chsa-xac1-35-40/</t>
  </si>
  <si>
    <t xml:space="preserve">ტიპი კედლის სპლიტ-სისტემა ON/OFF სიმძლავრე 12000 BTU რეკომენდებული ფართი 35-40 მ²-მდე გამაგრილებლის ტიპი ფრეონი R410A დისფლეი კი დაფარული გაგრილების რეჟიმი კი კ...</t>
  </si>
  <si>
    <t xml:space="preserve">შეიძინეთ კონდიციონერი ALNEO 12CHSA/XAC1 (35-40მ²)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</si>
  <si>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MIDEA MPPD-09CRN7</t>
  </si>
  <si>
    <t xml:space="preserve">S34565</t>
  </si>
  <si>
    <t xml:space="preserve">https://superi.ge/midea-mppd-09crn7/</t>
  </si>
  <si>
    <t xml:space="preserve">• ტიპი პორტატული • ძირითადი რეჟიმები გაგრილება/გათბობა • სიმძლავრე 9000 BTU • მოხმარებადი სიმძლავრე გაგრილებისას 975 W • ენერგოეფექტურობის კლასი A • კომპრესორი ...</t>
  </si>
  <si>
    <t xml:space="preserve">შეიძინეთ კონდიციონერი MIDEA MPPD-09CRN7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</si>
  <si>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MIDEA MSAF-09HRN8-W</t>
  </si>
  <si>
    <t xml:space="preserve">S33961</t>
  </si>
  <si>
    <t xml:space="preserve">https://superi.ge/midea-msaf-09hrn8-w/</t>
  </si>
  <si>
    <t xml:space="preserve">• ტიპი კედლის სპლიტ-სისტემა • რეჟიმი გაგრილება/გათბობა • რეკომენდირებული ფართი 25-30 მ² მდე • ენერგომოხმარების კლასი A • ფრეონის ტიპი R410A • მოხმარებადი სიმძლა...</t>
  </si>
  <si>
    <t xml:space="preserve">შეიძინეთ კონდიციონერი MIDEA MSAF-09HRN8-W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</si>
  <si>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VOX KG 3330 F</t>
  </si>
  <si>
    <t xml:space="preserve">226459</t>
  </si>
  <si>
    <t xml:space="preserve">https://superi.ge/vox-kg-3330-f/</t>
  </si>
  <si>
    <t xml:space="preserve">• ტიპი ორკამერიანი • საერთო სასარგებლო მოცულობა 312 ლ • მაცივრის კამერის სასარგებლო მოცულობა 242 ლ • საყინულე კამერის სასარგებლო მოცულობა 70 ლ • წლიური ენერგიის...</t>
  </si>
  <si>
    <t xml:space="preserve">შეიძინეთ მაცივარი VOX KG 3330 F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</si>
  <si>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VOX KK 3600 F</t>
  </si>
  <si>
    <t xml:space="preserve">WE0000003520</t>
  </si>
  <si>
    <t xml:space="preserve">https://superi.ge/vox-kk-3600-f/</t>
  </si>
  <si>
    <t xml:space="preserve">• ტიპი ორკამერიანი • საერთო სასარგებლო მოცულობა 341 ლ • მაცივრის კამერის სასარგებლო მოცულობა 234 ლ • საყინულე კამერის სასარგებლო მოცულობა 107 ლ • საყინულე კამერ...</t>
  </si>
  <si>
    <t xml:space="preserve">შეიძინეთ მაცივარი VOX KK 3600 F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</si>
  <si>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SAMSUNG WW70T3020BW/LP</t>
  </si>
  <si>
    <t xml:space="preserve">117727</t>
  </si>
  <si>
    <t xml:space="preserve">https://superi.ge/samsung-ww70t3020bw-lp/</t>
  </si>
  <si>
    <t xml:space="preserve">• ჩატვირთვის ტიპი ფრონტალური • სარეცხის მაქსიმალური ჩატვირთვა 7 კგ • ბრუნვის მაქსიმალური სიჩქარე 1200 ბრ/წთ • ენერგომოხმარების კლასი A+++ • რეცხვის კლასი A • წყ...</t>
  </si>
  <si>
    <t xml:space="preserve">შეიძინეთ სარეცხი მანქანა SAMSUNG WW70T3020BW/LP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</si>
  <si>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DAEWOO 50DM72UA (127სმ)</t>
  </si>
  <si>
    <t xml:space="preserve">I93265</t>
  </si>
  <si>
    <t xml:space="preserve">https://superi.ge/daewoo-50dm72ua-127/</t>
  </si>
  <si>
    <t xml:space="preserve">• ტელევიზორის კლასი DLED • ტიპი HDR TV • ეკრანის დიაგონალი 50 127სმ • ეკრანის გაფართოება 4K UHD 3840 x 2160 • Smart ტექნოლოგია კი ხმა • ხმის გამომავალი სიმძლავრ...</t>
  </si>
  <si>
    <t xml:space="preserve">შეიძინეთ ტელევიზორი DAEWOO 50DM72UA (127სმ)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</si>
  <si>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SAMSUNG UE32T5300AUXUA</t>
  </si>
  <si>
    <t xml:space="preserve">145321</t>
  </si>
  <si>
    <t xml:space="preserve">https://superi.ge/samsung-ue32t5300auxua/</t>
  </si>
  <si>
    <t xml:space="preserve">• ტელევიზორის კლასი LED • ეკრანის დიაგონალი 32 81 სმ • ეკრანის გაფართოება FHD 1920 x 1080 • ტექნოლოგია Picture Engine Crystal 4K Processor • ულტრა შავი ტექნოლოგ...</t>
  </si>
  <si>
    <t xml:space="preserve">შეიძინეთ ტელევიზორი SAMSUNG UE32T5300AUXUA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</si>
  <si>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ქურის ზედაპირი ELECTROLUX EGE6182NOK</t>
  </si>
  <si>
    <t xml:space="preserve">90588</t>
  </si>
  <si>
    <t xml:space="preserve">https://superi.ge/electrolux-ege6182nok/</t>
  </si>
  <si>
    <t xml:space="preserve">• ზედაპირის ტიპი კომბინირებული • კონფორების რაოდენობა 3 გაზის + 1 ელექტრო • სიმძლავრე 7400 W მახასიათებლები • მართვის ტიპი მექანიკური • ავტომატური ანთება • გაზკ...</t>
  </si>
  <si>
    <t xml:space="preserve">შეიძინეთ ქურის ზედაპირი ELECTROLUX EGE6182NOK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</si>
  <si>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ჩასაშენებელი ღუმელი BEKO OIM 27201 A</t>
  </si>
  <si>
    <t xml:space="preserve">128926</t>
  </si>
  <si>
    <t xml:space="preserve">https://superi.ge/beko-oim-27201-a/</t>
  </si>
  <si>
    <t xml:space="preserve">• ღუმელის მოცულობა 65ლ • ენერგომოხმარების კლასი A მომზადების რეჟიმები • რეჟიმების რაოდენობა 8 • კონვექცია • ზედა და ქვედა წვა • ზედა და ქვედა წვა ვენტილატორით •...</t>
  </si>
  <si>
    <t xml:space="preserve">შეიძინეთ ჩასაშენებელი ღუმელი BEKO OIM 27201 A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</si>
  <si>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ჩასაშენებელი ღუმელი BOSCH HBF011BR0Q</t>
  </si>
  <si>
    <t xml:space="preserve">I77953</t>
  </si>
  <si>
    <t xml:space="preserve">https://superi.ge/bosch-hbf011br0q/</t>
  </si>
  <si>
    <t xml:space="preserve">• ტიპი ჩასაშენებელი • ღუმელის ტიპი ელექტრო • მოცულობა 66 ლ • მართვის ტიპი მექანიკური • ენერგომოხმარების კლასი A+++ • ენერგიის მოხმარება ციკლზე ნორმალურ რეჟიმში ...</t>
  </si>
  <si>
    <t xml:space="preserve">შეიძინეთ ჩასაშენებელი ღუმელი BOSCH HBF011BR0Q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</si>
  <si>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ჩასაშენებელი ღუმელი BOSCH HBF011BV0Q</t>
  </si>
  <si>
    <t xml:space="preserve">I87671</t>
  </si>
  <si>
    <t xml:space="preserve">https://superi.ge/bosch-hbf011bv0q/</t>
  </si>
  <si>
    <t xml:space="preserve">• ტიპი ჩასაშენებელი • ღუმელის საერთო სასარგებლო მოცულობა 66 ლ • პროგრამების რაოდენობა 5 • ენერგოეფექტურობის კლასი A • მასიმალური ტემპერატურა 50-275 °C • სიმძლავ...</t>
  </si>
  <si>
    <t xml:space="preserve">შეიძინეთ ჩასაშენებელი ღუმელი BOSCH HBF011BV0Q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</si>
  <si>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ჩასაშენებელი ღუმელი GRAETZ BO6504S01</t>
  </si>
  <si>
    <t xml:space="preserve">S47671</t>
  </si>
  <si>
    <t xml:space="preserve">https://superi.ge/graetz-bo6504s01/</t>
  </si>
  <si>
    <t xml:space="preserve">• ღუმელის ტიპი ელექტრო • მწარმოებელი ქვეყანა თურქეთი • მართვის ტიპი სენსორული / მბრუნავი რეგულატორი • მოცულობა 72 ლ • თვითწმენდა კატალიტიკური • ენერგომოხმარების...</t>
  </si>
  <si>
    <t xml:space="preserve">შეიძინეთ ჩასაშენებელი ღუმელი GRAETZ BO6504S01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</si>
  <si>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BEKO WSRE7512PRW</t>
  </si>
  <si>
    <t xml:space="preserve">S94086</t>
  </si>
  <si>
    <t xml:space="preserve">https://superi.ge/beko-wsre7512prw/</t>
  </si>
  <si>
    <t xml:space="preserve">• ჩატვირთვის ტიპი ფრონტალური • ძაბვა 230 ვ • მაქსიმალური ჩატვირთვა 7 კგ • სიხშირე 50 Hz • ბრუნვის მაქსიმალური სიჩქარე 1000 ბრ/წთ • მართვის ტიპი ელექტრონული/მექა...</t>
  </si>
  <si>
    <t xml:space="preserve">შეიძინეთ სარეცხი მანქანა BEKO WSRE7512PRW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</si>
  <si>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საკერავი მანქანა JANOME CLIO 320</t>
  </si>
  <si>
    <t xml:space="preserve">S33534</t>
  </si>
  <si>
    <t xml:space="preserve">https://superi.ge/janome-clio-320/</t>
  </si>
  <si>
    <t xml:space="preserve">• ტიპი ელექტრომექანიკური • ჰორიზონტალური მაქო • კერვის ოპერაციების რაოდენობა 21 • სილძლავრე 55W ფუნქციები და მახასიათებლები • მარყუჟის გაკეთება ნახევრადავტომატუ...</t>
  </si>
  <si>
    <t xml:space="preserve">შეიძინეთ საკერავი მანქანა JANOME CLIO 320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</si>
  <si>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MAYER ESAF-12MN1 (35-40მ²)</t>
  </si>
  <si>
    <t xml:space="preserve">I63531</t>
  </si>
  <si>
    <t xml:space="preserve">https://superi.ge/mayer-esaf-12mn1-35-40/</t>
  </si>
  <si>
    <t xml:space="preserve">• ტიპი კედლის სპლიტ სისტემა • რეკომენდირებული ფართი 35-40 მ² -მდე • სიმძლავრე გაგრილების რეჟიმში 12000BTU/სთ • სიმძლავრე გათბობის რეჟიმში 13000BTU/სთ • სიმძლავრ...</t>
  </si>
  <si>
    <t xml:space="preserve">შეიძინეთ კონდიციონერი MAYER ESAF-12MN1 (35-40მ²)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</si>
  <si>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საყინულე Chigo CFD285 (230ლ)</t>
  </si>
  <si>
    <t xml:space="preserve">CFD285</t>
  </si>
  <si>
    <t xml:space="preserve">https://superi.ge/chigo-cfd285-230/</t>
  </si>
  <si>
    <t xml:space="preserve">ზოგადი ინფორმაცია • ბრენდი CHIGO • მოდელი CFD285 • ტიპი საყინულე • კატეგორია საყინულე ძირითადი მახასიათებლები • მოცულობა 230 ლ • სისტემა ნახევრად მშრალი ფუნქციე...</t>
  </si>
  <si>
    <t xml:space="preserve">შეიძინეთ საყინულე Chigo CFD285 (230ლ)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</si>
  <si>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BEKO RDSA240K30WN</t>
  </si>
  <si>
    <t xml:space="preserve">CT0000008356</t>
  </si>
  <si>
    <t xml:space="preserve">https://superi.ge/beko-rdsa240k30wn/</t>
  </si>
  <si>
    <t xml:space="preserve">• ტიპი ორკამერიანი • მართვის ტიპი მექანიკური • საერთო მოცულობა 223 ლ • მაცივრის კამერის მოცულობა 177 ლ • საყინულე კამერის მოცულობა 46 ლ • გაგრილების სისტემა ნახ...</t>
  </si>
  <si>
    <t xml:space="preserve">შეიძინეთ მაცივარი BEKO RDSA240K30WN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</si>
  <si>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INDESIT BWSE 81293X WSV RU</t>
  </si>
  <si>
    <t xml:space="preserve">225274</t>
  </si>
  <si>
    <t xml:space="preserve">https://superi.ge/indesit-bwse-81293x-wsv-ru/</t>
  </si>
  <si>
    <t xml:space="preserve">• ტიპი ცალკე მდგომი • ბრენდი INDESIT • ჩატვირთვის ტიპი ფრონტალური • ბრუნვის მაქსიმალური სიჩქარე 1200 ბრ/წთ • რეცხვის კლასი A • გაწურვის კლასი B • მართვის ტიპი ე...</t>
  </si>
  <si>
    <t xml:space="preserve">შეიძინეთ სარეცხი მანქანა INDESIT BWSE 81293X WSV RU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</si>
  <si>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საყინულე ARDESTO FRM-250ECM (249ლ)</t>
  </si>
  <si>
    <t xml:space="preserve">FRM-250ECM</t>
  </si>
  <si>
    <t xml:space="preserve">https://superi.ge/ardesto-frm-250ecm-249/</t>
  </si>
  <si>
    <t xml:space="preserve">• ბრენდი Ardesto • მოდელი FRM-250ECM • პროდუქტის ტიპი საყინულე • მოცულობა 249 ლ • ენერგოეფექტურობის კლასი A++ • ელექტროენერგიის მოხმარება კვტ/სთ/წლიურად 216 • კ...</t>
  </si>
  <si>
    <t xml:space="preserve">შეიძინეთ საყინულე ARDESTO FRM-250ECM (249ლ)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</si>
  <si>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TCL TAC-09CHSA/TPG11I (25-30 მ²)</t>
  </si>
  <si>
    <t xml:space="preserve">136634</t>
  </si>
  <si>
    <t xml:space="preserve">https://superi.ge/tcl-tac-09chsa-tpg11i-25-30/</t>
  </si>
  <si>
    <t xml:space="preserve">• ტიპი კედლის სპლიტ-სისტემა • რეჟიმი გაგრილება / გათბობა / ცირკულაცია • ძრავის ტიპი ინვერტორული • რეკომენდირებული ფართი 25-30 მ² -მდე • გაგრილების სიმძლავრე 900...</t>
  </si>
  <si>
    <t xml:space="preserve">შეიძინეთ კონდიციონერი TCL TAC-09CHSA/TPG11I (25-30 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</si>
  <si>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VOX SFE09-AA SET</t>
  </si>
  <si>
    <t xml:space="preserve">230049</t>
  </si>
  <si>
    <t xml:space="preserve">https://superi.ge/vox-sfe09-aa-set/</t>
  </si>
  <si>
    <t xml:space="preserve">• ტიპი კედლის სპლიტ სისტემა • ძირითადი რეჟიმები გაგრილება გათბობა • რეკომენდირებული ფართი 25 მ² -მდე • ნომინალური სიმძლავრე 9000 BTU • გაგრილების სიმძლავრე 790 ...</t>
  </si>
  <si>
    <t xml:space="preserve">შეიძინეთ კონდიციონერი VOX SFE09-AA SET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</si>
  <si>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ARDESTO SWMG-7121W</t>
  </si>
  <si>
    <t xml:space="preserve">206763</t>
  </si>
  <si>
    <t xml:space="preserve">https://superi.ge/ardesto-swmg-7121w/</t>
  </si>
  <si>
    <t xml:space="preserve">• ჩატვირთვის ტიპი ფრონტალური • ტევადობა 7 კგ • ბრუნვის მაქსიმალური სიჩქარე 1200 ბრ/წთ • ძრავის ტიპი ღვედიანი • მართვის ტიპი ელექტრონული • ენერგო ეფექტურობის კლა...</t>
  </si>
  <si>
    <t xml:space="preserve">შეიძინეთ სარეცხი მანქანა ARDESTO SWMG-7121W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</si>
  <si>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PHILIPS 32PFS6805/12</t>
  </si>
  <si>
    <t xml:space="preserve">210924</t>
  </si>
  <si>
    <t xml:space="preserve">https://superi.ge/philips-32pfs6805-12/</t>
  </si>
  <si>
    <t xml:space="preserve">• ტელევიზორის კლასი LED • ეკრანის დიაგონალი 32 81 სმ • ეკრანის გაფართოება FHD 1920 x 1080 • SMART ტექნოლოგია კი • ფორმატი 16 9 • HDR10 • HLG Hybrid Log Gamma ხმ...</t>
  </si>
  <si>
    <t xml:space="preserve">შეიძინეთ ტელევიზორი PHILIPS 32PFS6805/12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</si>
  <si>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გაზქურა BEKO FSE 62110 DW SUPERIA</t>
  </si>
  <si>
    <t xml:space="preserve">CT0000004855</t>
  </si>
  <si>
    <t xml:space="preserve">https://superi.ge/beko-fse-62110-dw-superia/</t>
  </si>
  <si>
    <t xml:space="preserve">• ტიპი კომბინირებული • მართვის ტიპი მექანიკური • კონფორები 4 გაზის • გაზკონტროლი • სიმძლავრე 2400 W ღუმელი • ტიპი ელექტრო • მართვის ტიპი მექანიკური • შიდა განათ...</t>
  </si>
  <si>
    <t xml:space="preserve">შეიძინეთ გაზქურა BEKO FSE 62110 DW SUPERIA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</si>
  <si>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HOFFMANN EOAC-12K (35-40 მ²)</t>
  </si>
  <si>
    <t xml:space="preserve"> TM-MT-BMT-1198-AC-1258</t>
  </si>
  <si>
    <t xml:space="preserve">https://superi.ge/hoffmann-eoac-12k-35-40/</t>
  </si>
  <si>
    <t xml:space="preserve">• მწარმოებელი HOFFMANN • ტიპი კედლის სპლიტ-სისტემა • ელექტროენერგიის მოხმარების კლასი A • ძრავის ტიპი ON/OFF • რეკომენდირებული ფართი 35 -40მ²-მდე • ფრეონის ტიპი...</t>
  </si>
  <si>
    <t xml:space="preserve">შეიძინეთ კონდიციონერი HOFFMANN EOAC-12K (35-40 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</si>
  <si>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VOX VSA7-9BE SET</t>
  </si>
  <si>
    <t xml:space="preserve">180066</t>
  </si>
  <si>
    <t xml:space="preserve">https://superi.ge/vox-vsa7-9be-set/</t>
  </si>
  <si>
    <t xml:space="preserve">• ტიპი კედლის სპლიტ სისტემა • ძირითადი რეჟიმები გაგრილება გათბობა • რეკომენდირებული ფართი 25 მ² -მდე • გაგრილების სიმძლავრე 790 W • გათბობის სიმძლავრე 750 W • ე...</t>
  </si>
  <si>
    <t xml:space="preserve">შეიძინეთ კონდიციონერი VOX VSA7-9BE SET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</si>
  <si>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SKYTECH STV50N9100</t>
  </si>
  <si>
    <t xml:space="preserve">202843</t>
  </si>
  <si>
    <t xml:space="preserve">https://superi.ge/skytech-stv50n9100/</t>
  </si>
  <si>
    <t xml:space="preserve">• ტელევიზორის კლასი LED TV • ეკრანის დიაგონალი 50 127 სმ • ეკრანის გაფართოება 4K UHD 3840 x 2160 • SMART ტექნოლოგია კი • Android TV კი ვიდეო • ეკრანის განახლები...</t>
  </si>
  <si>
    <t xml:space="preserve">შეიძინეთ ტელევიზორი SKYTECH STV50N9100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</si>
  <si>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VOX 55A11U314B</t>
  </si>
  <si>
    <t xml:space="preserve">SA0000008186</t>
  </si>
  <si>
    <t xml:space="preserve">https://superi.ge/vox-55a11u314b/</t>
  </si>
  <si>
    <t xml:space="preserve">• ტელევიზორის კლასი Direct LED • ტიპი HDR TV • ეკრანის დიაგონალი 55 140 სმ • ეკრანის გაფართოება 4K 3840 x 2160 • SMART TV კი • ოპერაციული სისტემა Android TV ვიდ...</t>
  </si>
  <si>
    <t xml:space="preserve">შეიძინეთ ტელევიზორი VOX 55A11U314B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</si>
  <si>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VOX WM1290-T14D</t>
  </si>
  <si>
    <t xml:space="preserve">201707</t>
  </si>
  <si>
    <t xml:space="preserve">https://superi.ge/vox-wm1290-t14d/</t>
  </si>
  <si>
    <t xml:space="preserve">• ჩატვირთვის ტიპი ფრონტალური • მაქსიმალური ჩატვირთვა 9 კგ • ბრუნვის მაქსიმალური სიჩქარე 1200 ბრ/წთ • დოლურის მოცულობა 64 ლ • ენერგოეფექტურობის კლასი D • ელექტრო...</t>
  </si>
  <si>
    <t xml:space="preserve">შეიძინეთ სარეცხი მანქანა VOX WM1290-T14D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</si>
  <si>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საყინულე SHARP SCF-K270H-WH3 (200L)</t>
  </si>
  <si>
    <t xml:space="preserve">SCF-K270H-WH3</t>
  </si>
  <si>
    <t xml:space="preserve">https://superi.ge/sharp-scf-k270h-wh3-200l/</t>
  </si>
  <si>
    <t xml:space="preserve">• მოცულობა 200 ლიტრი • ფრეონის ტიპი R600a • სწრაფი გაყინვის ფუნქცია • ტემპერატურის კონტროლის შესაძლებლობა • საკეტი • განათება LED • 2 X კალათა • ელექტრონული მარ...</t>
  </si>
  <si>
    <t xml:space="preserve">შეიძინეთ საყინულე SHARP SCF-K270H-WH3 (200L)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</si>
  <si>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INDESIT BWSD 61051 WWV RU</t>
  </si>
  <si>
    <t xml:space="preserve">225263</t>
  </si>
  <si>
    <t xml:space="preserve">https://superi.ge/indesit-bwsd-61051-wwv-ru/</t>
  </si>
  <si>
    <t xml:space="preserve">• ტიპი ცალკე მდგომი • ბრენდი INDESIT • ჩატვირთვის ტიპი ფრონტალური • ბრუნვის მაქსიმალური სიჩქარე 1000 ბრ/წთ • რეცხვის კლასი A • გაწურვის კლასი C • მართვის ტიპი ე...</t>
  </si>
  <si>
    <t xml:space="preserve">შეიძინეთ სარეცხი მანქანა INDESIT BWSD 61051 WWV RU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</si>
  <si>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ქურის ზედაპირი ELECTROLUX GPE363NK</t>
  </si>
  <si>
    <t xml:space="preserve">190426</t>
  </si>
  <si>
    <t xml:space="preserve">https://superi.ge/electrolux-gpe363nk/</t>
  </si>
  <si>
    <t xml:space="preserve">• ზედაპირის ტიპი გაზის • გაცხელების ზონები 4 • მართვის ტიპი მექანიკური • ელექტრონული ანთება მახასიათებლები • შუა წინა სანთური 1000W / 65 მმ • შუა უკანა სანთური ...</t>
  </si>
  <si>
    <t xml:space="preserve">შეიძინეთ ქურის ზედაპირი ELECTROLUX GPE363NK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</si>
  <si>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საკერავი მანქანა BROTHER ELITE 55</t>
  </si>
  <si>
    <t xml:space="preserve">205595</t>
  </si>
  <si>
    <t xml:space="preserve">https://superi.ge/brother-elite-55/</t>
  </si>
  <si>
    <t xml:space="preserve">• ტიპი ელექტრომექანიკური • სიმძლავრე 105 W • ჰორიზონტალური შატლი • მარყუჟი ავტომატრუი • კერვის ოპერაციების რაოდენობა 37 • განათება კი ფუნქციები და მახასიათებლებ...</t>
  </si>
  <si>
    <t xml:space="preserve">შეიძინეთ საკერავი მანქანა BROTHER ELITE 55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</si>
  <si>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LG 32LM6370PLA</t>
  </si>
  <si>
    <t xml:space="preserve">212357</t>
  </si>
  <si>
    <t xml:space="preserve">https://superi.ge/lg-32lm6370pla/</t>
  </si>
  <si>
    <t xml:space="preserve">• ტელევიზორის კლასი LED • ტიპი FHD TV • ეკრანის დიაგონალი 32 81 სმ • ეკრანის გაფართოება Full HD 1920 x 1080 • Smart ტექნოლოგია კი • ოპერაციული სისტემა webOS Sma...</t>
  </si>
  <si>
    <t xml:space="preserve">შეიძინეთ ტელევიზორი LG 32LM6370PLA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</si>
  <si>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ნაძვის ხე 210 სმ (22SN1323-210)</t>
  </si>
  <si>
    <t xml:space="preserve">239528</t>
  </si>
  <si>
    <t xml:space="preserve">https://superi.ge/210-22sn1323-210/</t>
  </si>
  <si>
    <t xml:space="preserve">• აწყობის ტიპი ჩამაგრებული/ჩასამაგრებელი ღეროებით ნომერაციით • მარტივად ასაწყობი კონსტრუქცია ფიზიკური პარამეტრები • ზომა 210 სმ x 110სმ • ფერი მწვანე</t>
  </si>
  <si>
    <t xml:space="preserve">შეიძინეთ ნაძვის ხე 210 სმ (22SN1323-210)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</si>
  <si>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მონიტორი DELL LCD P2722HE (210-AZZB)</t>
  </si>
  <si>
    <t xml:space="preserve">210-AZZB</t>
  </si>
  <si>
    <t xml:space="preserve">ტექნიკა &gt; ნოუთბუქები, კომპიუტერები, მონიტორები &gt; მონიტორები</t>
  </si>
  <si>
    <t xml:space="preserve">https://superi.ge/dell-lcd-p2722he-210-azzb/</t>
  </si>
  <si>
    <r>
      <rPr>
        <sz val="11"/>
        <rFont val="Arial"/>
        <family val="0"/>
        <charset val="1"/>
      </rPr>
      <t xml:space="preserve">დისპლეი • დიაგონალი 27 / 68 58 სმ • გაფართოება Full HD 1920x1080 • მხარეების თანაფარდობა 16 9 • ტექნოლოგია IPS • ზედაპირი მქრალი • სიკაშკაშე 300 cd/</t>
    </r>
    <r>
      <rPr>
        <sz val="11"/>
        <rFont val="WenQuanYi Zen Hei"/>
        <family val="2"/>
      </rPr>
      <t xml:space="preserve">㎡ • </t>
    </r>
    <r>
      <rPr>
        <sz val="11"/>
        <rFont val="Arial"/>
        <family val="0"/>
        <charset val="1"/>
      </rPr>
      <t xml:space="preserve">კონტრასტ...</t>
    </r>
  </si>
  <si>
    <t xml:space="preserve">შეიძინეთ მონიტორი DELL LCD P2722HE (210-AZZB)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</si>
  <si>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GORENJE WHE72SFS (7კგ)</t>
  </si>
  <si>
    <t xml:space="preserve">I75161</t>
  </si>
  <si>
    <t xml:space="preserve">https://superi.ge/gorenje-whe72sfs-7/</t>
  </si>
  <si>
    <t xml:space="preserve">• ჩატვირთვის ტიპი ფრონტალური • მართვის ტიპი მექანიკური • მაქსიმალური ჩატვირთვა 7 კგ • ენერგოეფექტურობის კლასი A • დოლურის მოცულობა 43 ლ • ბრუნვის მაქსიმალური სი...</t>
  </si>
  <si>
    <t xml:space="preserve">შეიძინეთ სარეცხი მანქანა GORENJE WHE72SFS (7კგ)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</si>
  <si>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ქურის ზედაპირი FRANKO FIH-1180</t>
  </si>
  <si>
    <t xml:space="preserve">187514</t>
  </si>
  <si>
    <t xml:space="preserve">https://superi.ge/franko-fih-1180/</t>
  </si>
  <si>
    <t xml:space="preserve">• ზედაპირის ტიპი ინდუქციური • კონფორების რაოდენობა 3 • სიმძლავრე 2500W/2000W/1500W მახასიათებლები • მართვის ტიპი სენსორული • სიმძლავრის დონეების რაოდენობა 7 • დ...</t>
  </si>
  <si>
    <t xml:space="preserve">შეიძინეთ ქურის ზედაპირი FRANKO FIH-1180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</si>
  <si>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AUX ASW-H09A4/QCR1 (25-30მ²)</t>
  </si>
  <si>
    <t xml:space="preserve">H09A4</t>
  </si>
  <si>
    <t xml:space="preserve">https://superi.ge/aux-asw-h09a4-qcr1-25-30/</t>
  </si>
  <si>
    <t xml:space="preserve">• მოდელი ASW-H09A4/QCR1 • ტიპი კედლის სპლიტ სისტემა • რეკომენდებული ფართობი მონტაჟისთვის 25-30 მ² • გაგრილების სიმძლავრე 2650 ვატი • გათბობის სიმძლავრე 2800 ვატ...</t>
  </si>
  <si>
    <t xml:space="preserve">შეიძინეთ კონდიციონერი AUX ASW-H09A4/QCR1 (25-30მ²)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</si>
  <si>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BEKO BBFDA 070/071</t>
  </si>
  <si>
    <t xml:space="preserve">213162</t>
  </si>
  <si>
    <t xml:space="preserve">https://superi.ge/beko-bbfda-070-071/</t>
  </si>
  <si>
    <t xml:space="preserve">• ტიპი კედლის სპლიტ-სისტემა • რეჟიმი გაგრილება/გათბობა • რეკომენდირებული ფართი 15-25 მ² -მდე • ჰაერის ნაკადის მოცულობა 500 m3/h • სიმძლავრე გაგრილების რეჟიმში 6...</t>
  </si>
  <si>
    <t xml:space="preserve">შეიძინეთ კონდიციონერი BEKO BBFDA 070/071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</si>
  <si>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TCL TAC-12CHSA/XA73 (35-40მ²)</t>
  </si>
  <si>
    <t xml:space="preserve">150402</t>
  </si>
  <si>
    <t xml:space="preserve">https://superi.ge/tcl-tac-12chsa-xa73-35-40/</t>
  </si>
  <si>
    <t xml:space="preserve">• ტიპი კედლის სპლიტ სისტემა • ძირითადი რეჟიმები გაგრილება გათბობა • რეკომენდირებული ფართი 35-40 მ² -მდე • სიმძლავრე გაგრილების რეჟიმში 12100 BTU/სთ • სიმძლავრე ...</t>
  </si>
  <si>
    <t xml:space="preserve">შეიძინეთ კონდიციონერი TCL TAC-12CHSA/XA73 (35-40მ²)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</si>
  <si>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მიკროტალღური ღუმელი BOSCH FEL053MS2</t>
  </si>
  <si>
    <t xml:space="preserve">S36683</t>
  </si>
  <si>
    <t xml:space="preserve">https://superi.ge/bosch-fel053ms2/</t>
  </si>
  <si>
    <t xml:space="preserve">• ტიპი ცალკე მდგომი • მართვის ტიპი ელექტრონული / მექანიკური • სიმძლავრე 800 W • მოცულობა 25 ლ მახასიათებლები • სიმძლავრის დონეების რაოდენობა 5 • პროგრამების რაო...</t>
  </si>
  <si>
    <t xml:space="preserve">შეიძინეთ მიკროტალღური ღუმელი BOSCH FEL053MS2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</si>
  <si>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BEKO WSRE 6512 PRS</t>
  </si>
  <si>
    <t xml:space="preserve">S97414</t>
  </si>
  <si>
    <t xml:space="preserve">https://superi.ge/beko-wsre-6512-prs/</t>
  </si>
  <si>
    <t xml:space="preserve">• ჩატვირთვის ტიპი ფრონტალური • ტევადობა 6 კგ • ბრუნვის მაქსიმალური სიჩქარე 1000 ბრ/წთ • გაწურვის კლასი C • ენერგომოხმარების კლასი A • ძრავის ტიპი ინვერტორული • ...</t>
  </si>
  <si>
    <t xml:space="preserve">შეიძინეთ სარეცხი მანქანა BEKO WSRE 6512 PRS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</si>
  <si>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VESTFROST VW810FF4S (8კგ)</t>
  </si>
  <si>
    <t xml:space="preserve">129877</t>
  </si>
  <si>
    <t xml:space="preserve">https://superi.ge/vestfrost-vw810ff4s-8/</t>
  </si>
  <si>
    <t xml:space="preserve">• ჩატვირთვის ტიპი ფრონტალური • სარეცხის მაქსიმალური ჩატვირთვა 8 კგ • ბრუნვის მაქსიმალური სიჩქარე 1000 ბრ/წთ • ენერგომოხმარების კლასი A+++ • რეცხვის კლასი A • გა...</t>
  </si>
  <si>
    <t xml:space="preserve">შეიძინეთ სარეცხი მანქანა VESTFROST VW810FF4S (8კგ)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</si>
  <si>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ქვაბების ნაკრები NINJA C35000EU 5 PCS</t>
  </si>
  <si>
    <t xml:space="preserve">S52751</t>
  </si>
  <si>
    <t xml:space="preserve">https://superi.ge/ninja-c35000eu-5-pcs/</t>
  </si>
  <si>
    <t xml:space="preserve">• კომპლექტაციაში შემავალი ჭურჭლის რაოდენობა 5 • ღუმელში თავსებადობა 260 ° C • თავსებადობა გაზი ელექტრო კერამიკა ჰალოგენი ინდუქცია • ჭურჭლის სარეც მანქანაში რეცხ...</t>
  </si>
  <si>
    <t xml:space="preserve">შეიძინეთ ქვაბების ნაკრები NINJA C35000EU 5 PCS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</si>
  <si>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ღვინის მაცივარი ZILAN ZLN4681</t>
  </si>
  <si>
    <t xml:space="preserve">S36684</t>
  </si>
  <si>
    <t xml:space="preserve">https://superi.ge/zilan-zln4681/</t>
  </si>
  <si>
    <t xml:space="preserve">ზოგადი ინფორმაცია • ბრენდი Zilan • მოდელი ZLN4681 • ტიპი ღვინის მაცივარი • მართვის ტიპი ციფრული სენსორული ღილაკებით • გაგრილების ტიპი თერმოელექტრული • ენერგოეფე...</t>
  </si>
  <si>
    <t xml:space="preserve">შეიძინეთ ღვინის მაცივარი ZILAN ZLN4681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</si>
  <si>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ჩასაშენებელი ღუმელი BEKO BBIM13300XM SUPERIA</t>
  </si>
  <si>
    <t xml:space="preserve">S87311</t>
  </si>
  <si>
    <t xml:space="preserve">https://superi.ge/beko-bbim13300xm-superia/</t>
  </si>
  <si>
    <t xml:space="preserve">• ჩასაშენებელი ღუმელი ელექტრო • ღუმელის საერთო სასარგებლო მოცულობა 72 ლ • რეჟიმების რაოდენობა 8 • ენერგოეფექტურობის კლასი A • მართვის ტიპი მექანიკური ფუნქციები ...</t>
  </si>
  <si>
    <t xml:space="preserve">შეიძინეთ ჩასაშენებელი ღუმელი BEKO BBIM13300XM SUPERIA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</si>
  <si>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ჭურჭლის სარეცხი მანქანა VESTFROST VFA2WFS60SD6</t>
  </si>
  <si>
    <t xml:space="preserve">127399</t>
  </si>
  <si>
    <t xml:space="preserve">https://superi.ge/vestfrost-vfa2wfs60sd6/</t>
  </si>
  <si>
    <t xml:space="preserve">• ტევადობა 13 კომპლექტი • წყლის მოხმარება თითო ციკლზე 11 ლ • ენერგომოხმარების კლასი A++ პროგრამები • პროგრამების რაოდენობა 6 • ეკო პროგრამა • სარეცხი ტემპერატურ...</t>
  </si>
  <si>
    <t xml:space="preserve">შეიძინეთ ჭურჭლის სარეცხი მანქანა VESTFROST VFA2WFS60SD6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</si>
  <si>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ავეჯის კომპლექტი მაგიდა 2 სავარძელი XB-4</t>
  </si>
  <si>
    <t xml:space="preserve">17051458</t>
  </si>
  <si>
    <t xml:space="preserve">https://superi.ge/2-xb-4/</t>
  </si>
  <si>
    <t xml:space="preserve">ავეჯის კომპლექტი მაგიდა 2 სავარძელი XB-4შეიტანეთ ელეგანტურობა და სიმშვიდე თქვენს გარე სივრცეში ამ დახვეწილიბაღის ავეჯის კომპლექტით რომელიც იდეალურია ტერასისთვის...</t>
  </si>
  <si>
    <t xml:space="preserve">შეიძინეთ ავეჯის კომპლექტი მაგიდა 2 სავარძელი XB-4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</si>
  <si>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ველოსიპედი TRINX M116 PRO</t>
  </si>
  <si>
    <t xml:space="preserve">179496</t>
  </si>
  <si>
    <t xml:space="preserve">https://superi.ge/trinx-m116-pro/</t>
  </si>
  <si>
    <t xml:space="preserve">• საბურავის დიამეტრი 29 • ჩარჩო TRINX 29” x 15” • სიჩქარეების რაოდენობა 21 • დისკის ტიპი ღეროვანი მახასიათებლები • ჯაჭვი M30 7S • ჯაჭვის კბილანა 42T*170L • უკან...</t>
  </si>
  <si>
    <t xml:space="preserve">შეიძინეთ ველოსიპედი TRINX M116 PRO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</si>
  <si>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საკერავი მანქანა JANOME SE 7519</t>
  </si>
  <si>
    <t xml:space="preserve">174379</t>
  </si>
  <si>
    <t xml:space="preserve">https://superi.ge/janome-se-7519/</t>
  </si>
  <si>
    <t xml:space="preserve">• ტიპი ელექტრომექანიკური • ვერტიკალური მაქო • კერვის ოპერაციების რაოდენობა 19 ფუნქციები და მახასიათებლები • მარყუჟის გაკეთება ავტომატური • განათება • ნაკერის მა...</t>
  </si>
  <si>
    <t xml:space="preserve">შეიძინეთ საკერავი მანქანა JANOME SE 7519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</si>
  <si>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გაზის გამათბობელი ERSEL EHS1200KS</t>
  </si>
  <si>
    <t xml:space="preserve">195025</t>
  </si>
  <si>
    <t xml:space="preserve">https://superi.ge/ersel-ehs1200ks/</t>
  </si>
  <si>
    <t xml:space="preserve">• ტიპი კედელზე დასამონტაჟებელი • რეკომენდირებული ფართი 120-130 მ² • გათბობის მაქსიმალური სიმძლავრე 10 kW • გაზის ტიპი ბუნებრივი • ანთების ტიპი პიეზო სანთებელა •...</t>
  </si>
  <si>
    <t xml:space="preserve">შეიძინეთ გაზის გამათბობელი ERSEL EHS1200KS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</si>
  <si>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პროექტორი BYINTEK MOON K25 BASIC</t>
  </si>
  <si>
    <t xml:space="preserve">213499</t>
  </si>
  <si>
    <t xml:space="preserve">https://superi.ge/byintek-moon-k25-basic/</t>
  </si>
  <si>
    <t xml:space="preserve">• ტექნოლოგია DLP 0 55 • სისტემა მულტიმედიური პრეზენტაციის სისტემა • გაფართოება FULL HD 1920 x 1080 • გამოსახულების ფორმატი 16 9 / 4 3 • პროექციის თანაფარდობა 1 ...</t>
  </si>
  <si>
    <t xml:space="preserve">შეიძინეთ პროექტორი BYINTEK MOON K25 BASIC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</si>
  <si>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საკერავი მანქანა JANOME 1522DG</t>
  </si>
  <si>
    <t xml:space="preserve">S33617</t>
  </si>
  <si>
    <t xml:space="preserve">https://superi.ge/janome-1522dg/</t>
  </si>
  <si>
    <t xml:space="preserve">• ტიპი ელექტრომექანიკური • მაქოს ტიპი ვერტიკალურ როტორული • ავტომატური ჩამკეტი ბობინის სახვევი • კერვის ოპერაციების რაოდენობა 22 • განათება კი ფუნქციები და მახა...</t>
  </si>
  <si>
    <t xml:space="preserve">შეიძინეთ საკერავი მანქანა JANOME 1522DG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</si>
  <si>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საკერავი მანქანა JANOME 1522PG</t>
  </si>
  <si>
    <t xml:space="preserve">S22609</t>
  </si>
  <si>
    <t xml:space="preserve">https://superi.ge/janome-1522pg/</t>
  </si>
  <si>
    <t xml:space="preserve">• ტიპი ელექტრომექანიკური • კერვის ოპერაციების რაოდენობა 25 • შატლი ჰორიზონტალური • მარყუჟი ავტომატური • დეკორატიული ნაკერი • ნაქსოვი ნაკერი • overlock ნაკერი • ...</t>
  </si>
  <si>
    <t xml:space="preserve">შეიძინეთ საკერავი მანქანა JANOME 1522PG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</si>
  <si>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CHIGO CS-25H3A-B150AY8D (25-30მ²)</t>
  </si>
  <si>
    <t xml:space="preserve">CS-25H3A-B150AY8D</t>
  </si>
  <si>
    <t xml:space="preserve">https://superi.ge/chigo-cs-25h3a-b150ay8d-25-30/</t>
  </si>
  <si>
    <t xml:space="preserve">• ბრენდი CHIGO • მოდელი CS-25H3A-B150AY8D ძირითადი მახასიათებლები • კვადრატულობა 25-30 კვადრატული • კონდიციონერის ტიპი სპლიტ-სისტემა • ფრეონის ტიპი R410A • ძრავ...</t>
  </si>
  <si>
    <t xml:space="preserve">შეიძინეთ კონდიციონერი CHIGO CS-25H3A-B150AY8D (25-30მ²)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</si>
  <si>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მტვერსასრუტი BOSCH BGS41HYG1</t>
  </si>
  <si>
    <t xml:space="preserve">S11232</t>
  </si>
  <si>
    <t xml:space="preserve">https://superi.ge/bosch-bgs41hyg1/</t>
  </si>
  <si>
    <t xml:space="preserve">• ტიპი კონტეინერით • სიმძლავრე 550 W • მტვრის კონტეინერის მოცულობა 2 4 ლ • დასუფთავების რადიუსი 10 მ • დასუფთავების ტიპი მშრალი • ხმაურის დონე 72 dB A მახასიათე...</t>
  </si>
  <si>
    <t xml:space="preserve">შეიძინეთ მტვერსასრუტი BOSCH BGS41HYG1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</si>
  <si>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მონიტორი SAMSUNG CURVED GAMING ODYSSEY G5 (LS32CG550EIXCI) 32"</t>
  </si>
  <si>
    <t xml:space="preserve">S68406</t>
  </si>
  <si>
    <t xml:space="preserve">https://superi.ge/samsung-curved-gaming-odyssey-g5-ls32cg550eixci-32/</t>
  </si>
  <si>
    <t xml:space="preserve">მახასიათებლები • ტიპი გეიმინგ მონიტორი • დიაგონალი 32 • გარჩევადობა 2560 x 1440 • ეკრანის/პანელის ტიპი VA • ეკრანის ფორმატი 16 9 • სიკაშკაშე 300 cd/m² • ფერების...</t>
  </si>
  <si>
    <t xml:space="preserve">შეიძინეთ მონიტორი SAMSUNG CURVED GAMING ODYSSEY G5 (LS32CG550EIXCI) 32"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</si>
  <si>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ჩასაშენებელი ღუმელი BEKO BBIM12300XM</t>
  </si>
  <si>
    <t xml:space="preserve">188109</t>
  </si>
  <si>
    <t xml:space="preserve">https://superi.ge/beko-bbim12300xm/</t>
  </si>
  <si>
    <t xml:space="preserve">• ღუმელის ტიპი ელექტრო • ენერგომოხმარების ტიპი А • ღუმელის მოცულობა 72 ლ • რეჟიმების რაოდენობა 8 • ღუმელის რაოდენობა 1 ფუნქციები და თავისებურებები • ტაიმერი • ზ...</t>
  </si>
  <si>
    <t xml:space="preserve">შეიძინეთ ჩასაშენებელი ღუმელი BEKO BBIM12300XM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</si>
  <si>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გაზის გამათბობელი HOSSEVEN HDU-10 (100მ²) BLACK</t>
  </si>
  <si>
    <t xml:space="preserve">0838</t>
  </si>
  <si>
    <t xml:space="preserve">https://superi.ge/hosseven-hdu-10-100-black/</t>
  </si>
  <si>
    <t xml:space="preserve">• ტიპი კედლის • რეკომინდებული ფართი 75-85 მ² • სიმძლავრე 10 kW • წვის კამერის ტიპი დახურული • თბოგადამცემლის მასალა ემალირებული ფოლადი • მოხმარებადი აირის ტიპი ...</t>
  </si>
  <si>
    <t xml:space="preserve">შეიძინეთ გაზის გამათბობელი HOSSEVEN HDU-10 (100მ²) BLACK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</si>
  <si>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გაზის გამათბობელი HOSSEVEN HDU-10 (100მ²) BEIGE</t>
  </si>
  <si>
    <t xml:space="preserve">0837</t>
  </si>
  <si>
    <t xml:space="preserve">https://superi.ge/hosseven-hdu-10-100-beige/</t>
  </si>
  <si>
    <t xml:space="preserve">• ტიპი კედლის • რეკომინდებული ფართი 100-105მ² • სიმძლავრე 10 kW • წვის კამერის ტიპი დახურული • თბოგადამცემლის მასალა ემალირებული ფოლადი • მოხმარებადი აირის ტიპი...</t>
  </si>
  <si>
    <t xml:space="preserve">შეიძინეთ გაზის გამათბობელი HOSSEVEN HDU-10 (100მ²) BEIGE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</si>
  <si>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გაზონის საკრეჭი მანქანა HYUNDAI HCB.C4205 1800W</t>
  </si>
  <si>
    <t xml:space="preserve">157792</t>
  </si>
  <si>
    <t xml:space="preserve">ბაღი და ეზო &gt; გაზონის საკრეჭი მანქანები</t>
  </si>
  <si>
    <t xml:space="preserve">https://superi.ge/hyundai-hcb-c4205-1800w/</t>
  </si>
  <si>
    <t xml:space="preserve">• ტიპი ელექტრო • კვება ქსელიდან • სიმძლავრე 1800 W • ბალახის ჭრის სიმაღლე 20-70 მმ 6 ნაბიჯი • ბალახის ჭრის სიგანე 42 მმ • ბალახის შესაგროვებლის მოცულობა 50 ლ • ...</t>
  </si>
  <si>
    <t xml:space="preserve">შეიძინეთ გაზონის საკრეჭი მანქანა HYUNDAI HCB.C4205 1800W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</si>
  <si>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კარკასული აუზი BESTWAY 56418 (9150 ლტ)</t>
  </si>
  <si>
    <t xml:space="preserve">177593</t>
  </si>
  <si>
    <t xml:space="preserve">https://superi.ge/bestway-56418/</t>
  </si>
  <si>
    <t xml:space="preserve">• ტიპი კარკასული • მოცულობა 9150 ლ დამატებითი მახასიათებლები • ფორმა მრგვალი • წყლის დამცველი სარქველი კი • ტუმბო ფილტრი კი • კიბე კი ფიზიკური პარამეტრები • კარ...</t>
  </si>
  <si>
    <t xml:space="preserve">შეიძინეთ კარკასული აუზი BESTWAY 56418 (9150 ლტ)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</si>
  <si>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კარკასული აუზი INTEX 26716 (8592 ლტ)</t>
  </si>
  <si>
    <t xml:space="preserve">178515</t>
  </si>
  <si>
    <t xml:space="preserve">https://superi.ge/intex-26716/</t>
  </si>
  <si>
    <t xml:space="preserve">• ტიპი კარკასული • მოცულობა 8592 ლ დამატებითი მახასიათებლები • ფორმა მრგვალი • წყლის დამცველი სარქველი კი • ტუმბო/ფილტრი კი ფიზიკური პარამეტრები • ზომები 366 x ...</t>
  </si>
  <si>
    <t xml:space="preserve">შეიძინეთ კარკასული აუზი INTEX 26716 (8592 ლტ)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</si>
  <si>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აეროგრილი Ninja AF400EU</t>
  </si>
  <si>
    <t xml:space="preserve">S68969</t>
  </si>
  <si>
    <t xml:space="preserve">https://superi.ge/ninja-af400eu/</t>
  </si>
  <si>
    <t xml:space="preserve">• სიმძლავრე 2470 W • მოცულობა 9 5 ლ • ტემპერატურული დიაპაზონი 40°C - 240°C • პორციის ზომა 8 პორცია 2 კგ ფრი 2 კგ ქათამი • მართვის ტიპი ელექტრონული • LCD ეკრანი ...</t>
  </si>
  <si>
    <t xml:space="preserve">შეიძინეთ აეროგრილი Ninja AF400EU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</si>
  <si>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აეროგრილი-გრილი NINJA AG551EU 2IN1</t>
  </si>
  <si>
    <t xml:space="preserve">AG551EU</t>
  </si>
  <si>
    <t xml:space="preserve">https://superi.ge/ninja-ag551eu-2in1/</t>
  </si>
  <si>
    <t xml:space="preserve">• ტიპი გრილი / ფრიტურნიცა • სიმძლავრე 2460 W • ტემპერატურის დიაპაზონი 40°C - 260°C • მოცულობა 3 8 ლ / 3 8 ლ ფუნქციები და მახასიათებლები • რეჟიმების რაოდენობა 6 ...</t>
  </si>
  <si>
    <t xml:space="preserve">შეიძინეთ აეროგრილი-გრილი NINJA AG551EU 2IN1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</si>
  <si>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HAGEN HRBF1825W</t>
  </si>
  <si>
    <t xml:space="preserve">139154</t>
  </si>
  <si>
    <t xml:space="preserve">https://superi.ge/hagen-hrbf1825w/</t>
  </si>
  <si>
    <t xml:space="preserve">• ტიპი ორკამერიანი • მართვის ტიპი მექანიკური • საერთო სასარგებლო მოცულობა 254 ლ • მაცივრის კამერის სასარგებლო მოცულობა 191 ლ • საყინულე კამერის სასარგებლო მოცულ...</t>
  </si>
  <si>
    <t xml:space="preserve">შეიძინეთ მაცივარი HAGEN HRBF1825W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</si>
  <si>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მონიტორი DELL S2721HGF CURVED</t>
  </si>
  <si>
    <t xml:space="preserve">210-BFWN</t>
  </si>
  <si>
    <t xml:space="preserve">https://superi.ge/dell-s2721hgf-curved/</t>
  </si>
  <si>
    <t xml:space="preserve">დისპლეი • დიაგონალი 27 • გაფართოება 1920 x 1080 / 144 Hz • ეკრანის ტიპი Curved Screen რკალისებური • გამოსახულების ფორმატი 16 9 • განათება LED • სიკაშკაშე 350 cd...</t>
  </si>
  <si>
    <t xml:space="preserve">შეიძინეთ მონიტორი DELL S2721HGF CURVED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</si>
  <si>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მტვერსასრუტი LG A9N-PRIME.BBWQCIS</t>
  </si>
  <si>
    <t xml:space="preserve">I89371</t>
  </si>
  <si>
    <t xml:space="preserve">https://superi.ge/lg-a9n-prime-bbwqcis/</t>
  </si>
  <si>
    <t xml:space="preserve">• ტიპი ვერტიკალური ელექტრო ცოცხი • ძრავის ტიპი ინვერტორული • სიმძლავრე 450 W • მტვრის კონტეინერის მოცულობა 440 მლ • კვების ტიპი უსადენო • დასუფთავების ტიპი მშრა...</t>
  </si>
  <si>
    <t xml:space="preserve">შეიძინეთ მტვერსასრუტი LG A9N-PRIME.BBWQCIS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</si>
  <si>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რობოტი მტვერსასრუტი MIDEA M3S</t>
  </si>
  <si>
    <t xml:space="preserve">2900000065956</t>
  </si>
  <si>
    <t xml:space="preserve">https://superi.ge/midea-m3s/</t>
  </si>
  <si>
    <t xml:space="preserve">• ტიპი რობოტი მტვერსასრუტი • მაქსიმალური შესრუტვის სიმძლავრე 2000Pa • მაქსიმალური სიმძლავრე 40 W • მტვრის კონტეინერის მოცულობა 360 მლ • კვება აკუმულატორი • ხმაუ...</t>
  </si>
  <si>
    <t xml:space="preserve">შეიძინეთ რობოტი მტვერსასრუტი MIDEA M3S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</si>
  <si>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ჭურჭლის სარეცხი მანქანა GORENJE GS520E15W</t>
  </si>
  <si>
    <t xml:space="preserve">S45705</t>
  </si>
  <si>
    <t xml:space="preserve">https://superi.ge/gorenje-gs520e15w/</t>
  </si>
  <si>
    <t xml:space="preserve">• ტიპი ცალკე მდგომი • მართვის ტიპი მექანიკური • ტევადობა 9 კომპლექტი • ელექტროენერგიის მოხმარება 100 ციკლზე 70 კვტ/სთ • წყლის მოხმარება 9 ლ • ხმაურის დონე 47 dB...</t>
  </si>
  <si>
    <t xml:space="preserve">შეიძინეთ ჭურჭლის სარეცხი მანქანა GORENJE GS520E15W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</si>
  <si>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GORENJE WHE60SFS</t>
  </si>
  <si>
    <t xml:space="preserve">I74644</t>
  </si>
  <si>
    <t xml:space="preserve">https://superi.ge/gorenje-whe60sfs/</t>
  </si>
  <si>
    <t xml:space="preserve">• ჩატვირთვის ტიპი ფრონტალური • მაქსიმალური ჩატვირთვა 6 კგ • ბრუნვის მაქსიმალური სიჩქარე 1000 ბრ/წთ • დოლურის მოცულობა 43 ლ • ენერგომოხმარების კლასი A+++ • ელექტ...</t>
  </si>
  <si>
    <t xml:space="preserve">შეიძინეთ სარეცხი მანქანა GORENJE WHE60SFS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</si>
  <si>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საყინულე SHARP SCF-K200HL-WH3 (145L)</t>
  </si>
  <si>
    <t xml:space="preserve">SCF-K200HL-WH3 </t>
  </si>
  <si>
    <t xml:space="preserve">https://superi.ge/sharp-scf-k200hl-wh3-145l/</t>
  </si>
  <si>
    <t xml:space="preserve">• მოცულობა 145 ლიტრი • ფრეონის ტიპი R600a • სწრაფი გაყინვის ფუნქცია • ტემპერატურის კონტროლის შესაძლებლობა • საკეტი • განათება LED • 2 X კალათა • ელექტრონული მარ...</t>
  </si>
  <si>
    <t xml:space="preserve">შეიძინეთ საყინულე SHARP SCF-K200HL-WH3 (145L)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</si>
  <si>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TCL 43P745</t>
  </si>
  <si>
    <t xml:space="preserve">142542</t>
  </si>
  <si>
    <t xml:space="preserve">https://superi.ge/tcl-43p745/</t>
  </si>
  <si>
    <t xml:space="preserve">• ტელევიზორის კლასი LED TV • ეკრანის დიაგონალი 43 109 სმ • ეკრანის გაფართოება 4K UHD 3840 x 2160 • Smart ტექნოლოგია კი • ოპერაციული სისტემა Google TV ვიდეო • გა...</t>
  </si>
  <si>
    <t xml:space="preserve">შეიძინეთ ტელევიზორი TCL 43P745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</si>
  <si>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გაზის გამათბობელი HOSSEVEN HHS-9 (80მ²)</t>
  </si>
  <si>
    <t xml:space="preserve">0839</t>
  </si>
  <si>
    <t xml:space="preserve">https://superi.ge/hosseven-hhs-9-80/</t>
  </si>
  <si>
    <t xml:space="preserve">• ტიპი კედლის • რეკომინდებული ფართი 80 მ² • სიმძლავრე 9 kW • წვის კამერის ტიპი დახურული ორმაგი წვით • ანთება პიეზო სანთებელა • მოხმარებადი აირის ტიპი ბუნებრივი ...</t>
  </si>
  <si>
    <t xml:space="preserve">შეიძინეთ გაზის გამათბობელი HOSSEVEN HHS-9 (80მ²)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</si>
  <si>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CHIGO CWF704G (7კგ)</t>
  </si>
  <si>
    <t xml:space="preserve">CWF704G</t>
  </si>
  <si>
    <t xml:space="preserve">https://superi.ge/chigo-cwf704g-7/</t>
  </si>
  <si>
    <t xml:space="preserve">• ტიპი ცალკე მდგომი • ჩატვირთვის ტიპი ფრონტალური • მართვის ტიპი ელექტრონული / მექანიკური • მაქსიმალური ჩატვირთვა 7 კგ • მაქსიმალური ბრუნი 1000 ბრ/წთ • პროგრამებ...</t>
  </si>
  <si>
    <t xml:space="preserve">შეიძინეთ სარეცხი მანქანა CHIGO CWF704G (7კგ)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</si>
  <si>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აეროგრილი NINJA AF451EU (9.5 L)</t>
  </si>
  <si>
    <t xml:space="preserve">S14165</t>
  </si>
  <si>
    <t xml:space="preserve">https://superi.ge/ninja-af451eu-9-5-l/</t>
  </si>
  <si>
    <t xml:space="preserve">მახასიათებლები • ტიპი აეროგრილი • მოცულობა 9 5 ლ • ტემპერატურული დიაპაზონი 40°C - 240°C • მართვის ტიპი ღილაკი/LCD ეკრანი • მასალა პლასტმასი • სიმძლავრე 2470 W •...</t>
  </si>
  <si>
    <t xml:space="preserve">შეიძინეთ აეროგრილი NINJA AF451EU (9.5 L)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</si>
  <si>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გაზის გამათბობელი AKOG 4 SP (45 მ²) GRAPHIT</t>
  </si>
  <si>
    <t xml:space="preserve">S99854</t>
  </si>
  <si>
    <t xml:space="preserve">https://superi.ge/akog-4-sp-45-graphit/</t>
  </si>
  <si>
    <t xml:space="preserve">• ტიპი კედლის • რეკომინდებული ფართი 40-45 მ² • სიმძლავრე 4 kW • წვის კამერის ტიპი დახურული • ანთება პიეზო სანთებელა • თბოგადამცემლის მასალა ფოლადი • კვამლსადენი...</t>
  </si>
  <si>
    <t xml:space="preserve">შეიძინეთ გაზის გამათბობელი AKOG 4 SP (45 მ²) GRAPHIT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</si>
  <si>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VESTEL SD220W</t>
  </si>
  <si>
    <t xml:space="preserve">191285</t>
  </si>
  <si>
    <t xml:space="preserve">https://superi.ge/vestel-sd220w/</t>
  </si>
  <si>
    <t xml:space="preserve">• ტიპი ორკამერიანი • მართვის ტიპი მექანიკური • საერთო სასარგებლო მოცულობა 216 ლ • მაცივრის სასარგებლო მოცულობა 171 ლ • საყინულე კამერის სასარგებლო მოცულობა 42 ლ...</t>
  </si>
  <si>
    <t xml:space="preserve">შეიძინეთ მაცივარი VESTEL SD220W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</si>
  <si>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საკერავი მანქანა BROTHER ARTWORK 37A</t>
  </si>
  <si>
    <t xml:space="preserve">177460</t>
  </si>
  <si>
    <t xml:space="preserve">https://superi.ge/brother-artwork-37a/</t>
  </si>
  <si>
    <t xml:space="preserve">• ტიპი ელექტრომექანიკური • სიმძლავრე 51 W • ჰორიზონტალური მაქო • კერვის ოპერაციების რაოდენობა 37 ფუნქციები და მახასიათებლები • მარყუჟის გაკეთება ავტომატური • ნა...</t>
  </si>
  <si>
    <t xml:space="preserve">შეიძინეთ საკერავი მანქანა BROTHER ARTWORK 37A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</si>
  <si>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კარკასული აუზი BESTWAY 15428 (11440 ლტ)</t>
  </si>
  <si>
    <t xml:space="preserve">209284</t>
  </si>
  <si>
    <t xml:space="preserve">https://superi.ge/bestway-15428/</t>
  </si>
  <si>
    <t xml:space="preserve">• ტიპი კარკასული • მოცულობა 11440 ლ • ფორმა მრგვალი • წყლის დამცლელი სარქველი ფიზიკური პარამეტრები • აუზის მასალა სამფენიანი PVC პოლივინილქლორიდი • კარკასის მას...</t>
  </si>
  <si>
    <t xml:space="preserve">შეიძინეთ კარკასული აუზი BESTWAY 15428 (11440 ლტ)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</si>
  <si>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გეიმერული სავარძელი HyperX 367502 BLAST</t>
  </si>
  <si>
    <t xml:space="preserve">367502</t>
  </si>
  <si>
    <t xml:space="preserve">https://superi.ge/hyperx-367502-blast/</t>
  </si>
  <si>
    <t xml:space="preserve">• ბრენდი HyperX • მოდელი 367502 • პროდუქტის ტიპი გეიმერული სავარძელი • მაქსიმალური დატვირთვა 150 კგ • მაქსიმალური სიმაღლე 2 მ • 3D სამაჯური დიახ • მექანიზმი მრა...</t>
  </si>
  <si>
    <t xml:space="preserve">შეიძინეთ გეიმერული სავარძელი HyperX 367502 BLAST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</si>
  <si>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გამწოვი BOSCH DWB64BC52</t>
  </si>
  <si>
    <t xml:space="preserve">I60244</t>
  </si>
  <si>
    <t xml:space="preserve">https://superi.ge/bosch-dwb64bc52/</t>
  </si>
  <si>
    <t xml:space="preserve">• გამწოვის ტიპი გუმბათოვანი • მონტაჟი კედელზე დასაკიდი • წარმადობა 365 მ³/სთ • სიჩქარეების რაოდენობა 3 • ხმაურის დონე 65 dB მახასიათებლები • მართვის ტიპი მექანი...</t>
  </si>
  <si>
    <t xml:space="preserve">შეიძინეთ გამწოვი BOSCH DWB64BC52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</si>
  <si>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დენის წყლის გამაცხელებელი MIDEA MWH100-20ED6(CIS)W</t>
  </si>
  <si>
    <t xml:space="preserve">S58936</t>
  </si>
  <si>
    <t xml:space="preserve">ტექნიკა &gt; კლიმატური ტექნიკა &gt; წყლის გამაცხელებლები</t>
  </si>
  <si>
    <t xml:space="preserve">https://superi.ge/product-12106/</t>
  </si>
  <si>
    <t xml:space="preserve">ზოგადი ინფორმაცია • ბრენდი Midea • მოდელი MWH100-20ED6 CIS W • ტიპი დენის წყლის გამაცხელებელი • კატეგორია წყლის გამაცხელებელი • მონტაჟის ტიპი ვერტიკალური / ჰორი...</t>
  </si>
  <si>
    <t xml:space="preserve">შეიძინეთ დენის წყლის გამაცხელებელი MIDEA MWH100-20ED6(CIS)W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</si>
  <si>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ელექტრო მანქანა BMW 5FT-968</t>
  </si>
  <si>
    <t xml:space="preserve">232962</t>
  </si>
  <si>
    <t xml:space="preserve">https://superi.ge/bmw-5ft-968/</t>
  </si>
  <si>
    <t xml:space="preserve">• ტიპი ელექტრო • ადგილების რაოდენობა 1 • მაქსიმალური დატვირთვა 30 კგ • სიჩქარეების რაოდენობა 3 ავტომატური • ძრავების რაოდენობა 2 დამატებითი მახასიათებლები • ხმი...</t>
  </si>
  <si>
    <t xml:space="preserve">შეიძინეთ ელექტრო მანქანა BMW 5FT-968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</si>
  <si>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ველოსიპედი TOTEM BERNARD 27.5"</t>
  </si>
  <si>
    <t xml:space="preserve">185047</t>
  </si>
  <si>
    <t xml:space="preserve">https://superi.ge/totem-bernard-27-5/</t>
  </si>
  <si>
    <t xml:space="preserve">• ტიპი სამთო • დისკის ზომა 27 5 • ჩარჩო მასალა / ზომა ფოლადი / 19 • დისკის ტიპი ღეროვანი მახასიათებლები • სიჩქარეების რაოდენობა 21 • გადამრთველები SunRun • წინა...</t>
  </si>
  <si>
    <t xml:space="preserve">შეიძინეთ ველოსიპედი TOTEM BERNARD 27.5"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</si>
  <si>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ALNEO 09CHSA/XAC1 (25-30მ²)</t>
  </si>
  <si>
    <t xml:space="preserve">01404</t>
  </si>
  <si>
    <t xml:space="preserve">https://superi.ge/alneo-09chsa-xac1-25-30/</t>
  </si>
  <si>
    <t xml:space="preserve">ტიპი კედლის სპლიტ-სისტემა ON/OFF სიმძლავრე 9000 BTUრეკომენდებული ფართი 25-30 მ²-მდეგამაგრილებლის ტიპი ფრეონი R410Aდისფლეი კი დაფარული გაგრილების რეჟიმი კიკომპლე...</t>
  </si>
  <si>
    <t xml:space="preserve">შეიძინეთ კონდიციონერი ALNEO 09CHSA/XAC1 (25-30მ²)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</si>
  <si>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MIDEA GMCC (MWF-09CRN8) 25-30 მ²</t>
  </si>
  <si>
    <t xml:space="preserve">S63922</t>
  </si>
  <si>
    <t xml:space="preserve">https://superi.ge/midea-gmcc-mwf-09crn8-25-30/</t>
  </si>
  <si>
    <t xml:space="preserve">• ტიპი ფანჯრის მბრუნავი • რეჟიმი გაგრილება • რეკომენდირებული ფართი 25-30 მ² მდე • ენერგომოხმარების კლასი A • ფრეონის ტიპი R32 • მოხმარებადი სიმძლავრე გაგრილების...</t>
  </si>
  <si>
    <t xml:space="preserve">შეიძინეთ კონდიციონერი MIDEA GMCC (MWF-09CRN8) 25-30 მ²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</si>
  <si>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მიკროტალღური ღუმელი SAMSUNG MC32DB7746KCBW</t>
  </si>
  <si>
    <t xml:space="preserve">S28098</t>
  </si>
  <si>
    <t xml:space="preserve">https://superi.ge/samsung-mc32db7746kcbw/</t>
  </si>
  <si>
    <t xml:space="preserve">მახასიათებლები • ტიპი მიკროტალღური ღუმელი • ინსტალაციის ტიპი დასადგამი • პროდუქტის ტიპი მიკროტალღური+გრილი • პროგრამების რაოდენობა 15 • მოცულობა 32 ლ • სიმძლავრ...</t>
  </si>
  <si>
    <t xml:space="preserve">შეიძინეთ მიკროტალღური ღუმელი SAMSUNG MC32DB7746KCBW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</si>
  <si>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მტვერსასრუტი BOSCH BGS21POW2</t>
  </si>
  <si>
    <t xml:space="preserve">I76832</t>
  </si>
  <si>
    <t xml:space="preserve">https://superi.ge/bosch-bgs21pow2/</t>
  </si>
  <si>
    <t xml:space="preserve">• ტიპი ტომრის გარეშე კონტეინერით • მაქსიმალური სიმძლავრე 750 W • მტვრის კონტეინერის მოცულობა 2 0 ლ • დასუფთავების ტიპი მშრალი • ფილტრის ტიპი HEPA • მუშაობის რად...</t>
  </si>
  <si>
    <t xml:space="preserve">შეიძინეთ მტვერსასრუტი BOSCH BGS21POW2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</si>
  <si>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Indesit WIN610S (6KG)</t>
  </si>
  <si>
    <t xml:space="preserve">00-00014660</t>
  </si>
  <si>
    <t xml:space="preserve">https://superi.ge/indesit-win610s-6kg/</t>
  </si>
  <si>
    <t xml:space="preserve">ზოგადი ინფორმაცია • ბრენდი Indesit • მოდელი WIN610S • არტიკული 4680037173463 • ტიპი სარეცხი მანქანა • კატეგორია ვიწრო სარეცხი მანქანა • ძრავის ტიპი უნივერსალური...</t>
  </si>
  <si>
    <t xml:space="preserve">შეიძინეთ სარეცხი მანქანა Indesit WIN610S (6KG)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</si>
  <si>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REGAL REGAL TY7454W (7 კგ)</t>
  </si>
  <si>
    <t xml:space="preserve">AL-11050</t>
  </si>
  <si>
    <t xml:space="preserve">https://superi.ge/regal-regal-ty7454w-7/</t>
  </si>
  <si>
    <t xml:space="preserve">ძირითადი მახასიათებლები ინსტალაცია თავისუფალი დგომატიპი სარეცხი მანქანაპროგრამების რაოდენობა 15ენერგოეფექტურობის კლასი A+++მართვის ტიპი ელექტრონული თეთრეულის მა...</t>
  </si>
  <si>
    <t xml:space="preserve">შეიძინეთ სარეცხი მანქანა REGAL REGAL TY7454W (7 კგ)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</si>
  <si>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TOSHIBA TW-BL70A2UZ(SS) (6 კგ)</t>
  </si>
  <si>
    <t xml:space="preserve">TW-BL70A2UZ</t>
  </si>
  <si>
    <t xml:space="preserve">https://superi.ge/toshiba-tw-bl70a2uz-ss-6/</t>
  </si>
  <si>
    <t xml:space="preserve">• ჩატვირთვის ტიპი ფრონტალური • მაქსიმალური ჩატვირთვა 6 კგ • ძრავის ტიპი ინვერტორული • ენერგოეფექტურობის კლასი A+++ • ბრუნვის მაქსიმალური სიჩქარე 1200 ბრ/წთ • მა...</t>
  </si>
  <si>
    <t xml:space="preserve">შეიძინეთ სარეცხი მანქანა TOSHIBA TW-BL70A2UZ(SS) (6 კგ)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</si>
  <si>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VESTFROST VW712FT2W</t>
  </si>
  <si>
    <t xml:space="preserve">129049</t>
  </si>
  <si>
    <t xml:space="preserve">https://superi.ge/vestfrost-vw712ft2w/</t>
  </si>
  <si>
    <t xml:space="preserve">• ჩატვირთვის ტიპი ფრონტალური • სარეცხის მაქსიმალური ჩატვირთვა 7 კგ • ბრუნვის მაქსიმალური სიჩქარე 1200 ბრ/წთ • ენერგომოხმარების კლასი A • რეცხვის კლასი A • გაწურ...</t>
  </si>
  <si>
    <t xml:space="preserve">შეიძინეთ სარეცხი მანქანა VESTFROST VW712FT2W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</si>
  <si>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საყინულე HISENSE FC-26DD4SA</t>
  </si>
  <si>
    <t xml:space="preserve">FC-26DD4SA</t>
  </si>
  <si>
    <t xml:space="preserve">https://superi.ge/hisense-fc-26dd4sa/</t>
  </si>
  <si>
    <t xml:space="preserve">• ტიპი ჰორიზონტალური • მართვის ტიპი მექანიკური მახასიათებლები • საერთო მოცულობა 198 ლ • ენერგომოხმარების კლასი A+ • ტემპერატურის დიაპაზონი -6° - +18 °C ფიზიკური...</t>
  </si>
  <si>
    <t xml:space="preserve">შეიძინეთ საყინულე HISENSE FC-26DD4SA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</si>
  <si>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ჩასაშენებელი ღუმელი MIDEA MO 37001 GB</t>
  </si>
  <si>
    <t xml:space="preserve">S26640</t>
  </si>
  <si>
    <t xml:space="preserve">https://superi.ge/midea-mo-37001-gb/</t>
  </si>
  <si>
    <t xml:space="preserve">• ტიპი ჩასაშენებელი • ღუმელის ტიპი ელექტრო • მოცულობა 65 ლ • მართვის ტიპი მექანიკური • ენერგომოხმარების კლასი A • სიმძლავრე გრილი 2038 W • სიმძლავრე კონვექცია 2...</t>
  </si>
  <si>
    <t xml:space="preserve">შეიძინეთ ჩასაშენებელი ღუმელი MIDEA MO 37001 GB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</si>
  <si>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გენერატორი DINGQI 108010</t>
  </si>
  <si>
    <t xml:space="preserve">206676</t>
  </si>
  <si>
    <t xml:space="preserve">https://superi.ge/dingqi-108010/</t>
  </si>
  <si>
    <t xml:space="preserve">• საწვავის ტიპი ბენზინი • სიმძლავრე 1000 W ფიზიკური პარამეტრები • ძაბვა 220 V 50 Hz • მუდმივი დენის ძალა 12 V / 8 3 A • ფერი ნარინჯისფერი</t>
  </si>
  <si>
    <t xml:space="preserve">შეიძინეთ გენერატორი DINGQI 108010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</si>
  <si>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კარკასული აუზი BESTWAY 56424 (5700 ლტ)</t>
  </si>
  <si>
    <t xml:space="preserve">171098</t>
  </si>
  <si>
    <t xml:space="preserve">https://superi.ge/bestway-56424/</t>
  </si>
  <si>
    <t xml:space="preserve">• ტიპი კარკასული • მოცულობა 5700 ლ დამატებითი მახ ასიათებლები • ფორმა მართკუთხედი • დამცავი სარქვ ელი • მაღალი ხარისხი • დახვეწილი დიზაინი ფიზიკურ ი პარამეტრები...</t>
  </si>
  <si>
    <t xml:space="preserve">შეიძინეთ კარკასული აუზი BESTWAY 56424 (5700 ლტ)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</si>
  <si>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ღუმელი EVII RK 1237 RETRO BLACK</t>
  </si>
  <si>
    <t xml:space="preserve">RS1237</t>
  </si>
  <si>
    <t xml:space="preserve">https://superi.ge/evii-rk-1237-retro-black/</t>
  </si>
  <si>
    <t xml:space="preserve">• ტიპი ელექტრო • რეტრო დიზაინი • რეჟიმების რაოდენობა 6 + 1 • მართვის ტიპი მექანიკური • სამართავი პანელი შუშის ჩასამალი სახელურებით დამატებითი მახასიათებლები • ა...</t>
  </si>
  <si>
    <t xml:space="preserve">შეიძინეთ ღუმელი EVII RK 1237 RETRO BLACK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</si>
  <si>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Samsung SM-A085F Galaxy A08 6GB/128GB LTE Duos dark blue მობილური ტელეფონი</t>
  </si>
  <si>
    <t xml:space="preserve">S93108</t>
  </si>
  <si>
    <t xml:space="preserve">ტექნიკა &gt; ტელეფონები, ტაბლეტები, ელექტრონული წიგნები &gt; მობილური ტელეფონები</t>
  </si>
  <si>
    <t xml:space="preserve">https://superi.ge/samsung-sm-a085f-galaxy-a08-6gb-128gb-lte-duos-dark-blue/</t>
  </si>
  <si>
    <t xml:space="preserve">ზოგადი ინფორმაცია • ბრენდი Samsung • მოდელი SM-A085F • სერია Galaxy A08 • ტიპი სმარტფონი • ორი SIM-ბარათის მხარდაჭერა დიახ • SIM ტიპი Nano-SIM + Nano-SIM • მობი...</t>
  </si>
  <si>
    <t xml:space="preserve">შეიძინეთ Samsung SM-A085F Galaxy A08 6GB/128GB LTE Duos dark blue მობილური ტელეფონი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</si>
  <si>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ბაღის ხის ავეჯის კომპლექტი</t>
  </si>
  <si>
    <t xml:space="preserve">17051330</t>
  </si>
  <si>
    <t xml:space="preserve">https://superi.ge/product-8896/</t>
  </si>
  <si>
    <t xml:space="preserve">ბაღის ხის ავეჯის კომპლექტიბაღის ავეჯის კომპლექტიმაღალი ხარისხის აკაციის ხისგან დამზადებული გამოირჩევა არა მხოლოდ ბუნებრივი სილამაზითა და თბილი თაფლისფერი შეფერი...</t>
  </si>
  <si>
    <t xml:space="preserve">შეიძინეთ ბაღის ხის ავეჯის კომპლექტი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</si>
  <si>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VESTEL W610T2DS</t>
  </si>
  <si>
    <t xml:space="preserve">S28338</t>
  </si>
  <si>
    <t xml:space="preserve">https://superi.ge/vestel-w610t2ds/</t>
  </si>
  <si>
    <t xml:space="preserve">• ჩატვირთვის ტიპი ფრონტალური • სარეცხის მაქსიმალური ჩატვირთვა 6 კგ • ბრუნვის მაქსიმალური სიჩქარე 1000 ბრ/წთ • ენერგომოხმარების კლასი A+++ • მართვის ტიპი ელექტრო...</t>
  </si>
  <si>
    <t xml:space="preserve">შეიძინეთ სარეცხი მანქანა VESTEL W610T2DS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</si>
  <si>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TCL 43S5400A 2023 (109სმ)</t>
  </si>
  <si>
    <t xml:space="preserve">144126</t>
  </si>
  <si>
    <t xml:space="preserve">https://superi.ge/tcl-43s5400a-2023-109/</t>
  </si>
  <si>
    <t xml:space="preserve">• ტელევიზორის კლასი LED TV • ეკრანის დიაგონალი 43 109სმ • ეკრანის გაფართოება Full HD 1920 x 1080 • Smart ტექნოლოგია კი • ოპერაციული სისტემა Google TV ვიდეო • გა...</t>
  </si>
  <si>
    <t xml:space="preserve">შეიძინეთ ტელევიზორი TCL 43S5400A 2023 (109სმ)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</si>
  <si>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ტოსტერი SMEG TSF01BLEU BLACK</t>
  </si>
  <si>
    <t xml:space="preserve">I89938</t>
  </si>
  <si>
    <t xml:space="preserve">ტექნიკა &gt; სამზარეულოს ტექნიკა &gt; ტოსტერი</t>
  </si>
  <si>
    <t xml:space="preserve">https://superi.ge/smeg-tsf01bleu-black/</t>
  </si>
  <si>
    <t xml:space="preserve">• სიმძლავრე 950 W • რეჟიმების რაოდენობა 6 • განყოფილებების რაოდენობა 2 • განყოფილების ჭრილის სიგანე 36 მმ • მართვის ტიპი ელექტრონული ღილაკებით ფუნქციები და მახა...</t>
  </si>
  <si>
    <t xml:space="preserve">შეიძინეთ ტოსტერი SMEG TSF01BLEU BLACK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</si>
  <si>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საქანელა GUSWING (17051234)</t>
  </si>
  <si>
    <t xml:space="preserve">226992</t>
  </si>
  <si>
    <t xml:space="preserve">https://superi.ge/guswing-17051234/</t>
  </si>
  <si>
    <t xml:space="preserve">• ტიპი სამადგილიანი საქანელა • მწარმოებელი ქვეყანა ჩინეთი • პოზიციების რაოდენობა 1 ფიზიკური პარამეტრები • მასალა ლითონი პოლიესტერი • ზომა სიგანე/სიღრმე/სიმაღლე ...</t>
  </si>
  <si>
    <t xml:space="preserve">შეიძინეთ საქანელა GUSWING (17051234)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</si>
  <si>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VOX KG 2500 BF</t>
  </si>
  <si>
    <t xml:space="preserve">226452</t>
  </si>
  <si>
    <t xml:space="preserve">https://superi.ge/vox-kg-2500-bf/</t>
  </si>
  <si>
    <t xml:space="preserve">• ტიპი ორკამერიანი • საერთო სასარგებლო მოცულობა 213 ლ • მაცივრის კამერის სასარგებლო მოცულობა 171 ლ • საყინულე კამერის სასარგებლო მოცულობა 42 ლ • საყინულე კამერი...</t>
  </si>
  <si>
    <t xml:space="preserve">შეიძინეთ მაცივარი VOX KG 2500 BF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</si>
  <si>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VESTFROST VW510FF4W</t>
  </si>
  <si>
    <t xml:space="preserve">207892</t>
  </si>
  <si>
    <t xml:space="preserve">https://superi.ge/vestfrost-vw510ff4w/</t>
  </si>
  <si>
    <t xml:space="preserve">• ჩატვირთვის ტიპი ფრონტალური • სარეცხის მაქსიმალური ჩატვირთვა 5 კგ • ბრუნვის მაქსიმალური სიჩქარე 1000 ბრ/წთ • ენერგომოხმარების კლასი A ++ • რეცხვის კლასი A • გა...</t>
  </si>
  <si>
    <t xml:space="preserve">შეიძინეთ სარეცხი მანქანა VESTFROST VW510FF4W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</si>
  <si>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საკერავი მანქანა BROTHER ARTWORK 33A</t>
  </si>
  <si>
    <t xml:space="preserve">174398</t>
  </si>
  <si>
    <t xml:space="preserve">https://superi.ge/brother-artwork-33a/</t>
  </si>
  <si>
    <t xml:space="preserve">• ტიპი ელექტრომექანიკური • ჰორიზონტალური მაქო • სიმძლავრე 51 W • კერვის ოპერაციების რაოდენობა 27 ფუნქციები და მახასიათებლები • ზედა ძაფის ავტომატური შევსების მო...</t>
  </si>
  <si>
    <t xml:space="preserve">შეიძინეთ საკერავი მანქანა BROTHER ARTWORK 33A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</si>
  <si>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საკერავი მანქანა BROTHER VITRAGE M77</t>
  </si>
  <si>
    <t xml:space="preserve">177461</t>
  </si>
  <si>
    <t xml:space="preserve">https://superi.ge/brother-vitrage-m77/</t>
  </si>
  <si>
    <t xml:space="preserve">• ტიპი ელექტრომექანიკური • სიმძლავრე 51 W • ჰორიზონტალური მაქო • კერვის ოპერაციების რაოდენობა 27 ფუნქციები და მახასიათებლები • მარყუჟის გაკეთება ავტომატური • ნა...</t>
  </si>
  <si>
    <t xml:space="preserve">შეიძინეთ საკერავი მანქანა BROTHER VITRAGE M77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</si>
  <si>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ჰაერის კომპრესორი HECHT 2026</t>
  </si>
  <si>
    <t xml:space="preserve">212866</t>
  </si>
  <si>
    <t xml:space="preserve">https://superi.ge/hecht-2026/</t>
  </si>
  <si>
    <t xml:space="preserve">• ტიპი კომპრესორი • ბრენდი HECHT • სიმძლავრე 1500 W • ძრავის სიჩქარე 2800 rpm • მოცულობა 24 ლ • მაქსიმალური წნევა 0 8 Mpa • ჰაერის გამოშვების მოცულობა 184 ლ/წთ ...</t>
  </si>
  <si>
    <t xml:space="preserve">შეიძინეთ ჰაერის კომპრესორი HECHT 2026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</si>
  <si>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გაზის გამათბობელი AKOG 4 SP (40 მ²) BLACK</t>
  </si>
  <si>
    <t xml:space="preserve">S81078</t>
  </si>
  <si>
    <t xml:space="preserve">https://superi.ge/akog-4-sp-40-black/</t>
  </si>
  <si>
    <t xml:space="preserve">• ტიპი კედლის • რეკომინდებული ფართი 40 მ² • სიმძლავრე 4 kW • წვის კამერის ტიპი დახურული • ანთება პიეზო სანთებელა • თბოგადამცემლის მასალა ფოლადი • კვამლსადენის ტ...</t>
  </si>
  <si>
    <t xml:space="preserve">შეიძინეთ გაზის გამათბობელი AKOG 4 SP (40 მ²) BLACK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</si>
  <si>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ბაღის ავეჯის კომპლექტი Trenton balcony capc + NW oat 008 std</t>
  </si>
  <si>
    <t xml:space="preserve">17051487</t>
  </si>
  <si>
    <t xml:space="preserve">https://superi.ge/trenton-balcony-capc-nw-oat-008-std/</t>
  </si>
  <si>
    <t xml:space="preserve">ბაღის ავეჯის კომპლექტი Trenton balcony capc + NW oat 008 stdდახვეწილი და ელეგანტური ავეჯის კომპლექტი იდეალურია ვერანდისთვის ბაღისთვის მდგრადია ამინდის პირობების...</t>
  </si>
  <si>
    <t xml:space="preserve">შეიძინეთ ბაღის ავეჯის კომპლექტი Trenton balcony capc + NW oat 008 std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</si>
  <si>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გაზის გამათბობელი AKOG 3 SP (35 მ²) BEIGE</t>
  </si>
  <si>
    <t xml:space="preserve">S32597</t>
  </si>
  <si>
    <t xml:space="preserve">https://superi.ge/akog-3-sp-35-beige/</t>
  </si>
  <si>
    <t xml:space="preserve">• ტიპი კედლის • რეკომინდებული ფართი 35 მ² • სიმძლავრე 3 kW • წვის კამერის ტიპი დახურული • ანთება პიეზო სანთებელა • თბოგადამცემლის მასალა ფოლადი • კვამლსადენის ტ...</t>
  </si>
  <si>
    <t xml:space="preserve">შეიძინეთ გაზის გამათბობელი AKOG 3 SP (35 მ²) BEIGE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</si>
  <si>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გაზის გამათბობელი AKOG 3 SP (35მ²) GRAPHITE</t>
  </si>
  <si>
    <t xml:space="preserve">S69118</t>
  </si>
  <si>
    <t xml:space="preserve">https://superi.ge/akog-3-sp-35-graphite/</t>
  </si>
  <si>
    <t xml:space="preserve">• მონტაჟის ტიპი კედლის • რეკომინდებული ფართი 35 მ² • სიმძლავრე 3 kW • წვის კამერის ტიპი დახურული • ანთება პიეზო სანთებელა • მოხმარებადი აირის ტიპი ბუნებრივი/თხე...</t>
  </si>
  <si>
    <t xml:space="preserve">შეიძინეთ გაზის გამათბობელი AKOG 3 SP (35მ²) GRAPHITE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</si>
  <si>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გაზის გამათბობელი AKOG 5 H (60 მ²) BEIGE</t>
  </si>
  <si>
    <t xml:space="preserve">CT0000005495</t>
  </si>
  <si>
    <t xml:space="preserve">https://superi.ge/akog-5-h-60-beige/</t>
  </si>
  <si>
    <t xml:space="preserve">• ტიპი კედლის • რეკომინდებული ფართი 60 მ² • სიმძლავრე 5 kW • წვის კამერის ტიპი დახურული • ანთება პიეზო სანთებელა • თბოგადამცემლის მასალა ფოლადი • კვამლსადენის ტ...</t>
  </si>
  <si>
    <t xml:space="preserve">შეიძინეთ გაზის გამათბობელი AKOG 5 H (60 მ²) BEIGE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</si>
  <si>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აუზი INTEX 28273</t>
  </si>
  <si>
    <t xml:space="preserve">148537</t>
  </si>
  <si>
    <t xml:space="preserve">https://superi.ge/intex-28273/</t>
  </si>
  <si>
    <t xml:space="preserve">• მოცულობა 7127 ლიტრი • ზომები 450 x 220 x84 სმ • წონა 39 კგ • ფერი ლურჯი</t>
  </si>
  <si>
    <t xml:space="preserve">შეიძინეთ აუზი INTEX 28273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</si>
  <si>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ჰაერის კომპრესორი RONIX RC-5010</t>
  </si>
  <si>
    <t xml:space="preserve">222884</t>
  </si>
  <si>
    <t xml:space="preserve">https://superi.ge/ronix-rc-5010/</t>
  </si>
  <si>
    <t xml:space="preserve">• სიმძლავრე 1 49 KW 2HP • ძრავის სიჩქარე 2800 ბრ/წთ • რეზერვუარის მოცულობა 50 ლ • მაქსიმალური წნევა 8bar/116psi • ჰაერის მიწოდება 200 ლ/წთ დამატებითი მახასიათებ...</t>
  </si>
  <si>
    <t xml:space="preserve">შეიძინეთ ჰაერის კომპრესორი RONIX RC-5010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</si>
  <si>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HOFFMANN EOAC-9K (20-30 მ²)</t>
  </si>
  <si>
    <t xml:space="preserve">TM-MT-BMT-1198-AC-1257</t>
  </si>
  <si>
    <t xml:space="preserve">https://superi.ge/hoffmann-eoac-9k-20-30/</t>
  </si>
  <si>
    <t xml:space="preserve">• მწარმოებელი HOFFMANN • ტიპი კედლის სპლიტ-სისტემა • ელექტროენერგიის მოხმარების კლასი A • ძრავის ტიპი ON/OFF • რეკომენდირებული ფართი 20-30 მ²-მდე • ფრეონის ტიპი...</t>
  </si>
  <si>
    <t xml:space="preserve">შეიძინეთ კონდიციონერი HOFFMANN EOAC-9K (20-30 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</si>
  <si>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მიკროტალღური ღუმელი SAMSUNG MS23A7118AW/BW</t>
  </si>
  <si>
    <t xml:space="preserve">237816</t>
  </si>
  <si>
    <t xml:space="preserve">https://superi.ge/samsung-ms23a7118aw-bw/</t>
  </si>
  <si>
    <t xml:space="preserve">• ტიპი ჩასაშენებელი • მართვის ტიპი ელექტრონული / სენსორული • სიმძლავრე 800 W • მოცულობა 23 ლ • სიმძლავრის დონეების რაოდენობა 6 • ენერგომოხმარება 1150 W მახასიათ...</t>
  </si>
  <si>
    <t xml:space="preserve">შეიძინეთ მიკროტალღური ღუმელი SAMSUNG MS23A7118AW/BW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</si>
  <si>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ნაძვის ხე SUPER ნორვეგია 270 სმ (VC-270)</t>
  </si>
  <si>
    <t xml:space="preserve">237601</t>
  </si>
  <si>
    <t xml:space="preserve">https://superi.ge/super-270-vc-270/</t>
  </si>
  <si>
    <t xml:space="preserve">• ტიპი გრძელი გირჩებით • აწყობის ტიპი გადმოსაშლელი ავტომატური • მარტივად ასაწყობი კონსტრუქცია • დაბურვის სიხშირე საშუალო კომპლექტაცია • სადგამი • x 3 ხრახნი ფიზ...</t>
  </si>
  <si>
    <t xml:space="preserve">შეიძინეთ ნაძვის ხე SUPER ნორვეგია 270 სმ (VC-270)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</si>
  <si>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DAEWOO WM610T1WU0GE (6კგ)</t>
  </si>
  <si>
    <t xml:space="preserve">I92638</t>
  </si>
  <si>
    <t xml:space="preserve">https://superi.ge/daewoo-wm610t1wu0ge-6/</t>
  </si>
  <si>
    <t xml:space="preserve">• ჩატვირთვის ტიპი ფრონტალური • სარეცხის მაქსიმალური ჩატვირთვა 6 კგ • ბრუნვის მაქსიმალური სიჩქარე 1200 ბრ/წთ • ენერგომოხმარების კლასი A+++ • მართვის ტიპი ელექტრო...</t>
  </si>
  <si>
    <t xml:space="preserve">შეიძინეთ სარეცხი მანქანა DAEWOO WM610T1WU0GE (6კგ)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</si>
  <si>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VESTEL W508T1</t>
  </si>
  <si>
    <t xml:space="preserve">217822</t>
  </si>
  <si>
    <t xml:space="preserve">https://superi.ge/vestel-w508t1/</t>
  </si>
  <si>
    <t xml:space="preserve">• ჩატვირთვის ტიპი ფრონტალური • სარეცხის მაქსიმალური ჩატვირთვა 5 კგ • ბრუნვის მაქსიმალური სიჩქარე 800 ბრ/წთ • ენერგომოხმარების კლასი A+++ • დოლურის მოცულობა 44 ლ...</t>
  </si>
  <si>
    <t xml:space="preserve">შეიძინეთ სარეცხი მანქანა VESTEL W508T1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</si>
  <si>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საქანელა PATIO TORA H031-05PB (17050907)</t>
  </si>
  <si>
    <t xml:space="preserve">226985</t>
  </si>
  <si>
    <t xml:space="preserve">https://superi.ge/patio-tora-h031-05pb-17050907/</t>
  </si>
  <si>
    <t xml:space="preserve">• ტიპი სამადგილიანი საქანელა • მაქსიმალური დატვირთვა 250 კგ • მწარმოებელი ქვეყანა პოლონეთი • რბილი საზურგე / სავარძელი კომპლექტაცია • ტენტი • საქანელა ფიზიკური ...</t>
  </si>
  <si>
    <t xml:space="preserve">შეიძინეთ საქანელა PATIO TORA H031-05PB (17050907)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</si>
  <si>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ქურის ზედაპირი MIDEA MG631GAB</t>
  </si>
  <si>
    <t xml:space="preserve">S87832</t>
  </si>
  <si>
    <t xml:space="preserve">https://superi.ge/midea-mg631gab/</t>
  </si>
  <si>
    <t xml:space="preserve">• ზედაპირის ტიპი კომბინირებული • მართვის ტიპი მექანიკური • კომფორების რაოდენობა 4 • კომფორის სიმძლავრე წინა მარცხენა 1 75 kW • კომფორის სიმძლავრე წინა მარჯვენა ...</t>
  </si>
  <si>
    <t xml:space="preserve">შეიძინეთ ქურის ზედაპირი MIDEA MG631GAB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</si>
  <si>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ჩასაშენებელი ღუმელი VOX EBB6505</t>
  </si>
  <si>
    <t xml:space="preserve">209900</t>
  </si>
  <si>
    <t xml:space="preserve">https://superi.ge/vox-ebb6505/</t>
  </si>
  <si>
    <t xml:space="preserve">• ჩასაშენებელი ღუმელი ელექტრო • ღუმელის საერთო სასარგებლო მოცულობა 69 ლ • ენერგიის მაქსიმალური მოხმარება 3100 W • ენერგიის მოხმარება - სტანდარტული 0 87 კვტ/სთ •...</t>
  </si>
  <si>
    <t xml:space="preserve">შეიძინეთ ჩასაშენებელი ღუმელი VOX EBB6505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</si>
  <si>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VESTFROST VW48FF2W</t>
  </si>
  <si>
    <t xml:space="preserve">211455</t>
  </si>
  <si>
    <t xml:space="preserve">https://superi.ge/vestfrost-vw48ff2w/</t>
  </si>
  <si>
    <t xml:space="preserve">• ჩატვირთვის ტიპი ფრონტალური • სარეცხის მაქსიმალური ჩატვირთვა 4 კგ • ბრუნვის მაქსიმალური სიჩქარე 800 ბრ/წთ • ენერგომოხმარების კლასი A+ • რეცხვის სიმძლავრე 4 • რ...</t>
  </si>
  <si>
    <t xml:space="preserve">შეიძინეთ სარეცხი მანქანა VESTFROST VW48FF2W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</si>
  <si>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გაზის გამათბობელი ERSEL EHS 5000 KS (60-80 მ²) BLACK</t>
  </si>
  <si>
    <t xml:space="preserve">198897</t>
  </si>
  <si>
    <t xml:space="preserve">https://superi.ge/ersel-ehs-5000-ks-60-80-black/</t>
  </si>
  <si>
    <t xml:space="preserve">• მონტაჟის ტიპი კედლის • რეკომენდებული ფართი 60-80 მ² • სიმძლავრე 5 kW • წვის კამერის ტიპი დახურული • ანთება პიეზო სანთებელა • მექანიზმი იტალიური ანთების სისტემ...</t>
  </si>
  <si>
    <t xml:space="preserve">შეიძინეთ გაზის გამათბობელი ERSEL EHS 5000 KS (60-80 მ²) BLACK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</si>
  <si>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გამწოვი BEKO CWB 6410 CR</t>
  </si>
  <si>
    <t xml:space="preserve">S37859</t>
  </si>
  <si>
    <t xml:space="preserve">https://superi.ge/beko-cwb-6410-cr/</t>
  </si>
  <si>
    <t xml:space="preserve">• გამწოვის ტიპი გუმბათოვანი • მონტაჟი კედელზე დასამონტაჟებელი • მუშაობის რეჟიმები გატანა და რეცირკულაცია • წარმადობა 430 მ³/სთ • სიგანე 60 სმ • სიჩქარეების რაოდ...</t>
  </si>
  <si>
    <t xml:space="preserve">შეიძინეთ გამწოვი BEKO CWB 6410 CR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</si>
  <si>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ელექტრო ჩაიდანი SMEG KLF03BLEU BLACK</t>
  </si>
  <si>
    <t xml:space="preserve">S73634</t>
  </si>
  <si>
    <t xml:space="preserve">https://superi.ge/smeg-klf03bleu-black/</t>
  </si>
  <si>
    <t xml:space="preserve">• ტიპი სტანდარტული • სიმძლავრე 2400 W • მოცულობა 1 7 ლ • მართვის ტიპი მექანიკური/ელექტრონული მახასიათებლები • წყლის დონის ინდიკატორი • ფილტრი უჟანგავი ფოლადი • ...</t>
  </si>
  <si>
    <t xml:space="preserve">შეიძინეთ ელექტრო ჩაიდანი SMEG KLF03BLEU BLACK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</si>
  <si>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მტვერსასრუტი BOSCH BGC21HYG1</t>
  </si>
  <si>
    <t xml:space="preserve">S48011</t>
  </si>
  <si>
    <t xml:space="preserve">https://superi.ge/bosch-bgc21hyg1/</t>
  </si>
  <si>
    <t xml:space="preserve">• ტიპი კონტეინერით • მტვრის კონტეინერის მოცულობა 2 ლ • დასუფთავების რადიუსი 10 მ • დასუფთავების ტიპი მშრალი მახასიათებლები • ჩართვა / გამორთვის ღილაკი • მილის ტ...</t>
  </si>
  <si>
    <t xml:space="preserve">შეიძინეთ მტვერსასრუტი BOSCH BGC21HYG1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</si>
  <si>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სარეცხი მანქანა Marazzi WM701FL22(S/DG)</t>
  </si>
  <si>
    <t xml:space="preserve">7088951</t>
  </si>
  <si>
    <t xml:space="preserve">https://superi.ge/marazzi-wm701fl22-s-dg/</t>
  </si>
  <si>
    <t xml:space="preserve">ბრენდი MARAZZI მოდელი WM701FL22 S/DG პროდუქტის ტიპი სარეცხი მანქანამაქსიმალური ჩატვირთვა 7კგკლასი A++ბრუნვის სიჩქარე 1000დისპლეი LED პროგრამების რაოდენობა 12სწრ...</t>
  </si>
  <si>
    <t xml:space="preserve">შეიძინეთ სარეცხი მანქანა Marazzi WM701FL22(S/DG)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</si>
  <si>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საყინულე ARDESTO FRM-200ECM (195ლ)</t>
  </si>
  <si>
    <t xml:space="preserve">FRM-200ECM</t>
  </si>
  <si>
    <t xml:space="preserve">https://superi.ge/ardesto-frm-200ecm-195/</t>
  </si>
  <si>
    <t xml:space="preserve">• ბრენდი Ardesto • მოდელი FRM-200ECM • პროდუქტის ტიპი საყინულე • ტიპი ჰორიზონტალური • საერთო მოცულობა 198 ლიტრი • გალღობის სისტემა სტატიკური • საყინულის მუშაობი...</t>
  </si>
  <si>
    <t xml:space="preserve">შეიძინეთ საყინულე ARDESTO FRM-200ECM (195ლ)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</si>
  <si>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ტოსტერი SMEG TSF01PGEU PASTEL GREEN</t>
  </si>
  <si>
    <t xml:space="preserve">S52894</t>
  </si>
  <si>
    <t xml:space="preserve">https://superi.ge/smeg-tsf01pgeu-pastel-green/</t>
  </si>
  <si>
    <t xml:space="preserve">• სიმძლავრე 950 W • რეჟიმების რაოდენობა 6 • მართვის ტიპი ელექტრონული ღილაკებით • განყოფილებების რაოდენობა 2 • განყოფილების ჭრილის სიგანე 36 მმ ფუნქციები და მახა...</t>
  </si>
  <si>
    <t xml:space="preserve">შეიძინეთ ტოსტერი SMEG TSF01PGEU PASTEL GREEN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</si>
  <si>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ქურის ზედაპირი BEKO HINW 64229 S</t>
  </si>
  <si>
    <t xml:space="preserve">S53823</t>
  </si>
  <si>
    <t xml:space="preserve">https://superi.ge/beko-hinw-64229-s/</t>
  </si>
  <si>
    <t xml:space="preserve">• ზედაპირის ტიპი გაზის • კონფორების რაოდენობა 4 • სიმძლავრე 9500 W კონფორები • მარცხენა წინა კონფორი 5000 W • მარცხენა უკანა კონფორი 1750 W • წინა მარჯვენა კონფ...</t>
  </si>
  <si>
    <t xml:space="preserve">შეიძინეთ ქურის ზედაპირი BEKO HINW 64229 S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</si>
  <si>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ველოსიპედი TRINX JUNIOR 3.0</t>
  </si>
  <si>
    <t xml:space="preserve">174872</t>
  </si>
  <si>
    <t xml:space="preserve">https://superi.ge/trinx-junior-3-0/</t>
  </si>
  <si>
    <t xml:space="preserve">• ტიპი საბავშვო • საბურავის დიამეტრი 20 • ჩარჩო TRINX 20” x 11” • სიჩქარეების რაოდენობა 7 • დისკის ტიპი ღეროვანი მახასიათებლები • ჯაჭვი KMC • ჯაჭვის კბილანა TRI...</t>
  </si>
  <si>
    <t xml:space="preserve">შეიძინეთ ველოსიპედი TRINX JUNIOR 3.0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</si>
  <si>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საკერავი მანქანა JANOME 1547</t>
  </si>
  <si>
    <t xml:space="preserve">184167</t>
  </si>
  <si>
    <t xml:space="preserve">https://superi.ge/janome-1547/</t>
  </si>
  <si>
    <t xml:space="preserve">• ტიპი ელექტრომექანიკური • ვერტიკალური მაქო • კერვის ოპერაციების რაოდენობა 25 • სილძლავრე 60W ფუნქციები და მახასიათებლები • მარყუჟის გაკეთება ავტომატური • LED გ...</t>
  </si>
  <si>
    <t xml:space="preserve">შეიძინეთ საკერავი მანქანა JANOME 1547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</si>
  <si>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გაზის გამათბობელი AKOG 2 SP (25მ²) BEIGE</t>
  </si>
  <si>
    <t xml:space="preserve">S39990</t>
  </si>
  <si>
    <t xml:space="preserve">https://superi.ge/akog-2-sp-25-beige/</t>
  </si>
  <si>
    <t xml:space="preserve">• ტიპი კედელზე დასამონტაჟებელი • მოხმარებადი აირის ტიპი ბუნებრივი აირი თხევადი გაზი • რეკომენდირებული ფართი 25 მ² • გათბობის მაქსიმალური სიმძლავრე 2 3 kW • წვის...</t>
  </si>
  <si>
    <t xml:space="preserve">შეიძინეთ გაზის გამათბობელი AKOG 2 SP (25მ²) BEIGE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</si>
  <si>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გაზის გამათბობელი AKOG 2SP (25 მ²) BLACK</t>
  </si>
  <si>
    <t xml:space="preserve">S75216</t>
  </si>
  <si>
    <t xml:space="preserve">https://superi.ge/akog-2sp-25-black/</t>
  </si>
  <si>
    <t xml:space="preserve">• ტიპი კედლის • რეკომინდებული ფართი 25 მ² • სიმძლავრე 2 3 kW • წვის კამერის ტიპი დახურული • ანთება პიეზო სანთებელა • თბოგადამცემლის მასალა ფოლადი • კვამლსადენის...</t>
  </si>
  <si>
    <t xml:space="preserve">შეიძინეთ გაზის გამათბობელი AKOG 2SP (25 მ²) BLACK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</si>
  <si>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გაზქურა MILLEN FT6400GBZB</t>
  </si>
  <si>
    <t xml:space="preserve">SA0000008034</t>
  </si>
  <si>
    <t xml:space="preserve">https://superi.ge/millen-ft6400gbzb/</t>
  </si>
  <si>
    <t xml:space="preserve">• ტიპი კომბინირებული • მართვის ტიპი მექანიკური • კონფორები 4 • ელექტრონული ანთება • ზედაპირის მასალა ემალი • ქურის თავსახური მინა • ცხაურის მასალა ემალირებული მ...</t>
  </si>
  <si>
    <t xml:space="preserve">შეიძინეთ გაზქურა MILLEN FT6400GBZB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</si>
  <si>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გაზქურა VOX GTR 6400W</t>
  </si>
  <si>
    <t xml:space="preserve">WE0000003538</t>
  </si>
  <si>
    <t xml:space="preserve">https://superi.ge/vox-gtr-6400w/</t>
  </si>
  <si>
    <t xml:space="preserve">მახასიათებლები • ღუმელის ტიპი ელექტრო • კონტროლის ტიპი მექანიკური • ღუმელის მოცულობა 65 ლ • ენერგოეფექტურობის კლასი A • ღუმელის ფუნქციების რაოდენობა 8 • ტაიმერი...</t>
  </si>
  <si>
    <t xml:space="preserve">შეიძინეთ გაზქურა VOX GTR 6400W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</si>
  <si>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ქურის ზედაპირი ELECTROLUX EGS6436SX</t>
  </si>
  <si>
    <t xml:space="preserve">142164</t>
  </si>
  <si>
    <t xml:space="preserve">https://superi.ge/electrolux-egs6436sx/</t>
  </si>
  <si>
    <t xml:space="preserve">• ზედაპირის ტიპი გაზის • კონფორების რაოდენობა 4 • სიმძლავრე 8000 W • ძაბვა 220-240 V კონფორები • მარცხენა წინა კონფორი 128 მმ 4000 W • მარცხენა უკანა კონფორი 70...</t>
  </si>
  <si>
    <t xml:space="preserve">შეიძინეთ ქურის ზედაპირი ELECTROLUX EGS6436SX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</si>
  <si>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მრავალფუნქციური მოწყობილობა HP LASER MFP 137FNW (4ZB84A)</t>
  </si>
  <si>
    <t xml:space="preserve">S47156</t>
  </si>
  <si>
    <t xml:space="preserve">https://superi.ge/hp-laser-mfp-137fnw-4zb84a/</t>
  </si>
  <si>
    <t xml:space="preserve">• ფუნქციები ბეჭდვა ასლის გადაღება სკანირება • ბეჭდვის ტექნოლოგია ლაზერული • ბეჭდვის ტიპი შავ-თეთრი • დისპლეი ორხაზიანი თხევად კრისტალური LCD • ყოველთვიური შესაძ...</t>
  </si>
  <si>
    <t xml:space="preserve">შეიძინეთ მრავალფუნქციური მოწყობილობა HP LASER MFP 137FNW (4ZB84A)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</si>
  <si>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საკერავი მანქანა SINGER STANDARD SMC 8280/00</t>
  </si>
  <si>
    <t xml:space="preserve">158049</t>
  </si>
  <si>
    <t xml:space="preserve">https://superi.ge/singer-standard-smc-8280-00/</t>
  </si>
  <si>
    <t xml:space="preserve">• ტიპი ელექტრომექანიკური • ვერტიკალური მაქო • ჩაშენებული გვირისტების რაოდენობა 7 ფუნქციები და მახასიათებლები • მოსახერხებელი მართვის პანელი • გვირისტის მარტივი ...</t>
  </si>
  <si>
    <t xml:space="preserve">შეიძინეთ საკერავი მანქანა SINGER STANDARD SMC 8280/00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</si>
  <si>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აეროგრილი FRANKO FIG-9002</t>
  </si>
  <si>
    <t xml:space="preserve">FIG-9002</t>
  </si>
  <si>
    <t xml:space="preserve">https://superi.ge/franko-fig-9002/</t>
  </si>
  <si>
    <t xml:space="preserve">• ტიპი შიდა მოხმარების გრილი • ტევადობა - ერთეულის მთლიანი მოცულობა 6 6 ლიტრი • ქვაბის მოცულობა 3 2 ლიტრი • წვის კალათა 3 3ლ • ზედა SUS გამაცხელებელი სპირალი და...</t>
  </si>
  <si>
    <t xml:space="preserve">შეიძინეთ აეროგრილი FRANKO FIG-9002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</si>
  <si>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აეროგრილი PHILIPS HD9252/90 (4.1 L)</t>
  </si>
  <si>
    <t xml:space="preserve">HD9252/90</t>
  </si>
  <si>
    <t xml:space="preserve">https://superi.ge/philips-hd9252-90-4-1-l/</t>
  </si>
  <si>
    <t xml:space="preserve">• სიმძლავრე 1400 W • მოცულობა 4 1 ლ • მართვის ტიპი ელექტრონული • ტემპერატურის დიაპაზონი 80°C - 200°C ფუნქცია და მახასიათებლები • ტაიმერი • Air Fry • მოხალვა • გ...</t>
  </si>
  <si>
    <t xml:space="preserve">შეიძინეთ აეროგრილი PHILIPS HD9252/90 (4.1 L)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</si>
  <si>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აეროგრილი TEFAL EY501D15 (4.2ლ)</t>
  </si>
  <si>
    <t xml:space="preserve">I94162</t>
  </si>
  <si>
    <t xml:space="preserve">https://superi.ge/tefal-ey501d15-4-2/</t>
  </si>
  <si>
    <t xml:space="preserve">• ბრენდი Tefal • მოდელი EY501815 • პროდუქტის ტიპი აეროგრილი • კონტროლი მექანიკური • ზედაპირის მასალა მეტალი/პლასტმასი • ეკრანის ტიპი LED • სიმძლავრე 1550 W • მო...</t>
  </si>
  <si>
    <t xml:space="preserve">შეიძინეთ აეროგრილი TEFAL EY501D15 (4.2ლ)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</si>
  <si>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გამწოვი BEKO ADV 5160 RAN</t>
  </si>
  <si>
    <t xml:space="preserve">S49039</t>
  </si>
  <si>
    <t xml:space="preserve">https://superi.ge/beko-adv-5160-ran/</t>
  </si>
  <si>
    <t xml:space="preserve">• გამწოვის ტიპი გუმბათოვანი • წარმადობა 450 მ³/სთ • მართვის ტიპი მექანიკური • სიჩქარეების რაოდენობა 3 • ხმაურის დონე 69 dB მახასიათებლები • ადვილად გასაწმენდი ფ...</t>
  </si>
  <si>
    <t xml:space="preserve">შეიძინეთ გამწოვი BEKO ADV 5160 RAN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</si>
  <si>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გამწოვი BOSCH DWP64CC20T</t>
  </si>
  <si>
    <t xml:space="preserve">S80918</t>
  </si>
  <si>
    <t xml:space="preserve">https://superi.ge/bosch-dwp64cc20t/</t>
  </si>
  <si>
    <t xml:space="preserve">• მოდელი: BOSCH DWP64CC20T • ტიპი: გუმბათოვანი • წარმადობა: 380 მ3/სთ • სიმძლავრე: 125 W • ხმაურის დონე: 64 dBA • ენერგოეფექტურობის კლასი: D</t>
  </si>
  <si>
    <t xml:space="preserve">შეიძინეთ გამწოვი BOSCH DWP64CC20T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</si>
  <si>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კონდიციონერი MILLEN MAC-09K (25-30მ²)</t>
  </si>
  <si>
    <t xml:space="preserve">S50794</t>
  </si>
  <si>
    <t xml:space="preserve">https://superi.ge/millen-mac-09k-25-30/</t>
  </si>
  <si>
    <t xml:space="preserve">• ტიპი კედლის სპლიტ-სისტემა • ენეგრო კლასი A • რეჟიმი გაგრილება/გათბობა/გამოშრობა/ცირკულაცია/AUTO • რეკომენდირებული ფართი 25-35 მ² -მდე • სიმძლავრე გაგრილების რ...</t>
  </si>
  <si>
    <t xml:space="preserve">შეიძინეთ კონდიციონერი MILLEN MAC-09K (25-30მ²)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</si>
  <si>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GORENJE RB491PW</t>
  </si>
  <si>
    <t xml:space="preserve">217515</t>
  </si>
  <si>
    <t xml:space="preserve">https://superi.ge/gorenje-rb491pw/</t>
  </si>
  <si>
    <t xml:space="preserve">• ტიპი ერთკამერიანი • მართვის ტიპი მექანიკური • საერთო მოცულობა 120 ლ • საერთო სასარგებლო მოცულობა 105 ლ • საყინულე მოცულობა 14 ლ • გაგრილების სისტემა ნახევრად ...</t>
  </si>
  <si>
    <t xml:space="preserve">შეიძინეთ მაცივარი GORENJE RB491PW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</si>
  <si>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პორტატული ელექტროსადგური EcoFlow River 2</t>
  </si>
  <si>
    <t xml:space="preserve">13044659</t>
  </si>
  <si>
    <t xml:space="preserve">https://superi.ge/ecoflow-river-2/</t>
  </si>
  <si>
    <t xml:space="preserve">დამუხტვა 0-100% მხოლოდ 60 წუთში დამუხტეთ 0-100% AC განყოფილების გამოყენებით მხოლოდ 1საათში ის 5-ჯერ უფრო სწრაფია ვიდრე ინდუსტრიის ნორმა და 38%-ით უფრო სწრაფი ვი...</t>
  </si>
  <si>
    <t xml:space="preserve">შეიძინეთ პორტატული ელექტროსადგური EcoFlow River 2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</si>
  <si>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SKYTECH STV43N9100</t>
  </si>
  <si>
    <t xml:space="preserve">202834</t>
  </si>
  <si>
    <t xml:space="preserve">https://superi.ge/skytech-stv43n9100/</t>
  </si>
  <si>
    <t xml:space="preserve">• ტელევიზორის კლასი LED TV • ეკრანის დიაგონალი 43 109 სმ • ეკრანის გაფართოება FHD 1920 x 1080 • SMART ტექნოლოგია კი • Android TV კი ვიდეო • ეკრანის განახლების ე...</t>
  </si>
  <si>
    <t xml:space="preserve">შეიძინეთ ტელევიზორი SKYTECH STV43N9100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</si>
  <si>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ქურის ზედაპირი MIDEA MG684TGW</t>
  </si>
  <si>
    <t xml:space="preserve">S53962</t>
  </si>
  <si>
    <t xml:space="preserve">https://superi.ge/midea-mg684tgw/</t>
  </si>
  <si>
    <t xml:space="preserve">• ზედაპირის ტიპი გაზის • მართვის ტიპი მექანიკური • გაზის კომფორის რაოდენობა 4 ფუნქცია და მახასიათებლები • WOK კომფორი • ავტომატური ანთება • გაზკონტროლი ფიზიკური...</t>
  </si>
  <si>
    <t xml:space="preserve">შეიძინეთ ქურის ზედაპირი MIDEA MG684TGW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</si>
  <si>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ჩასაშენებელი ქურის ზედაპირი MIDEA MG696TGB</t>
  </si>
  <si>
    <t xml:space="preserve">S82402</t>
  </si>
  <si>
    <t xml:space="preserve">https://superi.ge/midea-mg696tgb/</t>
  </si>
  <si>
    <t xml:space="preserve">• ზედაპირის ტიპი გაზის • მართვის ტიპი მექანიკური • გაზის კომფორის რაოდენობა 4 ფუნქცია და მახასიათებლები • WOK-კომფორი • ავტომატური ანთება • გაზკონტროლი ფიზიკური...</t>
  </si>
  <si>
    <t xml:space="preserve">შეიძინეთ ჩასაშენებელი ქურის ზედაპირი MIDEA MG696TGB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</si>
  <si>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საყინულე ARDESTO FRM-145ECM (142ლ)</t>
  </si>
  <si>
    <t xml:space="preserve">FRM-145ECM</t>
  </si>
  <si>
    <t xml:space="preserve">https://superi.ge/ardesto-frm-145ecm-142/</t>
  </si>
  <si>
    <t xml:space="preserve">• ბრენდი Ardesto • მოდელი FRM-145ECM • პროდუქტის ტიპი საყინულე • მთლიანი მოცულობა 142 ლიტრი • მენეჯმენტი ელექტრონული • ენერგიის მოხმარების კლასი A+ • გაყინვის ს...</t>
  </si>
  <si>
    <t xml:space="preserve">შეიძინეთ საყინულე ARDESTO FRM-145ECM (142ლ)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</si>
  <si>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HISENSE DT27DR4 SILVER</t>
  </si>
  <si>
    <t xml:space="preserve">DT27DR4</t>
  </si>
  <si>
    <t xml:space="preserve">https://superi.ge/hisense-dt27dr4-silver/</t>
  </si>
  <si>
    <t xml:space="preserve">• ტიპი ორკამერიანი • მართვის ტიპი მექანიკური • საერთო მოცულობა 215 ლ • მაცივრის კამერის მოცულობა 170 ლ • საყინულე კამერის მოცულობა 45 ლ • საყინულე კამერის განლა...</t>
  </si>
  <si>
    <t xml:space="preserve">შეიძინეთ მაცივარი HISENSE DT27DR4 SILVER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</si>
  <si>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გაზის გამათბობელი ERSEL EHS 4000 KS (40-60მ²) BLACK</t>
  </si>
  <si>
    <t xml:space="preserve">198871</t>
  </si>
  <si>
    <t xml:space="preserve">https://superi.ge/ersel-ehs-4000-ks-40-60-black/</t>
  </si>
  <si>
    <t xml:space="preserve">• მონტაჟის ტიპი კედლის • რეკომენდებული ფართი 40-60 მ² • სიმძლავრე 4 kW • წვის კამერის ტიპი დახურული • ანთება პიეზო სანთებელა • მექანიზმი იტალიური ანთების სისტემ...</t>
  </si>
  <si>
    <t xml:space="preserve">შეიძინეთ გაზის გამათბობელი ERSEL EHS 4000 KS (40-60მ²) BLACK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</si>
  <si>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კარკასული აუზი BESTWAY 56405 (5700 ლტ)</t>
  </si>
  <si>
    <t xml:space="preserve">148222</t>
  </si>
  <si>
    <t xml:space="preserve">https://superi.ge/bestway-56405/</t>
  </si>
  <si>
    <t xml:space="preserve">• ტიპი კარკასული • მოცულობა 5700 ლ დამატებითი მახასიათებლები • ფორმა ოთხკუთხედი • წყლის დამცველი სარქველი კი ფიზიკური პარამეტრები • კარკასის მასალა უჟანგავი ლით...</t>
  </si>
  <si>
    <t xml:space="preserve">შეიძინეთ კარკასული აუზი BESTWAY 56405 (5700 ლტ)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</si>
  <si>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წვენსაწური BOSCH MES25A0</t>
  </si>
  <si>
    <t xml:space="preserve">S84061</t>
  </si>
  <si>
    <t xml:space="preserve">ტექნიკა &gt; სამზარეულოს ტექნიკა &gt; წვენსაწურები</t>
  </si>
  <si>
    <t xml:space="preserve">https://superi.ge/bosch-mes25a0/</t>
  </si>
  <si>
    <t xml:space="preserve">ტიპი: ცენტრიდანური სიმძლავრე: 700 W სიჩქარეების რაოდენობა: 2 მაქსიმალური ბრუნვის რაოდენობა: 11 000 rpm წვენის რეზერვუარის მოცულობა: 1.25 ლ რბილობის რეზერვუარის მოცულობა: 2 ლ მართვის ტიპი: მექანიკური</t>
  </si>
  <si>
    <t xml:space="preserve">შეიძინეთ წვენსაწური BOSCH MES25A0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</si>
  <si>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გაზის გამათბობელი FUJIYAMA FHS 4000 K (40 მ²) WHITE</t>
  </si>
  <si>
    <t xml:space="preserve">194978</t>
  </si>
  <si>
    <t xml:space="preserve">https://superi.ge/fujiyama-fhs-4000-k-40-white/</t>
  </si>
  <si>
    <t xml:space="preserve">• ტიპი კედელზე დასამონტაჟებელი • რეკომენდირებული ფართი 40 მ² • გათბობის მაქსიმალური სიმძლავრე 4 kW • გაზის ტიპი ბუნებრივი / თხევადი LPG • ბუნებრივი აირის წნევა ...</t>
  </si>
  <si>
    <t xml:space="preserve">შეიძინეთ გაზის გამათბობელი FUJIYAMA FHS 4000 K (40 მ²) WHITE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</si>
  <si>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მტვერსასრუტი ILIFE H70 CORDLESS STICK VACUUM CLEANER</t>
  </si>
  <si>
    <t xml:space="preserve">186798</t>
  </si>
  <si>
    <t xml:space="preserve">https://superi.ge/ilife-h70-cordless-stick-vacuum-cleaner/</t>
  </si>
  <si>
    <t xml:space="preserve">• ტიპი უსადენო • შეწოვის სიმძლავრე 21500Pa • მტვრის კონტეინერის მოცულობა 1 2 ლ • კვების ტიპი აკუმულატორი მახასიათებლები • რეჟიმების რაოდენობა 2 • წმენდის ტიპი მ...</t>
  </si>
  <si>
    <t xml:space="preserve">შეიძინეთ მტვერსასრუტი ILIFE H70 CORDLESS STICK VACUUM CLEANER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</si>
  <si>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საკერავი მანქანა JANOME HIGH STYLE 1818</t>
  </si>
  <si>
    <t xml:space="preserve">219805</t>
  </si>
  <si>
    <t xml:space="preserve">https://superi.ge/janome-high-style-1818/</t>
  </si>
  <si>
    <t xml:space="preserve">• ტიპი ელექტრომექანიკური • კერვის ოპერაციების რაოდენობა 19 • შატლი ვერტიკალური • მარყუჟი ნახევრად ავტომატური • მარყუჟების რაოდენობა 1 • Overlock ნაკერი • დეკორა...</t>
  </si>
  <si>
    <t xml:space="preserve">შეიძინეთ საკერავი მანქანა JANOME HIGH STYLE 1818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</si>
  <si>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ქურის ზედაპირი SAMSUNG NA64H3010AS/WT</t>
  </si>
  <si>
    <t xml:space="preserve">S40200</t>
  </si>
  <si>
    <t xml:space="preserve">https://superi.ge/samsung-na64h3010as-wt/</t>
  </si>
  <si>
    <t xml:space="preserve">• ზედაპირის ტიპი გაზის • კონფორების რაოდენობა 4 მახასიათებლები • მართვის ტიპი მექანიკური • ზედაპირის მასალა უჟანგავი ფოლადი • თუჯის გისოსები ფიზიკური პარამეტრებ...</t>
  </si>
  <si>
    <t xml:space="preserve">შეიძინეთ ქურის ზედაპირი SAMSUNG NA64H3010AS/WT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</si>
  <si>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ხორცსაკეპი მანქანა KENWOOD MG520</t>
  </si>
  <si>
    <t xml:space="preserve">S67751</t>
  </si>
  <si>
    <t xml:space="preserve">https://superi.ge/kenwood-mg520/</t>
  </si>
  <si>
    <t xml:space="preserve">• ტიპი ელექტრონული • სიმძლავრე 1600 W • მწარმოებლობა 2 კგ/წთ • სიჩქარის რაოდენობა 1 • რევერსის ფუნქცია ფუნქციები და მახასიათებლები • მოცურების საწინააღმდეგო ფეხ...</t>
  </si>
  <si>
    <t xml:space="preserve">შეიძინეთ ხორცსაკეპი მანქანა KENWOOD MG520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</si>
  <si>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გამწოვი ELECTROLUX EFC226R</t>
  </si>
  <si>
    <t xml:space="preserve">S52558</t>
  </si>
  <si>
    <t xml:space="preserve">https://superi.ge/electrolux-efc226r/</t>
  </si>
  <si>
    <t xml:space="preserve">• ტიპი გუმბათოვანი • წარმადობა 420 მ³/სთ • მართვის ტიპი ღილაკით • სიჩქარეების რაოდენობა 3 • ხმაურის დონა 66 dB • ფილტრების რაოდენობა 2 მახასიათებლები • 2 x LED ...</t>
  </si>
  <si>
    <t xml:space="preserve">შეიძინეთ გამწოვი ELECTROLUX EFC226R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</si>
  <si>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პორტატული დამტენი მზის ენერგიით UGREEN SC200 200W</t>
  </si>
  <si>
    <t xml:space="preserve">15114</t>
  </si>
  <si>
    <t xml:space="preserve">ტექნიკა &gt; ტელეფონები, ტაბლეტები, ელექტრონული წიგნები &gt; მობილური აქსესუარები &gt; პორტატული დამტენები</t>
  </si>
  <si>
    <t xml:space="preserve">https://superi.ge/ugreen-sc200-200w/</t>
  </si>
  <si>
    <t xml:space="preserve">• ბრენდი UGREEN • მოდელი SC200 15114 • პროდუქტის ტიპი პორტატული დამტენი მზის ენერგიით • დასაკეცი მზის პანელი 200 W • კონვერტაციის ეფექტურობა 23% • დამტენი რეგულ...</t>
  </si>
  <si>
    <t xml:space="preserve">შეიძინეთ პორტატული დამტენი მზის ენერგიით UGREEN SC200 200W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</si>
  <si>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დისპენსერი BEKO BSS 4600 TT SET</t>
  </si>
  <si>
    <t xml:space="preserve">CT0000004969</t>
  </si>
  <si>
    <t xml:space="preserve">https://superi.ge/beko-bss-4600-tt-set/</t>
  </si>
  <si>
    <t xml:space="preserve">• ტიპი იატაკის • მართვის ტიპი მექანიკური • მუშაობის პრინციპი წყლის გაციება/გაცხელება • ცხელი წყლის ავზი მოცულობა 1 1 ლ • ცივი წყლის ავზი მოცულობა 4 0 ლ • ცხელი ...</t>
  </si>
  <si>
    <t xml:space="preserve">შეიძინეთ დისპენსერი BEKO BSS 4600 TT SET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</si>
  <si>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საყინულე ARDESTO URM-85M90 (83ლ)</t>
  </si>
  <si>
    <t xml:space="preserve">URM-85M90</t>
  </si>
  <si>
    <t xml:space="preserve">https://superi.ge/ardesto-urm-85m90-83/</t>
  </si>
  <si>
    <t xml:space="preserve">• ბრენდი Ardesto • მოდელი URM-85M90 • პროდუქტის ტიპი საყინულე • მთლიანი მოცულობა 93 ლ სასარგებლო მოცულობა - 83 ლ • ყუთების რაოდენობა 3 • ენერგიის მოხმარების კლა...</t>
  </si>
  <si>
    <t xml:space="preserve">შეიძინეთ საყინულე ARDESTO URM-85M90 (83ლ)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</si>
  <si>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ბაღის ავეჯის კომპლექტი Allibert Rosario graphite</t>
  </si>
  <si>
    <t xml:space="preserve">17050564</t>
  </si>
  <si>
    <t xml:space="preserve">https://superi.ge/allibert-rosario-graphite-ka/</t>
  </si>
  <si>
    <t xml:space="preserve">ბაღის ავეჯის კომპლექტი Allibert Rosario graphiteელეგანტურიბაღის ავეჯის კომპლექტიიდეალურად შეეფერება მცირე სივრცეებს როგორიცაა აივნები ტერასები ეზოები ან აუზისპი...</t>
  </si>
  <si>
    <t xml:space="preserve">შეიძინეთ ბაღის ავეჯის კომპლექტი Allibert Rosario graphite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</si>
  <si>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გამწოვი MIDEA MH60C785X</t>
  </si>
  <si>
    <t xml:space="preserve">S96520</t>
  </si>
  <si>
    <t xml:space="preserve">https://superi.ge/midea-mh60c785x/</t>
  </si>
  <si>
    <t xml:space="preserve">• ტიპი გუმბათოვანი • ძრავის სიმძლავრე 215 W • სიჩქარეების რაოდენობა 3 • ძრავის რაოდენობა 1 • ჰაერის ნაკადი 630/900 მ3/სთ • მაქს ხმაურის დონე 66 dB A • მართვის ტ...</t>
  </si>
  <si>
    <t xml:space="preserve">შეიძინეთ გამწოვი MIDEA MH60C785X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</si>
  <si>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დანების ნაკრები TEFAL K232S574 5PCS</t>
  </si>
  <si>
    <t xml:space="preserve">I94189</t>
  </si>
  <si>
    <t xml:space="preserve">https://superi.ge/tefal-k232s574-5pcs/</t>
  </si>
  <si>
    <t xml:space="preserve">ბრენდი Tefalმოდელი K232S574პროდუქტის ტიპი დანების ნაკრებიმასალა უჟანგავი ფოლადისახელურის მასალა პლასტიკური ABSდანების ზომა 9სმ 11სმ 18სმ 20სმ 20სმრაოდენობა 5 ცა...</t>
  </si>
  <si>
    <t xml:space="preserve">შეიძინეთ დანების ნაკრები TEFAL K232S574 5PCS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</si>
  <si>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VESTEL RS200LR3M-W</t>
  </si>
  <si>
    <t xml:space="preserve">S80723</t>
  </si>
  <si>
    <t xml:space="preserve">https://superi.ge/vestel-rs200lr3m-w/</t>
  </si>
  <si>
    <t xml:space="preserve">• ტიპი ერთკამერიანი • მართვის ტიპი მექანიკური • საერთო სასარგებლო მოცულობა 84 ლ • მაცივრის სასარგებლო მოცულობა 73 ლ • საყინულე კამერის სასარგებლო მოცულობა 8 ლ •...</t>
  </si>
  <si>
    <t xml:space="preserve">შეიძინეთ მაცივარი VESTEL RS200LR3M-W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</si>
  <si>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მტვერსასრუტი ROWENTA RO3786EA</t>
  </si>
  <si>
    <t xml:space="preserve">I57017</t>
  </si>
  <si>
    <t xml:space="preserve">https://superi.ge/rowenta-ro3786ea/</t>
  </si>
  <si>
    <t xml:space="preserve">• ტიპი კონტეინერით • სიმძლავრე 700 W • კონტეინერის მოცულობა 1 5 ლ • დასუფთავების ტიპი მშრალი • ფილტრაციის დონე 2 • ხმაურის დონე 79 0 dB A • მართვის ტიპი მექანიკ...</t>
  </si>
  <si>
    <t xml:space="preserve">შეიძინეთ მტვერსასრუტი ROWENTA RO3786EA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</si>
  <si>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ქურის ზედაპირი MIDEA MG631SAS</t>
  </si>
  <si>
    <t xml:space="preserve">S42494</t>
  </si>
  <si>
    <t xml:space="preserve">https://superi.ge/midea-mg631sas/</t>
  </si>
  <si>
    <t xml:space="preserve">• ზედაპირის ტიპი კომბინირებული • მართვის ტიპი მექანიკური • კომფორების რაოდენობა 4 • კომფორის სიმძლავრე წინა მარცხენა 1 75 მმ/კვ • კომფორის სიმძლავრე წინა მარჯვე...</t>
  </si>
  <si>
    <t xml:space="preserve">შეიძინეთ ქურის ზედაპირი MIDEA MG631SAS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</si>
  <si>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მტვერსასრუტი BOSCH BBHF214R</t>
  </si>
  <si>
    <t xml:space="preserve">I69444</t>
  </si>
  <si>
    <t xml:space="preserve">https://superi.ge/bosch-bbhf214r/</t>
  </si>
  <si>
    <t xml:space="preserve">• ტიპი კონტეინერი ტომრის გარეშე • რეჟიმების რაოდენობა 2 • მართვის ტიპი მექანიკური • მტვრის კონტეინერის მოცულობა 0 4 ლ • კვების ტიპი აკუმულატორი • ხმაურის დონე 7...</t>
  </si>
  <si>
    <t xml:space="preserve">შეიძინეთ მტვერსასრუტი BOSCH BBHF214R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</si>
  <si>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ყურსასმენი HARMAN/KARDON FLY TWS</t>
  </si>
  <si>
    <t xml:space="preserve">202957</t>
  </si>
  <si>
    <t xml:space="preserve">ტექნიკა &gt; ტელეფონები, ტაბლეტები, ელექტრონული წიგნები &gt; ყურსასმენები</t>
  </si>
  <si>
    <t xml:space="preserve">https://superi.ge/harman-kardon-fly-tws/</t>
  </si>
  <si>
    <t xml:space="preserve">• ტიპი ყურსასმენი მიკროფონით • დანიშნულება სმარტფონებისთვის • კავშირის ტიპი უსადენო • კავშირის ინტერფეისი Bluetooth 5 0 ტექნიკური მახასიათებლები • კონსტრუქცია ყ...</t>
  </si>
  <si>
    <t xml:space="preserve">შეიძინეთ ყურსასმენი HARMAN/KARDON FLY TWS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</si>
  <si>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გაზის გამათბობელი AKOG 3 (H) SIT (35მ²) BEIGE</t>
  </si>
  <si>
    <t xml:space="preserve">CT0000005496</t>
  </si>
  <si>
    <t xml:space="preserve">https://superi.ge/akog-3-h-sit-35-beige/</t>
  </si>
  <si>
    <t xml:space="preserve">შეიძინეთ გაზის გამათბობელი AKOG 3 (H) SIT (35მ²) BEIGE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</si>
  <si>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SKYTECH STV40N9100</t>
  </si>
  <si>
    <t xml:space="preserve">202835</t>
  </si>
  <si>
    <t xml:space="preserve">https://superi.ge/skytech-stv40n9100/</t>
  </si>
  <si>
    <t xml:space="preserve">• ტელევიზორის კლასი LED TV • ეკრანის დიაგონალი 40 102 სმ • ეკრანის გაფართოება FHD 1920 x 1080 • SMART ტექნოლოგია კი • Android TV კი ვიდეო • ეკრანის განახლების ე...</t>
  </si>
  <si>
    <t xml:space="preserve">შეიძინეთ ტელევიზორი SKYTECH STV40N9100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</si>
  <si>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ხორცსაკეპი მანქანა FAKIR TORQUE PRO 2000</t>
  </si>
  <si>
    <t xml:space="preserve">S15752</t>
  </si>
  <si>
    <t xml:space="preserve">https://superi.ge/fakir-torque-pro-2000/</t>
  </si>
  <si>
    <t xml:space="preserve">• ტიპი ელექტრონული • მაქსიმალური სიმძლავრე 2000 W • სიჩქარეების რაოდენობა 2 მახასიათებლები • რევერსის ფუნქცია • გაუქმების ფუნქცია • ნაწილების ჭურჭლის სარეცხ მან...</t>
  </si>
  <si>
    <t xml:space="preserve">შეიძინეთ ხორცსაკეპი მანქანა FAKIR TORQUE PRO 2000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</si>
  <si>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ჰოვერბორდი GRED STAR 10" BLUE</t>
  </si>
  <si>
    <t xml:space="preserve">208267</t>
  </si>
  <si>
    <t xml:space="preserve">სპორტი და დასვენება &gt; ჰოვერბორდები</t>
  </si>
  <si>
    <t xml:space="preserve">https://superi.ge/gred-star-10-blue/</t>
  </si>
  <si>
    <t xml:space="preserve">• მაქსიმალური დატვირთვა 120 კგ • საბურავის დიამეტრი 10 • სიჩქარე 15 km/h-მდე • მაქსიმალური კუთხე 15° • მაქსიმალური მანძილი 15 18 კმ • Bluetooth კავშირი აკუმულატ...</t>
  </si>
  <si>
    <t xml:space="preserve">შეიძინეთ ჰოვერბორდი GRED STAR 10" BLUE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</si>
  <si>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ნაძვის ხე 210 სმ (23SN2675-210)</t>
  </si>
  <si>
    <t xml:space="preserve">239553</t>
  </si>
  <si>
    <t xml:space="preserve">https://superi.ge/210-23sn2675-210/</t>
  </si>
  <si>
    <t xml:space="preserve">• მწარმოებელი ქვეყანა ჩინეთი • აწყობის ტიპი ჩასამაგრებელი ღეროებით ნომერაციით • გაფორმება გირჩი კენკრა თოვლი სილიკონის წიწვი • მარტივად ასაწყობი კონსტრუქცია • დ...</t>
  </si>
  <si>
    <t xml:space="preserve">შეიძინეთ ნაძვის ხე 210 სმ (23SN2675-210)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</si>
  <si>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პროექტორის ეკრანი: BURIO Electric screen 200x200cm - BR8484E</t>
  </si>
  <si>
    <t xml:space="preserve">BR8484E</t>
  </si>
  <si>
    <t xml:space="preserve">ტექნიკა &gt; საოფისე და ქსელური მოწყობილობები &gt; პროექტორები და აქსესუარები &gt; პროექტორის ეკრანები</t>
  </si>
  <si>
    <t xml:space="preserve">https://superi.ge/burio-electric-screen-200x200cm-br8484e/</t>
  </si>
  <si>
    <t xml:space="preserve">• ბრენდი Burio • მოდელი BR8484E • ტიპი ელექტრო პროექტორის ეკრანი • მონტაჟის ტიპი კედელზე ან ჭერზე მონტაჟი ძირითადი მახასიათებლები • ეკრანის ზომა 200 × 200 სმ • ...</t>
  </si>
  <si>
    <t xml:space="preserve">შეიძინეთ პროექტორის ეკრანი: BURIO Electric screen 200x200cm - BR8484E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</si>
  <si>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პროექტორის ელექტრო ეკრანი ALLSCREEN ELECTRIC PROJECTION SCREEN 200X200CM HD FABRIC CMP-8080B WITH REMOTE CONTROL 110 inch</t>
  </si>
  <si>
    <t xml:space="preserve">CMP-8080B</t>
  </si>
  <si>
    <t xml:space="preserve">https://superi.ge/allscreen-cmp-8080b-with/</t>
  </si>
  <si>
    <t xml:space="preserve"> </t>
  </si>
  <si>
    <t xml:space="preserve">შეიძინეთ პროექტორის ელექტრო ეკრანი ALLSCREEN ELECTRIC PROJECTION SCREEN 200X200CM HD FABRIC CMP-8080B WITH REMOTE CONTROL 110 inch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</si>
  <si>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კარკასული აუზი BESTWAY 56416 (6473 ლტ)</t>
  </si>
  <si>
    <t xml:space="preserve">162417</t>
  </si>
  <si>
    <t xml:space="preserve">https://superi.ge/bestway-56416/</t>
  </si>
  <si>
    <t xml:space="preserve">• ტიპი კარკასული • მოცულობა 6473 ლ დამატებითი მახასიათებლები • ფორმა მრგვალი • წყლის დამცველი სარქველი კი • ტუმბო კი ფიზიკური პარამეტრები • მასალა PVC • კარკასი...</t>
  </si>
  <si>
    <t xml:space="preserve">შეიძინეთ კარკასული აუზი BESTWAY 56416 (6473 ლტ)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</si>
  <si>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საკერავი მანქანა JANOME 2121</t>
  </si>
  <si>
    <t xml:space="preserve">211061</t>
  </si>
  <si>
    <t xml:space="preserve">https://superi.ge/janome-2121/</t>
  </si>
  <si>
    <t xml:space="preserve">• ტიპი ელექტრომექანიკური • შატლი ვერტიკალური • მარყუჟი ნახევრად ავტომატური • კერვის ოპერაციების რაოდენობა 19 • განათება კი ფუნქციები და მახასიათებლები • ნაკერებ...</t>
  </si>
  <si>
    <t xml:space="preserve">შეიძინეთ საკერავი მანქანა JANOME 2121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</si>
  <si>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საკერავი მანქანა JANOME 2252</t>
  </si>
  <si>
    <t xml:space="preserve">211067</t>
  </si>
  <si>
    <t xml:space="preserve">https://superi.ge/janome-2252/</t>
  </si>
  <si>
    <t xml:space="preserve">• ტიპი ელექტრომექანიკური • შატლი ვერტიკალური • მარყუჟი ნახევრად ავტომატური • კერვის ოპერაციების რაოდენობა 19 • LED განათება ფუნქციები და მახასიათებლები • ნაკერე...</t>
  </si>
  <si>
    <t xml:space="preserve">შეიძინეთ საკერავი მანქანა JANOME 2252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</si>
  <si>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კომპრესორი INGCO AC20248</t>
  </si>
  <si>
    <t xml:space="preserve">169438</t>
  </si>
  <si>
    <t xml:space="preserve">https://superi.ge/ingco-ac20248/</t>
  </si>
  <si>
    <t xml:space="preserve">• დანიშნულება: ინდუსტრიული • ავზის მოცულობა: 24 ლ(6.3 გალონი); • ნომინალური სიმძლავრე: 1.5 Kw(2.5 Hp) • წარმადობა: 93 ლ/წთ • მაქსიმალური წნევა: 8 bar</t>
  </si>
  <si>
    <t xml:space="preserve">შეიძინეთ კომპრესორი INGCO AC20248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</si>
  <si>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მიკროტალღური ღუმელი SAMSUNG MG23T5018AP/BW</t>
  </si>
  <si>
    <t xml:space="preserve">208935</t>
  </si>
  <si>
    <t xml:space="preserve">https://superi.ge/samsung-mg23t5018ap-bw/</t>
  </si>
  <si>
    <t xml:space="preserve">• ტიპი ცალკე მდგომი • მართვის ტიპი ელექტრონული სენსორული • სიმძლავრე 800 W • გრილის სიმძლავრე 1100 W • სიმძლავრის დონეების რაოდენობა 6 • მოცულობა 23 ლ • მაქსიმა...</t>
  </si>
  <si>
    <t xml:space="preserve">შეიძინეთ მიკროტალღური ღუმელი SAMSUNG MG23T5018AP/BW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</si>
  <si>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საკერავი მანქანა JANOME ARTSTYLE 4045</t>
  </si>
  <si>
    <t xml:space="preserve">S92397</t>
  </si>
  <si>
    <t xml:space="preserve">https://superi.ge/janome-artstyle-4045/</t>
  </si>
  <si>
    <t xml:space="preserve">• ტიპი ელექტრომექანიკური • ვერტიკალური მაქო • კერვის ოპერაციების რაოდენობა 15 ფუნქციები და მახასიათებლები • მარყუჟის გაკეთება ნახევრად ავტომატური • ნაკერის მაქს...</t>
  </si>
  <si>
    <t xml:space="preserve">შეიძინეთ საკერავი მანქანა JANOME ARTSTYLE 4045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</si>
  <si>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საკერავი მანქანა JANOME MX55</t>
  </si>
  <si>
    <t xml:space="preserve">156314</t>
  </si>
  <si>
    <t xml:space="preserve">https://superi.ge/janome-mx55/</t>
  </si>
  <si>
    <t xml:space="preserve">• ტიპი ელექტრომექანიკური • ჰორიზონტალური მაქო • კერვის ოპერაციების რაოდენობა 15 ფუნქციები და მახასიათებლები • ხაზები სწორი ზიგზაგი ელასტიური ზიგზაგი ფარული ტრიკ...</t>
  </si>
  <si>
    <t xml:space="preserve">შეიძინეთ საკერავი მანქანა JANOME MX55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</si>
  <si>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ჰოვერბორდი GRED STAR 8" COLORFUL</t>
  </si>
  <si>
    <t xml:space="preserve">208253</t>
  </si>
  <si>
    <t xml:space="preserve">https://superi.ge/gred-star-8-colorful/</t>
  </si>
  <si>
    <t xml:space="preserve">• მაქსიმალური დატვირთვა 120 კგ • საბურავის დიამეტრი 8 • სიჩქარე 15 km/h-მდე • მაქსიმალური კუთხე 15° • მაქსიმალური მანძილი 20 კმ • Bluetooth კავშირი აკუმულატორი ...</t>
  </si>
  <si>
    <t xml:space="preserve">შეიძინეთ ჰოვერბორდი GRED STAR 8" COLORFUL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</si>
  <si>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აეროგრილი BEKO FRL 5388B AIR FRYER</t>
  </si>
  <si>
    <t xml:space="preserve">S70623</t>
  </si>
  <si>
    <t xml:space="preserve">https://superi.ge/beko-frl-5388b-air-fryer/</t>
  </si>
  <si>
    <t xml:space="preserve">• ბრენდი Beko • მოდელი FRL 5388 B • პროდუქტის ტიპი აეროგრილი • სიმძლავრე 2000-2400 W • მოცულობა ლიტრი 8 5 • კონტროლი ციფრული • პროდუქტის სიმაღლე 317მმ • პროდუქტ...</t>
  </si>
  <si>
    <t xml:space="preserve">შეიძინეთ აეროგრილი BEKO FRL 5388B AIR FRYER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</si>
  <si>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ბაღის ავეჯის კომპლექტი Iowa balcony grap + cus cl gr 008 std</t>
  </si>
  <si>
    <t xml:space="preserve">17051483</t>
  </si>
  <si>
    <t xml:space="preserve">https://superi.ge/iowa-balcony-grap-cus-cl-gr-008-std/</t>
  </si>
  <si>
    <t xml:space="preserve">ბაღის ავეჯის კომპლექტი Iowa balcony grap + cus cl gr 008 stdდახვეწილი და ელეგანტური ავეჯის კომპლექტი იდეალურია ვერანდისთვის ბაღისთვის მდგრადია ამინდის პირობების...</t>
  </si>
  <si>
    <t xml:space="preserve">შეიძინეთ ბაღის ავეჯის კომპლექტი Iowa balcony grap + cus cl gr 008 std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</si>
  <si>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გამწოვი BOSCH DFT63CA60Q</t>
  </si>
  <si>
    <t xml:space="preserve">S37422</t>
  </si>
  <si>
    <t xml:space="preserve">https://superi.ge/bosch-dft63ca60q/</t>
  </si>
  <si>
    <t xml:space="preserve">• ტიპი ჩასაშენებელი • სამუშაო რეჟიმი კონვერტირებადი • მართვის ტიპი მექანიკური • წარმადობა 300 მ³/სთ • ძრავების სიმძლავრე 125 W • სიგანე 60 სმ • სიჩქარეების რაოდ...</t>
  </si>
  <si>
    <t xml:space="preserve">შეიძინეთ გამწოვი BOSCH DFT63CA60Q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</si>
  <si>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მიკროტალღური ღუმელი BOSCH FFL020MW0</t>
  </si>
  <si>
    <t xml:space="preserve">I74870</t>
  </si>
  <si>
    <t xml:space="preserve">https://superi.ge/bosch-ffl020mw0/</t>
  </si>
  <si>
    <t xml:space="preserve">• ტიპი ცალკე მდგომი • მართვის ტიპი მექანიკური • მაქსიმალური სიმძლავრე მაქს 800 W • სიმძლავრის დონეების რაოდენობა 5 • მოცულობა 20 ლ ფუნქცია და მახასიათებლები • L...</t>
  </si>
  <si>
    <t xml:space="preserve">შეიძინეთ მიკროტალღური ღუმელი BOSCH FFL020MW0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</si>
  <si>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მიკროტალღური ღუმელი SAMSUNG MS20A7013AB/BW</t>
  </si>
  <si>
    <t xml:space="preserve">S52189</t>
  </si>
  <si>
    <t xml:space="preserve">https://superi.ge/samsung-ms20a7013ab-bw/</t>
  </si>
  <si>
    <t xml:space="preserve">• ტიპი ჩასაშენებელი • მართვის ტიპი ელექტრონული ღილაკები • სიმძლავრე 850 W • სიმძლავრის დონეების რაოდენობა 6 • მოცულობა 20 ლ • ენერგომოხმარება 1250 W მახასიათებლ...</t>
  </si>
  <si>
    <t xml:space="preserve">შეიძინეთ მიკროტალღური ღუმელი SAMSUNG MS20A7013AB/BW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</si>
  <si>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მტვერსასრუტი GORENJE VCE03SPRCY</t>
  </si>
  <si>
    <t xml:space="preserve">I90060</t>
  </si>
  <si>
    <t xml:space="preserve">https://superi.ge/gorenje-vce03sprcy/</t>
  </si>
  <si>
    <t xml:space="preserve">• ტიპი კონტეინერით • სიმძლავრე 800 W • მტვრის კონტეინერის მოცულობა 1 7 ლ • დასუფთავების ტიპი მშრალი • ხმაურის დონე 79 dB მახასიათებლები • ჩართვა / გამორთვის ღილ...</t>
  </si>
  <si>
    <t xml:space="preserve">შეიძინეთ მტვერსასრუტი GORENJE VCE03SPRCY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</si>
  <si>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BLAUPUNKT 32FBG5010S (81სმ)</t>
  </si>
  <si>
    <t xml:space="preserve">I94847</t>
  </si>
  <si>
    <t xml:space="preserve">https://superi.ge/blaupunkt-32fbg5010s-81/</t>
  </si>
  <si>
    <t xml:space="preserve">• ტელევიზორის კლასი LED • ეკრანის დიაგონალი 32 81 სმ • ეკრანის გაფართოება FHD 1920 x 1080 Smart ტექნოლოგია კი ოპერაციული სისტემა GoogleTV ვიდეო • კონტრასტულობა ...</t>
  </si>
  <si>
    <t xml:space="preserve">შეიძინეთ ტელევიზორი BLAUPUNKT 32FBG5010S (81სმ)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</si>
  <si>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ქურის ჩასაშენებელი ზედაპირი MIDEA 60SK005</t>
  </si>
  <si>
    <t xml:space="preserve">S95719</t>
  </si>
  <si>
    <t xml:space="preserve">https://superi.ge/midea-60sk005/</t>
  </si>
  <si>
    <t xml:space="preserve">• ზედაპირის ტიპი გაზის • მართვის ტიპი მექანიკური • გაზის კომფორის რაოდენობა 4 • კომფორის სიმძლავრე წინა მარცხენა 1 kW • კომფორის სიმძლავრე წინა მარჯვენა 1 75 kW...</t>
  </si>
  <si>
    <t xml:space="preserve">შეიძინეთ ქურის ჩასაშენებელი ზედაპირი MIDEA 60SK005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</si>
  <si>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გაზონის საკრეჭი მანქანა AL-KO CLASSIC 3.82 SE 1400 W</t>
  </si>
  <si>
    <t xml:space="preserve">D-11030446</t>
  </si>
  <si>
    <t xml:space="preserve">https://superi.ge/al-ko-classic-3-82-se-1400-w/</t>
  </si>
  <si>
    <t xml:space="preserve">AL-KO Classic 3 82 SE გამოირჩევა ხმაურის დაბალი დონით და მსუბუქი წონით ის ადვილად ცელავსბალახს გაზონის კიდეებთან სახლის კედლის და ღობის გასწვრივ მას გააჩნია ფრო...</t>
  </si>
  <si>
    <t xml:space="preserve">შეიძინეთ გაზონის საკრეჭი მანქანა AL-KO CLASSIC 3.82 SE 1400 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</si>
  <si>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კომპრესორი INGCO AC25508</t>
  </si>
  <si>
    <t xml:space="preserve">206614</t>
  </si>
  <si>
    <t xml:space="preserve">https://superi.ge/ingco-ac25508/</t>
  </si>
  <si>
    <t xml:space="preserve">• მოცულობა 50 ლ 13 2Gal • ნომინალური სიმძლავრე 1 8 Kw 2 5 Hp • მუშაობის ხანგრძლივობა 3000 სთ-მდე • მაქსიმალური წნევა 8 bar • სიჩქარე დატვირთვის გარეშე 2850 ბრ/წ...</t>
  </si>
  <si>
    <t xml:space="preserve">შეიძინეთ კომპრესორი INGCO AC25508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</si>
  <si>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მტვერსასრუტი GORENJE SVC252FMBK</t>
  </si>
  <si>
    <t xml:space="preserve">I90934</t>
  </si>
  <si>
    <t xml:space="preserve">https://superi.ge/gorenje-svc252fmbk/</t>
  </si>
  <si>
    <t xml:space="preserve">ბრენდი Gorenjeმოდელი SVC252FMBKპროდუქტის ტიპი ვერტიკალური ელექტრო ცოცხი ფილტრის ტიპი Hepaდატენვის დრო 5 სთმუშაობის ხანგრძლივობა მაქსიმალური სიჩქარით 20 წთმინიმა...</t>
  </si>
  <si>
    <t xml:space="preserve">შეიძინეთ მტვერსასრუტი GORENJE SVC252FMBK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</si>
  <si>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ყინულის აპარატი VOX EM2101</t>
  </si>
  <si>
    <t xml:space="preserve">SA0000009565</t>
  </si>
  <si>
    <t xml:space="preserve">https://superi.ge/vox-em2101/</t>
  </si>
  <si>
    <t xml:space="preserve">• ტექნიკური მახასიათებლები • ყინულის რაოდენობა 12 კგ / 24 სთ • ყინულის კუბების ზომა 1 1 x 2 4 x 3 2 სმ • წყლის ავზის ტევადობა 1 8 ლ • ხმაურის დონე 60 დბ • სიმძლ...</t>
  </si>
  <si>
    <t xml:space="preserve">შეიძინეთ ყინულის აპარატი VOX EM2101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</si>
  <si>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ხორცსაკეპი მანქანა BOSCH MFW2520W</t>
  </si>
  <si>
    <t xml:space="preserve">I68593</t>
  </si>
  <si>
    <t xml:space="preserve">https://superi.ge/bosch-mfw2520w/</t>
  </si>
  <si>
    <t xml:space="preserve">• მაქსიმალური სიმძლავრე 1500 W • მწარმოებლობა 1 7 კგ/წთ • მართვის ტიპი მექანიკური • ენერგოეფექტურობის კლასი 350 V ფუნქციები და მახასიათებლები • დანის მასალა უჟა...</t>
  </si>
  <si>
    <t xml:space="preserve">შეიძინეთ ხორცსაკეპი მანქანა BOSCH MFW2520W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</si>
  <si>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გეიმერული სავარძელი ALLX SK8825</t>
  </si>
  <si>
    <t xml:space="preserve">SK8825</t>
  </si>
  <si>
    <t xml:space="preserve">https://superi.ge/allx-sk8825/</t>
  </si>
  <si>
    <t xml:space="preserve">• ბრენდი ALLX • მოდელი SK8825 • პროდუქტის ტიპი გეიმერული სავარძელი • გაზის ამწე კლასი 2 85 მმ • ნეილონის ბაზა R350 მმ • დახრის მექანიზმი დიახ • კუთხის რეგულირებ...</t>
  </si>
  <si>
    <t xml:space="preserve">შეიძინეთ გეიმერული სავარძელი ALLX SK8825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</si>
  <si>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საკერავი მანქანა BROTHER OKINAWA</t>
  </si>
  <si>
    <t xml:space="preserve">184157</t>
  </si>
  <si>
    <t xml:space="preserve">https://superi.ge/brother-okinawa/</t>
  </si>
  <si>
    <t xml:space="preserve">• ტიპი ელექტრომექანიკური • ჰორიზონტალური მაქო • კერვის ოპერაციების რაოდენობა 17 • სამუშაო ფართი 158 მმ ფუნქციები და მახასიათებლები • კერვის მაქსიმალური სიჩქრე 7...</t>
  </si>
  <si>
    <t xml:space="preserve">შეიძინეთ საკერავი მანქანა BROTHER OKINAWA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</si>
  <si>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გეიმერული სავარძელი YENKEE YGC 100RD SABOTAGE</t>
  </si>
  <si>
    <t xml:space="preserve">137096</t>
  </si>
  <si>
    <t xml:space="preserve">https://superi.ge/yenkee-ygc-100rd-sabotage/</t>
  </si>
  <si>
    <t xml:space="preserve">• ბრენდი Yenkee • მოდელი/PN YGC 100RD 8518300090 • ტიპი გეიმინგ სავარძელი • სავარძლის სიღრმე 40 სმ • სავარძლის სიგანე 48 სმ • სავარძლის სიმაღლე 47 - 54 cm • საზ...</t>
  </si>
  <si>
    <t xml:space="preserve">შეიძინეთ გეიმერული სავარძელი YENKEE YGC 100RD SABOTAGE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</si>
  <si>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გენერატორი DINGQI 108005</t>
  </si>
  <si>
    <t xml:space="preserve">206677</t>
  </si>
  <si>
    <t xml:space="preserve">https://superi.ge/dingqi-108005/</t>
  </si>
  <si>
    <t xml:space="preserve">• საწვავის ტიპი ბენზინი • სიმძლავრე 500 W • დაქოქვის ტიპი მექანიკური ფიზიკური პარამეტრები • ძაბვა 220 V 50 Hz • წონა 17 კგ • ფერი შავი / ნარინჯისფერი</t>
  </si>
  <si>
    <t xml:space="preserve">შეიძინეთ გენერატორი DINGQI 108005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</si>
  <si>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მტვერსაასრუტი BOSCH BCHF2MX20</t>
  </si>
  <si>
    <t xml:space="preserve">S29252</t>
  </si>
  <si>
    <t xml:space="preserve">https://superi.ge/bosch-bchf2mx20/</t>
  </si>
  <si>
    <t xml:space="preserve">• ტიპი ვერტიკალური ელექტრო ცოცხი • მტვრის კონტეინერის მოცულობა 0 4 ლ • დასუფთავების ტიპი მშრალი • ხმაურის დონე 81 dB A • კვების ტიპი აკუმულატორი მახასიათებლები ...</t>
  </si>
  <si>
    <t xml:space="preserve">შეიძინეთ მტვერსაასრუტი BOSCH BCHF2MX20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</si>
  <si>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დისპენსერი BOSCH RDW1276</t>
  </si>
  <si>
    <t xml:space="preserve">S48770</t>
  </si>
  <si>
    <t xml:space="preserve">https://superi.ge/bosch-rdw1276/</t>
  </si>
  <si>
    <t xml:space="preserve">• ტიპი იატაკზე დასადგამი • მართვის ტიპი მექანიკური • მხოლოდ გაგრილების ფუნქციით • ცივი წყლის ავზის მოცულობა 2 ლ • ცივი წყლის ნაკადის სიჩქარე 1 2 ლ/წთ • ცივი წყლ...</t>
  </si>
  <si>
    <t xml:space="preserve">შეიძინეთ დისპენსერი BOSCH RDW1276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</si>
  <si>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საკერავი მანქანა BROTHER JS27</t>
  </si>
  <si>
    <t xml:space="preserve">213132</t>
  </si>
  <si>
    <t xml:space="preserve">https://superi.ge/brother-js27/</t>
  </si>
  <si>
    <t xml:space="preserve">• ტიპი ელექტრომექანიკური • მაქოს ტიპი ვერტიკალური • სიმძლავრე 50 W • კერვის ოპერაციების რაოდენობა 17 • განათება კი ფუნქციები და მახასიათებლები • მარყუჟის ამოხვე...</t>
  </si>
  <si>
    <t xml:space="preserve">შეიძინეთ საკერავი მანქანა BROTHER JS27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</si>
  <si>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აუზი INTEX 28202 ფილტრით</t>
  </si>
  <si>
    <t xml:space="preserve">210326</t>
  </si>
  <si>
    <t xml:space="preserve">https://superi.ge/intex-28202/</t>
  </si>
  <si>
    <t xml:space="preserve">• ტიპი კარკასული • მოცულობა 4485 ლ • INTEX უზრუნველყოფს აუზის მაღალ საიმედოობასა და გამძლეობას დამატებითი მახასიათებლები • ფორმა მრგვალი • არ სჭირდება ნიადაგის ...</t>
  </si>
  <si>
    <t xml:space="preserve">შეიძინეთ აუზი INTEX 28202 ფილტრით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</si>
  <si>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დისპენსერი BEKO BSS 2210 SET</t>
  </si>
  <si>
    <t xml:space="preserve">SA0000000184</t>
  </si>
  <si>
    <t xml:space="preserve">https://superi.ge/beko-bss-2210-set/</t>
  </si>
  <si>
    <t xml:space="preserve">• ტიპი იატაკის • მართვის ტიპი მექანიკური • ცხელი წყლის მაქსიმალური ტემპერატურა 85 - 95 ℃ • ცივი წყლის ტემპერატურის დიაპაზონი 5-10 °С • გაგრილების სიმძლავრე 88 W...</t>
  </si>
  <si>
    <t xml:space="preserve">შეიძინეთ დისპენსერი BEKO BSS 2210 SET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</si>
  <si>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ყინულის აპარატი CAMRY CR8073</t>
  </si>
  <si>
    <t xml:space="preserve">CR8073</t>
  </si>
  <si>
    <t xml:space="preserve">https://superi.ge/camry-cr8073/</t>
  </si>
  <si>
    <t xml:space="preserve">• ტიპი მინი ყინულის მაცივარი • ყინულის კუბების წარმოება • წყლის ავზის მოცულობა მოცულობა 2 2 ლ • ყინულის წარმოება 12kg/24h • კლიმატის კლასი N ფუნქციები და მახასი...</t>
  </si>
  <si>
    <t xml:space="preserve">შეიძინეთ ყინულის აპარატი CAMRY CR8073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</si>
  <si>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წყლის დისპენსერი Dixi BYB110-3 silver</t>
  </si>
  <si>
    <t xml:space="preserve">185529</t>
  </si>
  <si>
    <t xml:space="preserve">https://superi.ge/dixi-byb110-3-silver/</t>
  </si>
  <si>
    <t xml:space="preserve">• ტიპი იატაკის • მართვის ტიპი მექანიკური მახასიათებლები • გაცხელების სიმძლავრე 500 W • გაციების სიმძლავრე 100 W • გაცხელება 5 ლ/სთ • გაგრილება 2 ლ/სთ • ცხელი წყ...</t>
  </si>
  <si>
    <t xml:space="preserve">შეიძინეთ წყლის დისპენსერი Dixi BYB110-3 silver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</si>
  <si>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ფიგურების გამოსაყვანი ბეწვა ხერხი JIFA JFS1601 (120 W)</t>
  </si>
  <si>
    <t xml:space="preserve">JFS1601</t>
  </si>
  <si>
    <t xml:space="preserve">სამშენებლო ხელსაწყოები</t>
  </si>
  <si>
    <t xml:space="preserve">https://superi.ge/jifa-jfs1601-120-w/</t>
  </si>
  <si>
    <t xml:space="preserve">მახასიათებლები • ბრენდი JIFA • მოდელი JFS1601 • ნომინალური ძაბვა 230V 120V • ნომინალური სიმძლავრე 120 W 1A • უმოქმედობის სიჩქარე 500-1 700 წთ-¹ • დარტყმის სიმაღ...</t>
  </si>
  <si>
    <t xml:space="preserve">შეიძინეთ ფიგურების გამოსაყვანი ბეწვა ხერხი JIFA JFS1601 (120 W)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</si>
  <si>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აუზი HECHT 3690 BLUESEA</t>
  </si>
  <si>
    <t xml:space="preserve">213206</t>
  </si>
  <si>
    <t xml:space="preserve">https://superi.ge/hecht-3690-bluesea/</t>
  </si>
  <si>
    <t xml:space="preserve">• მოცულობა 6125 ლ • დიამეტრი 360 სმ • სიმაღლე 76 სმ • წონა 22 4 კგ • ფერი ლურჯი</t>
  </si>
  <si>
    <t xml:space="preserve">შეიძინეთ აუზი HECHT 3690 BLUESEA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</si>
  <si>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ბაღის ავეჯის კომპლექტი ავეჯის კომპლექტი HILTON SET (SPS-H010) 119x67x82/70x66x81/ 96x59x40</t>
  </si>
  <si>
    <t xml:space="preserve">17051578</t>
  </si>
  <si>
    <t xml:space="preserve">https://superi.ge/hilton-set-sps-h010-119x67x82-70x66x81-96x59x40/</t>
  </si>
  <si>
    <t xml:space="preserve">ბაღის ავეჯის კომპლექტი ავეჯის კომპლექტი HILTON SET SPS-H010 119x67x82/70x66x81/ 96x59x40კომპლექტი შედგება მაგიდის ორადგილიანი დივნისა და ორი სავარძლისგან დამზად...</t>
  </si>
  <si>
    <t xml:space="preserve">შეიძინეთ ბაღის ავეჯის კომპლექტი ავეჯის კომპლექტი HILTON SET (SPS-H010) 119x67x82/70x66x81/ 96x59x40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</si>
  <si>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ბლენდერი NINJA BN750EU</t>
  </si>
  <si>
    <t xml:space="preserve">S58120</t>
  </si>
  <si>
    <t xml:space="preserve">https://superi.ge/ninja-bn750eu/</t>
  </si>
  <si>
    <t xml:space="preserve">• ტიპი სტაციონალური • სიმძლავრე 1200 W • ჯამის მოცულობა 2 1 ლ • ბრუნების რაოდენობა 20000 ბრ/წთ • კვების ტიპი ქსელის ფუნქციები და მახასიათებლები • სიჩქარის რეჟიმ...</t>
  </si>
  <si>
    <t xml:space="preserve">შეიძინეთ ბლენდერი NINJA BN750EU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</si>
  <si>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გამწოვი MIDEA 60J72</t>
  </si>
  <si>
    <t xml:space="preserve">S83357</t>
  </si>
  <si>
    <t xml:space="preserve">https://superi.ge/midea-60j72/</t>
  </si>
  <si>
    <t xml:space="preserve">• ტიპი გუმბათოვანი • ძრავის სიმძლავრე 210 W • სიჩქარეების რაოდენობა 3 • ძრავის რაოდენობა 1 • ჰაერის ნაკადი 600 მ3/სთ • მაქს ხმაურის დონე 52-62 dB A • მართვის ტი...</t>
  </si>
  <si>
    <t xml:space="preserve">შეიძინეთ გამწოვი MIDEA 60J72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</si>
  <si>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დისპენსერი TOSHIBA RWF-W1766TGE(W)</t>
  </si>
  <si>
    <t xml:space="preserve">215942</t>
  </si>
  <si>
    <t xml:space="preserve">https://superi.ge/toshiba-rwf-w1766tge-w/</t>
  </si>
  <si>
    <t xml:space="preserve">• ტიპი იატაკზე დასადგამი • მართვის ტიპი მექანიკური • გაცხელების მეთოდი შიდა ელემენტით • ცივი წყლის ავზის მოცულობა 4 ლ • ცხელი წყლის ავზის მოცულობა 4 ლ • გათბობი...</t>
  </si>
  <si>
    <t xml:space="preserve">შეიძინეთ დისპენსერი TOSHIBA RWF-W1766TGE(W)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</si>
  <si>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VOX KS 1200 F</t>
  </si>
  <si>
    <t xml:space="preserve">226471</t>
  </si>
  <si>
    <t xml:space="preserve">https://superi.ge/vox-ks-1200-f/</t>
  </si>
  <si>
    <t xml:space="preserve">• ტიპი ერთკამერიანი • მაცივრის კამერის სასარგებლო მოცულობა 90 ლ • წლიური ენერგიის მოხმარება 107 კვტ სთ • ენერგოეფექტურობის კლასი F • კლიმატის კლასი T / SN • ხმა...</t>
  </si>
  <si>
    <t xml:space="preserve">შეიძინეთ მაცივარი VOX KS 1200 F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</si>
  <si>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მტვერსასრუტი GORENJE VCEA03GAPRACY</t>
  </si>
  <si>
    <t xml:space="preserve">I95081</t>
  </si>
  <si>
    <t xml:space="preserve">https://superi.ge/gorenje-vcea03gapracy/</t>
  </si>
  <si>
    <t xml:space="preserve">• ტიპი კონტეინერით • მტვრის კონტეინერის მოცულობა 3 3 ლ • დასუფთავების რადიუსი 10 მ • დასუფთავების ტიპი მშრალი • ხმაურის დონე 67 dB A მახასიათებლები • ჩართვა / გ...</t>
  </si>
  <si>
    <t xml:space="preserve">შეიძინეთ მტვერსასრუტი GORENJE VCEA03GAPRACY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</si>
  <si>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მტვერსასრუტი KARCHER VC 3 (1.198-053.0)</t>
  </si>
  <si>
    <t xml:space="preserve">I93360</t>
  </si>
  <si>
    <t xml:space="preserve">https://superi.ge/karcher-vc-3-1-198-053-0/</t>
  </si>
  <si>
    <t xml:space="preserve">• ტიპი კონტეინერით • სიმძლავრე 700 W • ნარჩენების კონტეინერის მოცულობა 0 9 ლ • დასუფთავების ტიპი მშრალი • ხმის დონე 76 dB A მახასიათებლები • ფილტრის ტიპი HEPA 1...</t>
  </si>
  <si>
    <t xml:space="preserve">შეიძინეთ მტვერსასრუტი KARCHER VC 3 (1.198-053.0)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</si>
  <si>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ვერტიკალური საბურღი DINGQI 13010113 (350W/13MM)</t>
  </si>
  <si>
    <t xml:space="preserve">13010113</t>
  </si>
  <si>
    <t xml:space="preserve">https://superi.ge/dingqi-13010113-350w-13mm/</t>
  </si>
  <si>
    <t xml:space="preserve">DINGQI-ს სამშენებლო ინსტრუმენტების ხარისხი აღიარებულია ექსპერტთა მიერ გამოირჩევა დახვეწილი დიზაინით ხელმისაწვდომი ფასებით და სარგებლობს მომხმარებელთა მაღალი სან...</t>
  </si>
  <si>
    <t xml:space="preserve">შეიძინეთ ვერტიკალური საბურღი DINGQI 13010113 (350W/13MM)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</si>
  <si>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ბლენდერი SENCOR SBU 7878BK</t>
  </si>
  <si>
    <t xml:space="preserve">169912</t>
  </si>
  <si>
    <t xml:space="preserve">https://superi.ge/sencor-sbu-7878bk/</t>
  </si>
  <si>
    <t xml:space="preserve">• ტიპი სტაციონალური • სიმძლავრე 1500 W • ჯამის მოცულობა 1 5 ლ • დასაქუცმაცებლის მოცულობა 0 7 ლ • ბრუნვის სიჩქარე 28000 ბრ/წთ • კვების ტიპი ქსელის ფუნქციები და მ...</t>
  </si>
  <si>
    <t xml:space="preserve">შეიძინეთ ბლენდერი SENCOR SBU 7878BK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</si>
  <si>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მტვერსასრუტი GORENJE VC2303GALBKCY</t>
  </si>
  <si>
    <t xml:space="preserve">I61752</t>
  </si>
  <si>
    <t xml:space="preserve">https://superi.ge/gorenje-vc2303galbkcy/</t>
  </si>
  <si>
    <t xml:space="preserve">• ტიპი კონტეინერით • სიმძლავრე 2300 W • შესრუტვის სიმძლავრე 330 W • მტვრის კონტეინერის მოცულობა 3 3 ლ • დასუფთავების რადიუსი 8 მ • დასუფთავების ტიპი მშრალი • ხმ...</t>
  </si>
  <si>
    <t xml:space="preserve">შეიძინეთ მტვერსასრუტი GORENJE VC2303GALBKCY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</si>
  <si>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სამშენებლო მიქსერი INGCO 1800 ვტ MX218008</t>
  </si>
  <si>
    <t xml:space="preserve">1030849</t>
  </si>
  <si>
    <t xml:space="preserve">https://superi.ge/ingco-1800-mx218008/</t>
  </si>
  <si>
    <t xml:space="preserve">სამშენებლო მიქსერი INGCO 1800 ვტ MX218008 პროდუქტის დეტალები აქსესუარები კომპლექტში 2 შემრევი ნიჩაბი დანიშნულება ინდუსტრიული ბრუნთა რიცხვი 180-480 ბრ/წთ 250-680...</t>
  </si>
  <si>
    <t xml:space="preserve">შეიძინეთ სამშენებლო მიქსერი INGCO 1800 ვტ MX218008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</si>
  <si>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დისპენსერი MILLEN TY-LWYR87W</t>
  </si>
  <si>
    <t xml:space="preserve">219713</t>
  </si>
  <si>
    <t xml:space="preserve">https://superi.ge/millen-ty-lwyr87w/</t>
  </si>
  <si>
    <t xml:space="preserve">• ტიპი იატაკზე დასადგამი • მართვის ტიპი მექანიკური • გაცხელების მეთოდი შიდა ელემენტით დამატებითი მახასიათებლები • თერმო იზოლირებული სათავსო • ჭიქების დამჭერი ფი...</t>
  </si>
  <si>
    <t xml:space="preserve">შეიძინეთ დისპენსერი MILLEN TY-LWYR87W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</si>
  <si>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ბარ-მაცივარი NIKAI NRF125SS1 SILVER</t>
  </si>
  <si>
    <t xml:space="preserve">6291071431075</t>
  </si>
  <si>
    <t xml:space="preserve">https://superi.ge/nikai-nrf125ss1-silver/</t>
  </si>
  <si>
    <t xml:space="preserve">• ტიპი ბარმაცივარი • მართვის ტიპი მექანიკური • საერთო მოცულობა 125 ლ • გალღობის სისტემა ნახევრად მშრალი • ფრეონის ტიპი R600A • CFC-free • საკეტი და გასაღები • თ...</t>
  </si>
  <si>
    <t xml:space="preserve">შეიძინეთ ბარ-მაცივარი NIKAI NRF125SS1 SILVER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</si>
  <si>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გამწოვი BEKO CTB 6250 B</t>
  </si>
  <si>
    <t xml:space="preserve">CT0000004283</t>
  </si>
  <si>
    <t xml:space="preserve">https://superi.ge/beko-ctb-6250-b/</t>
  </si>
  <si>
    <t xml:space="preserve">• გამწოვის ტიპი ტელესკოპური • მონტაჟი კედელზე დასამონტაჟებელი • მუშაობის რეჟიმი მხოლოდ რეცირკულაცია • წარმადობა 220-320-440 მ³/სთ • სიგანე 60 სმ • სიჩქარეების რ...</t>
  </si>
  <si>
    <t xml:space="preserve">შეიძინეთ გამწოვი BEKO CTB 6250 B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</si>
  <si>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მტვერსასრუტი SAMSUNG VC15K4130HB</t>
  </si>
  <si>
    <t xml:space="preserve">I69305</t>
  </si>
  <si>
    <t xml:space="preserve">https://superi.ge/samsung-vc15k4130hb/</t>
  </si>
  <si>
    <t xml:space="preserve">• ტიპი კონტეინერით • მაქსიმალური სიმძლავრე 1500 W • შეწოვის სიმძლავრე 390 W • მტვრის შემგროვებლის მოცულობა 1 3 ლ • წმენდის ტიპი მშრალი • ხმაურის დონე 86 dB მახა...</t>
  </si>
  <si>
    <t xml:space="preserve">შეიძინეთ მტვერსასრუტი SAMSUNG VC15K4130HB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</si>
  <si>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კარკასული აუზი BESTWAY 56408 (4678 ლტ)</t>
  </si>
  <si>
    <t xml:space="preserve">177595</t>
  </si>
  <si>
    <t xml:space="preserve">https://superi.ge/bestway-56408/</t>
  </si>
  <si>
    <t xml:space="preserve">• ტიპი კარკასული • მოცულობა 4678 ლ დამატებითი მახასიათებლები • ფორმა მრგვალი • წყლის დამცველი სარქველი კი • ტუმბო ფილტრი კი ფიზიკური პარამეტრები • კარკასის მასა...</t>
  </si>
  <si>
    <t xml:space="preserve">შეიძინეთ კარკასული აუზი BESTWAY 56408 (4678 ლტ)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</si>
  <si>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აუზი INTEX 28142 (84 x 396 სმ)</t>
  </si>
  <si>
    <t xml:space="preserve">189359</t>
  </si>
  <si>
    <t xml:space="preserve">https://superi.ge/intex-28142-84-x-396/</t>
  </si>
  <si>
    <t xml:space="preserve">• ტიპი გასაბერი • მოცულობა 7260 ლ მახასიათებლები • კარტრიჯის ტუმბოს ფილტრი 2006 ლ/სთ • რგოლის დიამეტრი 330 სმ • სანიაღვრე სარქველი • ფორმა მრგვალი ფიზიკური პარა...</t>
  </si>
  <si>
    <t xml:space="preserve">შეიძინეთ აუზი INTEX 28142 (84 x 396 სმ)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</si>
  <si>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კარტრიჯი CANON C-EXV34 CYAN (3783B002AA)</t>
  </si>
  <si>
    <t xml:space="preserve">173972</t>
  </si>
  <si>
    <t xml:space="preserve">https://superi.ge/canon-c-exv34-cyan-3783b002aa/</t>
  </si>
  <si>
    <t xml:space="preserve">• ტიპი ლაზერული კარტრიჯი • რესურსი 19000 გვერდი • მელანი ცისფერი • მოწყობილობებისთვის პრინტერები და მრავალფუნქციური მოწყობილობები თავსებადობა • Canon Image Runn...</t>
  </si>
  <si>
    <t xml:space="preserve">შეიძინეთ კარტრიჯი CANON C-EXV34 CYAN (3783B002AA)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</si>
  <si>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კარტრიჯი CANON C-EXV34 MAGENTA (3784B002AA)</t>
  </si>
  <si>
    <t xml:space="preserve">173971</t>
  </si>
  <si>
    <t xml:space="preserve">https://superi.ge/canon-c-exv34-magenta-3784b002aa/</t>
  </si>
  <si>
    <t xml:space="preserve">• ტიპი ლაზერული კარტრიჯი • რესურსი 19000 გვერდი • მელანი იასამნისფერი • მოწყობილობებისთვის პრინტერები და მრავალფუნქციური მოწყობილობები თავსებადობა • Canon Image...</t>
  </si>
  <si>
    <t xml:space="preserve">შეიძინეთ კარტრიჯი CANON C-EXV34 MAGENTA (3784B002AA)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</si>
  <si>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კარტრიჯი CANON C-EXV34 YELLOW (3785B002AA)</t>
  </si>
  <si>
    <t xml:space="preserve">173973</t>
  </si>
  <si>
    <t xml:space="preserve">https://superi.ge/canon-c-exv34-yellow-3785b002aa/</t>
  </si>
  <si>
    <t xml:space="preserve">• ტიპი ლაზერული კარტრიჯი • რესურსი 19000 გვერდი • მელანი ყვითელი • მოწყობილობებისთვის პრინტერები და მრავალფუნქციური მოწყობილობები თავსებადობა • Canon Image Runn...</t>
  </si>
  <si>
    <t xml:space="preserve">შეიძინეთ კარტრიჯი CANON C-EXV34 YELLOW (3785B002AA)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</si>
  <si>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სათამაშო LEGO JURASSIC WORLF T. REX &amp; ATROCIRAPTOR DINOSAUR BRAAKOUT (76948)</t>
  </si>
  <si>
    <t xml:space="preserve">222471</t>
  </si>
  <si>
    <t xml:space="preserve">https://superi.ge/lego-jurassic-worlf-t-rex-and-atrociraptor-dinosaur/</t>
  </si>
  <si>
    <t xml:space="preserve">• ბრენდი LEGO • ასაკი 8 წლიდან • ფიგურების რაოდენობა 466 • ხელს უწყობს გონების განვითარებას • მარტივად დაშლადი-ასაწყობი ფიგურები ფიზიკური პარამეტრები • მასალა პ...</t>
  </si>
  <si>
    <t xml:space="preserve">შეიძინეთ სათამაშო LEGO JURASSIC WORLF T. REX &amp; ATROCIRAPTOR DINOSAUR BRAAKOUT (76948)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</si>
  <si>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დისპენსერი ALNEO YLR2-88B (მაცივრით)</t>
  </si>
  <si>
    <t xml:space="preserve">01400</t>
  </si>
  <si>
    <t xml:space="preserve">https://superi.ge/alneo-ylr2-88b/</t>
  </si>
  <si>
    <t xml:space="preserve">• ტიპი იატაკზე დასადგამი • მაცივარი კი • გაგრილების სიმძლავრე 150 W • ცივი წყლის ავზის მოცულობა 2 0 ლ/სთ • ცივი წყლის ტემპერატურა ≤10℃ • გაცხელების სიმძლავრე 60...</t>
  </si>
  <si>
    <t xml:space="preserve">შეიძინეთ დისპენსერი ALNEO YLR2-88B (მაცივრით)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</si>
  <si>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ბაღის ავეჯის კომპლექტი NEXUS</t>
  </si>
  <si>
    <t xml:space="preserve">O-HOOM001</t>
  </si>
  <si>
    <t xml:space="preserve">https://superi.ge/nexus/</t>
  </si>
  <si>
    <t xml:space="preserve">ბაღის ავეჯის კომპლექტი მაგიდა ჟურნალის 2 სტანდარტული და 1 განიერი სავარძელი სპეციფიკაციები მასალა ტესლინი ფერი შავი გამძლეობა 120 კგ თითო ადგილი მახასიათებლები ...</t>
  </si>
  <si>
    <t xml:space="preserve">შეიძინეთ ბაღის ავეჯის კომპლექტი NEXUS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</si>
  <si>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ბაღის ავეჯის ნაკრები SC-094/SC-092</t>
  </si>
  <si>
    <t xml:space="preserve">D-17050833</t>
  </si>
  <si>
    <t xml:space="preserve">https://superi.ge/sc-094-sc-092/</t>
  </si>
  <si>
    <t xml:space="preserve">SC-094/SC-092 არის ბაღის ავეჯის ნაკრები რომელიც შემატებს სიმყუდროვეს თქვენს სახლს იდეალურია ბაღისთვის ვერანდისთვის სკამის საზურგე და დასაჯდომი დამზადებულიატექსტ...</t>
  </si>
  <si>
    <t xml:space="preserve">შეიძინეთ ბაღის ავეჯის ნაკრები SC-094/SC-092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</si>
  <si>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გამწოვი BEKO CWB 6441 BN</t>
  </si>
  <si>
    <t xml:space="preserve">S18087</t>
  </si>
  <si>
    <t xml:space="preserve">https://superi.ge/beko-cwb-6441-bna/</t>
  </si>
  <si>
    <t xml:space="preserve">• გამწოვის ტიპი გუმბათოვანი • მონტაჟი კედელზე დასამონტაჟებელი • მუშაობის რეჟიმი ჰაერის გატანა და რეცირკულაცია • წარმადობა Max 420 მ ³/სთ • სიგანე 60 სმ • სიჩქარ...</t>
  </si>
  <si>
    <t xml:space="preserve">შეიძინეთ გამწოვი BEKO CWB 6441 BN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</si>
  <si>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გამწოვი BOSCH DFT63CA50Q</t>
  </si>
  <si>
    <t xml:space="preserve">S24601</t>
  </si>
  <si>
    <t xml:space="preserve">https://superi.ge/bosch-dft63ca50q/</t>
  </si>
  <si>
    <t xml:space="preserve">• გამწოვის ტიპი ტელესკოპური • მუშაობის რეჟიმი ჰაერის გატანა და რეცირკულაცია • წარმადობა ჰაერის გატანის რეჟიმში მაქს 300 მ ³/სთ • წარმადობა რეცირკულაციის რეჟიმში...</t>
  </si>
  <si>
    <t xml:space="preserve">შეიძინეთ გამწოვი BOSCH DFT63CA50Q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</si>
  <si>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გამწოვი GRAETZ 3420 PB BLACK</t>
  </si>
  <si>
    <t xml:space="preserve">S34277</t>
  </si>
  <si>
    <t xml:space="preserve">https://superi.ge/graetz-3420-pb-black/</t>
  </si>
  <si>
    <t xml:space="preserve">• ტიპი გუმბათოვანი • მართვის ტიპი ელექტრონული • წარმადობა 800 მ³/სთ • ხმაურის დონე 70 dB მახასიათებლები • ჰალოგენური განათება • ცხიმდამჭერი ფილტრი ფიზიკური პარა...</t>
  </si>
  <si>
    <t xml:space="preserve">შეიძინეთ გამწოვი GRAETZ 3420 PB BLACK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</si>
  <si>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გამწოვი MIDEA 60M77</t>
  </si>
  <si>
    <t xml:space="preserve">S37981</t>
  </si>
  <si>
    <t xml:space="preserve">https://superi.ge/midea-60m77/</t>
  </si>
  <si>
    <t xml:space="preserve">• ტიპი გუმბათოვანი • ძრავის სიმძლავრე 210 W • სიჩქარეების რაოდენობა 3 • ძრავის რაოდენობა 1 • ჰაერის ნაკადი 600 მ3/სთ • მაქს ხმაურის დონე 55-66 dB A • მართვის ტი...</t>
  </si>
  <si>
    <t xml:space="preserve">შეიძინეთ გამწოვი MIDEA 60M77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</si>
  <si>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გამწოვი MIDEA MH60C355RB</t>
  </si>
  <si>
    <t xml:space="preserve">S24163</t>
  </si>
  <si>
    <t xml:space="preserve">https://superi.ge/midea-mh60c355rb/</t>
  </si>
  <si>
    <t xml:space="preserve">• ტიპი გუმბათოვანი • ძრავის სიმძლავრე 290 W • სიჩქარეების რაოდენობა 3 • ძრავის რაოდენობა 1 • ჰაერის ნაკადი 800 მ3/სთ • ხმაურის დონე 62-72 dB A • მართვის ტიპი ელ...</t>
  </si>
  <si>
    <t xml:space="preserve">შეიძინეთ გამწოვი MIDEA MH60C355RB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</si>
  <si>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დანების ნაკრები ARSHIA K106-1556 (10PCS)</t>
  </si>
  <si>
    <t xml:space="preserve">26498</t>
  </si>
  <si>
    <t xml:space="preserve">https://superi.ge/arshia-k106-1556-10pcs/</t>
  </si>
  <si>
    <t xml:space="preserve">• მწარმოებელი ARSHIA • ტიპი სამზარეულოს დანების ნაკრები • კომპლექტში შემავალი ნივთების რაოდენობა 10 • კომპლექტში შემავალი დანების რაოდენობა 6 • მოსახერხებელი სა...</t>
  </si>
  <si>
    <t xml:space="preserve">შეიძინეთ დანების ნაკრები ARSHIA K106-1556 (10PCS)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</si>
  <si>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ელექტრო პნევმატური პერფორატორი 1300W SDS-HEX PDB130018 INGCO</t>
  </si>
  <si>
    <t xml:space="preserve">1838219</t>
  </si>
  <si>
    <t xml:space="preserve">https://superi.ge/1300w-sds-hex-pdb130018-ingco/</t>
  </si>
  <si>
    <t xml:space="preserve">ელექტრო პნევმატური პერფორატორი 1300W SDS-HEX PDB130018 პროდუქტის დეტალები სიმძლავრე 1300 ვტ ძაბვა 220-240 ვ 50/60 ჰერცი დარტყმის ძალა 20 ჯ ზემოქმედების სიჩქარე ...</t>
  </si>
  <si>
    <t xml:space="preserve">შეიძინეთ ელექტრო პნევმატური პერფორატორი 1300W SDS-HEX PDB130018 INGCO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</si>
  <si>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ელექტრო ჩაიდანი BOSCH TWK8611P</t>
  </si>
  <si>
    <t xml:space="preserve">S93094</t>
  </si>
  <si>
    <t xml:space="preserve">https://superi.ge/bosch-twk8611p/</t>
  </si>
  <si>
    <t xml:space="preserve">• ტიპი სტანდარტული • სიმძლავრე 2400 W • მოცულობა 1 5 ლ • მართვის ტიპი მექანიკური/ელექტრონული მახასიათებლები • გადახურებისგან დაცვა • გამაცხელებელი ელემენტის ტიპ...</t>
  </si>
  <si>
    <t xml:space="preserve">შეიძინეთ ელექტრო ჩაიდანი BOSCH TWK8611P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</si>
  <si>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კარკასული აუზი INTEX 28210 (6503 ლტ)</t>
  </si>
  <si>
    <t xml:space="preserve">148559</t>
  </si>
  <si>
    <t xml:space="preserve">https://superi.ge/intex-28210/</t>
  </si>
  <si>
    <t xml:space="preserve">• ბრენდი INTEX • წარმოშობის ქვეყანა ჩინეთი • მოცულობა 6503 ლიტრი ფიზიკური პარამეტრები • ჩარჩოს მასალა ლითონის • დიამეტრი 366 სმ • სიმაღლე 76 სმ • შეფუთვის ზომებ...</t>
  </si>
  <si>
    <t xml:space="preserve">შეიძინეთ კარკასული აუზი INTEX 28210 (6503 ლტ)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</si>
  <si>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კარკასული აუზი აუზი INTEX 26710</t>
  </si>
  <si>
    <t xml:space="preserve">189362</t>
  </si>
  <si>
    <t xml:space="preserve">https://superi.ge/intex-26710/</t>
  </si>
  <si>
    <t xml:space="preserve">• ტიპი კარკასული • მოცულობა 6503 ლ მახასიათებლები • სანიაღვრე სარქველი • ჩარჩო ფოლადის მილები • ფორმა მრგვალი ფიზიკური პარამეტრები • ზომები სიმაღლე/დიამეტრი 76 ...</t>
  </si>
  <si>
    <t xml:space="preserve">შეიძინეთ კარკასული აუზი აუზი INTEX 26710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</si>
  <si>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HISENSE RS13DR-SILVER</t>
  </si>
  <si>
    <t xml:space="preserve">769971</t>
  </si>
  <si>
    <t xml:space="preserve">https://superi.ge/hisense-rs13dr-silver/</t>
  </si>
  <si>
    <t xml:space="preserve">მახასიათებლები • ტიპი ერთკამერიანი • საერთო მოცულობა 94 ლ • კლიმატის კლასი N ST T • ენერგოეფექტურობის კლასი A+ • ენერგიის მოხმარება წელიწადში 221 kWh • ხმაურის ...</t>
  </si>
  <si>
    <t xml:space="preserve">შეიძინეთ მაცივარი HISENSE RS13DR-SILVER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</si>
  <si>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მონიტორი LENOVO L24I-4A 67BCKAC6EU 23.8"</t>
  </si>
  <si>
    <t xml:space="preserve">160904</t>
  </si>
  <si>
    <t xml:space="preserve">https://superi.ge/lenovo-67bckac6eu-23-8/</t>
  </si>
  <si>
    <t xml:space="preserve">მახასიათებლები • ტიპი მონიტორი • დიაგონალი 23 8 • გარჩევადობა 1920 x 1080 • სიკაშკაშე 250 cd/m² • ეკრანის/პანელის ტიპი IPS • ეკრანის ფორმატი 16 9 • სტატიკური კო...</t>
  </si>
  <si>
    <t xml:space="preserve">შეიძინეთ მონიტორი LENOVO L24I-4A 67BCKAC6EU 23.8"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</si>
  <si>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ნაძვის ხე CANSUS 300სმ (00-00018338)</t>
  </si>
  <si>
    <t xml:space="preserve">239383</t>
  </si>
  <si>
    <t xml:space="preserve">https://superi.ge/cansus-300-00-00018338/</t>
  </si>
  <si>
    <t xml:space="preserve">• მწარმოებელი CANSUS • მწარმოებელი ქვეყანა თურქეთი ფიზიკური პარამეტრები • სიმაღლე 300სმ • წონა 20 კგ • ფერი მწვანე</t>
  </si>
  <si>
    <t xml:space="preserve">შეიძინეთ ნაძვის ხე CANSUS 300სმ (00-00018338)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</si>
  <si>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ყურსასმენი MARSHALL MAJOR V BLACK</t>
  </si>
  <si>
    <t xml:space="preserve">Z-033539</t>
  </si>
  <si>
    <t xml:space="preserve">https://superi.ge/marshall-major-v-black/</t>
  </si>
  <si>
    <t xml:space="preserve">• ტიპი ყურსასმენი მიკროფონით • კავშირის ტიპი უსადენო / სადენით • კავშირის ინტერფეისი Bluetooth 5 0 / 3 5mm jack ტექნიკური მახასიათებლები • კონსტრუქცია სრული ზომ...</t>
  </si>
  <si>
    <t xml:space="preserve">შეიძინეთ ყურსასმენი MARSHALL MAJOR V BLACK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</si>
  <si>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ჰოვერბორდი GRED STAR 6.5 COLORFUL</t>
  </si>
  <si>
    <t xml:space="preserve">208143</t>
  </si>
  <si>
    <t xml:space="preserve">https://superi.ge/gred-star-6-5-colorful/</t>
  </si>
  <si>
    <t xml:space="preserve">• მაქსიმალური დატვირთვა 120 კგ • საბურავის დიამეტრი 6 5 • სიჩქარე 15 km/h-მდე • მაქსიმალური კუთხე 15° • მაქსიმალური მანძილი 20 კმ • Bluetooth კავშირი აკუმულატორ...</t>
  </si>
  <si>
    <t xml:space="preserve">შეიძინეთ ჰოვერბორდი GRED STAR 6.5 COLORFUL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</si>
  <si>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ჰოვერბორდი GRED STAR 6.5 PURPLE/BLUE</t>
  </si>
  <si>
    <t xml:space="preserve">208149</t>
  </si>
  <si>
    <t xml:space="preserve">https://superi.ge/gred-star-6-5-purple-blue/</t>
  </si>
  <si>
    <t xml:space="preserve">შეიძინეთ ჰოვერბორდი GRED STAR 6.5 PURPLE/BLUE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</si>
  <si>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ჰოვერბორდი SMART FALCON 6.5"</t>
  </si>
  <si>
    <t xml:space="preserve">6-6</t>
  </si>
  <si>
    <t xml:space="preserve">https://superi.ge/smart-falcon-6-5/</t>
  </si>
  <si>
    <t xml:space="preserve">საბურავისზომა 6 5 ინჩი ბლუთუზიSpeakerბორბლის მასალა კაუჩუკი კორპუსი უმაღლესი ხარისხის პლასტმასი მაქსიმალური სვლა 15-20 კმ_მდე მაქსიმალური დახრა-15°წონის დიაპაზო...</t>
  </si>
  <si>
    <t xml:space="preserve">შეიძინეთ ჰოვერბორდი SMART FALCON 6.5"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</si>
  <si>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ჰოვერბორდი SMART WHEEL 8"</t>
  </si>
  <si>
    <t xml:space="preserve">Y-8</t>
  </si>
  <si>
    <t xml:space="preserve">https://superi.ge/smart-wheel-8/</t>
  </si>
  <si>
    <t xml:space="preserve">ბორბლის ზომა 8 ინჩი ბლუთუზი Speaker ბორბლის მასალა კაუჩუკი კორპუსი უმაღლესი ხარისხის პლასტმასი მაქსიმალური სვლა 15-20 კმ_მდე მაქსიმალური დახრა-15° წონის დიაპაზო...</t>
  </si>
  <si>
    <t xml:space="preserve">შეიძინეთ ჰოვერბორდი SMART WHEEL 8"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</si>
  <si>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ელექტრო კუთხსახეხი INGCO CAGLI271532</t>
  </si>
  <si>
    <t xml:space="preserve">1848696</t>
  </si>
  <si>
    <t xml:space="preserve">სამშენებლო ხელსაწყოები &gt; კუთხსახეხი</t>
  </si>
  <si>
    <t xml:space="preserve">https://superi.ge/ingco-cagli271532/</t>
  </si>
  <si>
    <t xml:space="preserve">ელექტრო კუთხსახეხი 20V-115MM Li-Ion Proline CAGLI271532 INGCO პროდუქტის დეტალები სიჩქარე დატვირთვის გარეშე 3000/6000/9000 rpm ძაბვა 20 ვ დისკის დიამეტრი 115 მმ ...</t>
  </si>
  <si>
    <t xml:space="preserve">შეიძინეთ ელექტრო კუთხსახეხი INGCO CAGLI271532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</si>
  <si>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მტვერსასრუტი KARCHER WD 3S (1.628-135.0)</t>
  </si>
  <si>
    <t xml:space="preserve">208011</t>
  </si>
  <si>
    <t xml:space="preserve">https://superi.ge/karcher-wd-3s-1-628-135-0/</t>
  </si>
  <si>
    <t xml:space="preserve">• ტიპი კონტეინერით • სიმძლავრე 1000 W • მტვრის კონტეინერის მოცულობა 17 ლ • დასუფთავების ტიპი მშრალი / ნოტიო მახასიათებლები • ფილტრის ტიპი სტანდარტული კარტრიჯული...</t>
  </si>
  <si>
    <t xml:space="preserve">შეიძინეთ მტვერსასრუტი KARCHER WD 3S (1.628-135.0)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</si>
  <si>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მიკროტალღური ღუმელი ARDESTO GO-E865B</t>
  </si>
  <si>
    <t xml:space="preserve">179878</t>
  </si>
  <si>
    <t xml:space="preserve">https://superi.ge/ardesto-go-e865b/</t>
  </si>
  <si>
    <t xml:space="preserve">• მართვის ტიპი მექანიკური • მაქსიმალური სიმძლავრე 800 W • მოცულობა 20 ლ მახასიათებლები • მომზადების რეჟიმების რაოდენობა 8 • სიმძლავრის დონეების რაოდენობა 5 • ტა...</t>
  </si>
  <si>
    <t xml:space="preserve">შეიძინეთ მიკროტალღური ღუმელი ARDESTO GO-E865B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</si>
  <si>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კარკასული აუზი BESTWAY 56706 (6473 ლტ)</t>
  </si>
  <si>
    <t xml:space="preserve">178456</t>
  </si>
  <si>
    <t xml:space="preserve">https://superi.ge/bestway-56706/</t>
  </si>
  <si>
    <t xml:space="preserve">• ტიპი კარკასული • მოცულობა 6473 ლ დამატებითი მახასიათებლები • ფორმა მრგვალი • წყლის დამცლელი სარქველი კი ფიზიკური პარამეტრები • კარკასის მასალა უჟანგავი ლითონი...</t>
  </si>
  <si>
    <t xml:space="preserve">შეიძინეთ კარკასული აუზი BESTWAY 56706 (6473 ლტ)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</si>
  <si>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მტვერსასრუტი BOSCH BGS05A222</t>
  </si>
  <si>
    <t xml:space="preserve">S64172</t>
  </si>
  <si>
    <t xml:space="preserve">https://superi.ge/bosch-bgs05a222/</t>
  </si>
  <si>
    <t xml:space="preserve">• ტიპი კონტეინერით • სიმძლავრე 700 W • მტვრის კონტეინერის მოცულობა 1 5 ლ • დასუფთავების რადიუსი 9 მ • დასუფთავების ტიპი მშრალი • ხმაურის დონე 78 dB A მახასიათებ...</t>
  </si>
  <si>
    <t xml:space="preserve">შეიძინეთ მტვერსასრუტი BOSCH BGS05A222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</si>
  <si>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გამწოვი SAMSUNG NK24M3050PS/U1</t>
  </si>
  <si>
    <t xml:space="preserve">S73190</t>
  </si>
  <si>
    <t xml:space="preserve">https://superi.ge/samsung-nk24m3050ps-u1/</t>
  </si>
  <si>
    <t xml:space="preserve">• ტიპი გუმბათოვანი • დაყენების ტიპი კედლის • მართვის ტიპი მექანიკური ღილაკებით • წარმადობა 512 მ³/სთ • სიჩქარეების რაოდენობა 3 • ენერგოეფექტურობის კლასი D • ფილ...</t>
  </si>
  <si>
    <t xml:space="preserve">შეიძინეთ გამწოვი SAMSUNG NK24M3050PS/U1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</si>
  <si>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გეიმერული სავარძელი ALLX SK8817</t>
  </si>
  <si>
    <t xml:space="preserve">SK8817</t>
  </si>
  <si>
    <t xml:space="preserve">https://superi.ge/allx-sk8817/</t>
  </si>
  <si>
    <t xml:space="preserve">• ბრენდი ALLX • მოდელი SK8817 • პროდუქტის ტიპი გეიმერული სავარძელი • გაზის ლიფტი კლასი 2 85 მმ • ნეილონი R350 მმ • დახრის მექანიზმი დიახ • კუთხის რეგულირება დია...</t>
  </si>
  <si>
    <t xml:space="preserve">შეიძინეთ გეიმერული სავარძელი ALLX SK8817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</si>
  <si>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დისპენსერი BEKO BSS 2201 TT</t>
  </si>
  <si>
    <t xml:space="preserve">S92509</t>
  </si>
  <si>
    <t xml:space="preserve">https://superi.ge/beko-bss-2201-tt/</t>
  </si>
  <si>
    <t xml:space="preserve">• ტიპი იატაკიზე დასადგამი • მართვის ტიპი მექანიკური • გაგრილების სიმძლავრე 88 W • გაცხელების სიმძლავრე 550 W • ცივი წყლის ავზის მოცულობა 3 2 ლ • ცხელი წყლის ავზ...</t>
  </si>
  <si>
    <t xml:space="preserve">შეიძინეთ დისპენსერი BEKO BSS 2201 TT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</si>
  <si>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მტვერსასრუტი FRANKO FVC-1157</t>
  </si>
  <si>
    <t xml:space="preserve">173721</t>
  </si>
  <si>
    <t xml:space="preserve">https://superi.ge/franko-fvc-1157/</t>
  </si>
  <si>
    <t xml:space="preserve">• ტიპი კონტეინერით • მაქსიმალური სიმძლავრე 2600 W • შეწოვის სიმძლავრე 450 W • მტვრის კონტეინერის მოცულობა 2 ლ მახასიათებლები • ციკლონური სისტემა • სიმძლავრის მა...</t>
  </si>
  <si>
    <t xml:space="preserve">შეიძინეთ მტვერსასრუტი FRANKO FVC-1157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</si>
  <si>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HAIER LE32F6000S</t>
  </si>
  <si>
    <t xml:space="preserve">211009</t>
  </si>
  <si>
    <t xml:space="preserve">https://superi.ge/haier-le32f6000s/</t>
  </si>
  <si>
    <t xml:space="preserve">• ტელევიზორის კლასი LED • ეკრანის დიაგონალი 32 81 სმ • ეკრანის გაფართოება HD 1366 x 768 • განახლების სიხშირე 50Hz • ასპექტის თანაფარდობა 16 9 • სიკაშკაშე 220 cd...</t>
  </si>
  <si>
    <t xml:space="preserve">შეიძინეთ ტელევიზორი HAIER LE32F6000S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</si>
  <si>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ფოტოაპარატი POLAROID NOW GENERATION 2 BLACK</t>
  </si>
  <si>
    <t xml:space="preserve">Z-030015</t>
  </si>
  <si>
    <t xml:space="preserve">https://superi.ge/polaroid-now-generation-2-black/</t>
  </si>
  <si>
    <t xml:space="preserve">• კამერის ტიპი კომპაქტური • ფოკუსის დიაპაზონი 94 96 - 102 35 მმ • ხედვის კუთხე ჰორიზონტალური 40° ვერტიკალური 41° • ავტო განათება • მომენტალური ბეჭდვა • კვების წ...</t>
  </si>
  <si>
    <t xml:space="preserve">შეიძინეთ ფოტოაპარატი POLAROID NOW GENERATION 2 BLACK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</si>
  <si>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ველოსიპედი TRINX PRINCESS 2.0</t>
  </si>
  <si>
    <t xml:space="preserve">179499</t>
  </si>
  <si>
    <t xml:space="preserve">https://superi.ge/trinx-princess-2-0/</t>
  </si>
  <si>
    <t xml:space="preserve">• საბურავის დიამეტრი 16 • ჩარჩო TRINX 16” x 203 მმ • დისკის ტიპი ღეროვანი მახასიათებლები • ჯაჭვი M410 1S • ჯაჭვის კბილანა TRINX 32T*102L • უკანა კბილანა 16T • მ...</t>
  </si>
  <si>
    <t xml:space="preserve">შეიძინეთ ველოსიპედი TRINX PRINCESS 2.0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</si>
  <si>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დისპენსერი MILLEN TY-LYR39W</t>
  </si>
  <si>
    <t xml:space="preserve">SA0000009378</t>
  </si>
  <si>
    <t xml:space="preserve">https://superi.ge/millen-ty-lyr39w/</t>
  </si>
  <si>
    <t xml:space="preserve">ბრენდი Millenმოდელი TY-LYR39Wპროდუქტის ტიპი წყლის დისპენსერი მონტაჟი იატაკზე დასადგმელიმართვის ტიპი მექანიკურიფუნქციები გაგრილება / გაცხელებაფრეონის ტიპი R134aძ...</t>
  </si>
  <si>
    <t xml:space="preserve">შეიძინეთ დისპენსერი MILLEN TY-LYR39W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</si>
  <si>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მიკროტალღური ღუმელი SAMSUNG MG23DG4524AGBW</t>
  </si>
  <si>
    <t xml:space="preserve">S63639</t>
  </si>
  <si>
    <t xml:space="preserve">https://superi.ge/samsung-mg23dg4524agbw/</t>
  </si>
  <si>
    <t xml:space="preserve">• ტიპი ცალკე მდგომი • მიკროტალღურის სიმძლავრე 1250 W • მოცულობა 23 ლ • მართვის ტიპი მექანიკური ღილაკებით • სიმძლავრეების რაოდენობა 6 • გრილის ფუნქცია დიახ მახას...</t>
  </si>
  <si>
    <t xml:space="preserve">შეიძინეთ მიკროტალღური ღუმელი SAMSUNG MG23DG4524AGBW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</si>
  <si>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მტვერსასრუტი FRANKO FVC-1156</t>
  </si>
  <si>
    <t xml:space="preserve">176453</t>
  </si>
  <si>
    <t xml:space="preserve">https://superi.ge/franko-fvc-1156/</t>
  </si>
  <si>
    <t xml:space="preserve">• ტიპი ტომრით • მაქსიმალური სიმძლავრე 2000-2200 W • შეწოვის სიმძლავრე 450 W • დასუფთავების ტიპი მშრალი • მტვრის კონტეინერის მოცულობა 3 5 ლ მახასიათებლები • ფილტ...</t>
  </si>
  <si>
    <t xml:space="preserve">შეიძინეთ მტვერსასრუტი FRANKO FVC-1156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</si>
  <si>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კარკასული აუზი BESTWAY 56985 (4062 ლტ)</t>
  </si>
  <si>
    <t xml:space="preserve">177597</t>
  </si>
  <si>
    <t xml:space="preserve">https://superi.ge/bestway-56985/</t>
  </si>
  <si>
    <t xml:space="preserve">• ტიპი კარკასული • მოცულობა 4062 ლ დამატებითი მახასიათებლები • ფორმა მრგვალი • წყლის დამცველი სარქველი კი ფიზიკური პარამეტრები • კარკასის მასალა უჟანგავი ლითონი...</t>
  </si>
  <si>
    <t xml:space="preserve">შეიძინეთ კარკასული აუზი BESTWAY 56985 (4062 ლტ)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</si>
  <si>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მიკროტალღური ღუმელი SAMSUNG MS23J5133AK/BA</t>
  </si>
  <si>
    <t xml:space="preserve">212444</t>
  </si>
  <si>
    <t xml:space="preserve">https://superi.ge/samsung-ms23j5133ak-ba/</t>
  </si>
  <si>
    <t xml:space="preserve">• ტიპი ცალკე მდგომი • მართვის ტიპი ელექტრონული • სიმძლავრე 800 W • სიმძლავრის დონეების რაოდენობა 6 • მოცულობა 23 ლ • მაქსიმალური ენერგომოხმარება 1150 W მახასიათ...</t>
  </si>
  <si>
    <t xml:space="preserve">შეიძინეთ მიკროტალღური ღუმელი SAMSUNG MS23J5133AK/BA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</si>
  <si>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ბლენდერი BOSCH MMB6141B</t>
  </si>
  <si>
    <t xml:space="preserve">S16187</t>
  </si>
  <si>
    <t xml:space="preserve">https://superi.ge/bosch-mmb6141b/</t>
  </si>
  <si>
    <t xml:space="preserve">• ტიპი სტაციონალური • სიმძლავრე 1200 W • მოცულობა 1 5 ლ • მართვის ტიპი მექანიკური • კვების ტიპი ქსელის ფუნქციები და მახასიათებლები • ერგონომიული დიზაინი • ყინულ...</t>
  </si>
  <si>
    <t xml:space="preserve">შეიძინეთ ბლენდერი BOSCH MMB6141B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</si>
  <si>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კარტრიჯი HP 203A (CF543A)</t>
  </si>
  <si>
    <t xml:space="preserve">166016</t>
  </si>
  <si>
    <t xml:space="preserve">https://superi.ge/hp-203a-cf543a/</t>
  </si>
  <si>
    <t xml:space="preserve">• ტიპი ლაზერული კარტრიჯი • რესურსი 1300 გვერდი • მელანი იასამნისფერი • მოწყობილობებისთვის პრინტერები თავსებადობა • HP Color LaserJet Pro M254dw M254nw MFP M280n...</t>
  </si>
  <si>
    <t xml:space="preserve">შეიძინეთ კარტრიჯი HP 203A (CF543A)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</si>
  <si>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აეროგრილი NINJA AF100EU</t>
  </si>
  <si>
    <t xml:space="preserve">I75191</t>
  </si>
  <si>
    <t xml:space="preserve">https://superi.ge/ninja-af100eu/</t>
  </si>
  <si>
    <t xml:space="preserve">• სიმძლავრე 1550 W • მოცულობა 3 8 ლ • ტემპერატურის დიაპაზონი 40°C - 210°C • პორციები 4 პორცია 900 გრ ფრი • მართვა ელექტრონული • კალათი მოხსნადი ფუნქციები და მახ...</t>
  </si>
  <si>
    <t xml:space="preserve">შეიძინეთ აეროგრილი NINJA AF100EU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</si>
  <si>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აუზი BESTWAY 56404 (300x201x66 სმ)</t>
  </si>
  <si>
    <t xml:space="preserve">177652</t>
  </si>
  <si>
    <t xml:space="preserve">https://superi.ge/bestway-56404-300x201x66/</t>
  </si>
  <si>
    <t xml:space="preserve">• ტიპი კარკასული • მოცულობა 3300 ლ დამატებითი მახასიათებლები • ფორმა ოთხკუთხედი • წყლის დამცველი სარქველი კი ფიზიკური პარამეტრები • კარკასის მასალა უჟანგავი ლით...</t>
  </si>
  <si>
    <t xml:space="preserve">შეიძინეთ აუზი BESTWAY 56404 (300x201x66 სმ)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</si>
  <si>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17051528</t>
  </si>
  <si>
    <t xml:space="preserve">https://superi.ge/product-8913/</t>
  </si>
  <si>
    <t xml:space="preserve">ბაღის ავეჯის კომპლექტიკომპლექტი შედგება ორი კომფორტული სკამისა და ელეგანტური შუშის ზედაპირიანი მაგიდისგან ხელოვნური რატანიძალიან მდგრადია ამინდის პირობების ტენი...</t>
  </si>
  <si>
    <t xml:space="preserve">ბაღის ავეჯის კომპლექტი მაგიდა დივანი და 2 სავარძელი</t>
  </si>
  <si>
    <t xml:space="preserve">17051526</t>
  </si>
  <si>
    <t xml:space="preserve">https://superi.ge/2-ka/</t>
  </si>
  <si>
    <t xml:space="preserve">ბაღის ავეჯის კომპლექტი მაგიდა დივანი და 2 სავარძელი ელეგანტური და თანამედროვე ბაღის ავეჯის კომპლექტი იდეალურია თქვენს აივანზე ტერასაზე ან ბაღში მყუდრო დასასვენე...</t>
  </si>
  <si>
    <t xml:space="preserve">შეიძინეთ ბაღის ავეჯის კომპლექტი მაგიდა დივანი და 2 სავარძელი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</si>
  <si>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ბუდე საქანელა HAMSO - ყავისფერი ბალიშებით</t>
  </si>
  <si>
    <t xml:space="preserve">234609</t>
  </si>
  <si>
    <t xml:space="preserve">https://superi.ge/hamso/</t>
  </si>
  <si>
    <t xml:space="preserve">• ტიპი ბუდე საქანელა • ადგილების რაოდენობა 1 • დატვირთვა 120 კგ ფიზიკური პარამეტრები • კონსტრუქციის მასალა მეტალი • სიგანე 100 სმ • სიგანე 100 სმ • კონსტრუქციის...</t>
  </si>
  <si>
    <t xml:space="preserve">შეიძინეთ ბუდე საქანელა HAMSO - ყავისფერი ბალიშებით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</si>
  <si>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დისპენსერი MILLEN TY-LYR801W</t>
  </si>
  <si>
    <t xml:space="preserve">SA0000008228</t>
  </si>
  <si>
    <t xml:space="preserve">https://superi.ge/millen-ty-lyr801w/</t>
  </si>
  <si>
    <t xml:space="preserve">შეიძინეთ დისპენსერი MILLEN TY-LYR801W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</si>
  <si>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მტვერსასრუტი GORENJE VC1801SFABKR</t>
  </si>
  <si>
    <t xml:space="preserve">I91740</t>
  </si>
  <si>
    <t xml:space="preserve">https://superi.ge/gorenje-vc1801sfabkr/</t>
  </si>
  <si>
    <t xml:space="preserve">• ტიპი კონტეინერით • სიმძლავრე 1800 W • შესრუტვის სიმძლავრე 280 W • მტვრის კონტეინერის მოცულობა 3 ლ • დასუფთავების რადიუსი 8 მ • დასუფთავების ტიპი მშრალი • ხმაუ...</t>
  </si>
  <si>
    <t xml:space="preserve">შეიძინეთ მტვერსასრუტი GORENJE VC1801SFABKR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</si>
  <si>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მტვერსასრუტი SAMSUNG VCC8836V36/XEV</t>
  </si>
  <si>
    <t xml:space="preserve">S29915</t>
  </si>
  <si>
    <t xml:space="preserve">https://superi.ge/samsung-vcc8836v36-xev/</t>
  </si>
  <si>
    <t xml:space="preserve">• ტიპი კონტეინერით • მაქსიმალური სიმძლავრე 2200 W • შესრუტვის სიმძლავრე 430 W • მტვრის კონტეინერის მოცულობა 2 ლ • ფილტრი HEPA H13 ძრავის დამცვლელი ფილტრი • მოქმ...</t>
  </si>
  <si>
    <t xml:space="preserve">შეიძინეთ მტვერსასრუტი SAMSUNG VCC8836V36/XEV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</si>
  <si>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პრინტერი XEROX PHASER 3020BI</t>
  </si>
  <si>
    <t xml:space="preserve">114245</t>
  </si>
  <si>
    <t xml:space="preserve">https://superi.ge/xerox-phaser-3020bi/</t>
  </si>
  <si>
    <t xml:space="preserve">• Brand Xerox • Model Phaser 3020BI • Type Printing Only • Main Functions • Printer Yes • Printer/Copier Key Features • Maximum Format A4 • Technology Laser • O...</t>
  </si>
  <si>
    <t xml:space="preserve">შეიძინეთ პრინტერი XEROX PHASER 3020BI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</si>
  <si>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 TCL 32D3400 (2024)</t>
  </si>
  <si>
    <t xml:space="preserve">150910</t>
  </si>
  <si>
    <t xml:space="preserve">https://superi.ge/tcl-32d3400-2024/</t>
  </si>
  <si>
    <t xml:space="preserve">ზოგადი ინფორმაცია ბრენდი TCLმოდელი/PN 32D3400/MS36X-EU/GEტიპი LEDეკრანი დიაგონალი 32 გარჩევადობა 1366 x 768 HD ეკრანის ფორმატი 16 9განათება DLEDსიკაშკაშე 220 კდ...</t>
  </si>
  <si>
    <t xml:space="preserve">შეიძინეთ ტელევიზორი TCL 32D3400 (2024)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</si>
  <si>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ყინულის აპარატი Zilan ZLN1177</t>
  </si>
  <si>
    <t xml:space="preserve">00-00012591</t>
  </si>
  <si>
    <t xml:space="preserve">https://superi.ge/zilan-zln1177/</t>
  </si>
  <si>
    <t xml:space="preserve">ზოგადი ინფორმაცია • ბრენდი Zilan • მოდელი ZLN1177 • ტიპი ყინულის აპარატი • კატეგორია მინი ყინულის აპარატი • გამოყენება სახლი ოფისი და მცირე სივრცეები ძირითადი მ...</t>
  </si>
  <si>
    <t xml:space="preserve">შეიძინეთ ყინულის აპარატი Zilan ZLN1177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</si>
  <si>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გამწოვი SAMSUNG NK24M1030IB/UR</t>
  </si>
  <si>
    <t xml:space="preserve">S50562</t>
  </si>
  <si>
    <t xml:space="preserve">https://superi.ge/samsung-nk24m1030ib-ur/</t>
  </si>
  <si>
    <t xml:space="preserve">• გამწოვის ტიპი ტელესკოპური • მონტაჟი ჩასაშენებელი • წარმადობა 392 მ³/სთ • სიგანე 60 სმ • სიჩქარეების რაოდენობა 3 • ფილტრების რაოდენობა 2 • ძრავის რაოდენობა 1 •...</t>
  </si>
  <si>
    <t xml:space="preserve">შეიძინეთ გამწოვი SAMSUNG NK24M1030IB/UR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</si>
  <si>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აეროგრილი NUTRIBULLET NBA081B (8 L)</t>
  </si>
  <si>
    <t xml:space="preserve">S70946</t>
  </si>
  <si>
    <t xml:space="preserve">https://superi.ge/nutribullet-nba081b-8-l/</t>
  </si>
  <si>
    <t xml:space="preserve">• მოდელი NBA081B • ტიპი აეროგრილი • სიმძლავრე 2850 W • მოცულობა 8 ლ 4 X 2 • შეწვის რეჟიმების რაოდენობა 8 • კონტროლის ტიპი სენსორული • ტემპერატურის დიაპაზონი 80 ...</t>
  </si>
  <si>
    <t xml:space="preserve">შეიძინეთ აეროგრილი NUTRIBULLET NBA081B (8 L)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</si>
  <si>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აუზი INTEX 26700 (305 x 76 სმ)</t>
  </si>
  <si>
    <t xml:space="preserve">6941057414249</t>
  </si>
  <si>
    <t xml:space="preserve">https://superi.ge/intex-26700-305-x-76/</t>
  </si>
  <si>
    <t xml:space="preserve">• ტიპი კარკასული • მოცულობა 4485 ლ დამატებითი მახასიათებლები • ფორმა მრგვალი • წყლის დამცველი სარქველი კი ფიზიკური პარამეტრები • კარკასის მასალა უჟანგავი ლითონი...</t>
  </si>
  <si>
    <t xml:space="preserve">შეიძინეთ აუზი INTEX 26700 (305 x 76 სმ)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</si>
  <si>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მიკროტალღური ღუმელი SAMSUNG ME83XR</t>
  </si>
  <si>
    <t xml:space="preserve">140122</t>
  </si>
  <si>
    <t xml:space="preserve">https://superi.ge/samsung-me83xr/</t>
  </si>
  <si>
    <t xml:space="preserve">• მართვის ტიპი სენსორული • მაქსიმალური სიმძლავრე 1250 W • მიკროტალღების სიმძლავრე 850 W • მოხმარებული სიმძლავრე მიკროტალღები 1250 W • მოცულობა 23 ლ დამატებითი მ...</t>
  </si>
  <si>
    <t xml:space="preserve">შეიძინეთ მიკროტალღური ღუმელი SAMSUNG ME83XR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</si>
  <si>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გაზონის საკრეჭი მანქანა INGCO LM385</t>
  </si>
  <si>
    <t xml:space="preserve">169470</t>
  </si>
  <si>
    <t xml:space="preserve">https://superi.ge/ingco-lm385/</t>
  </si>
  <si>
    <t xml:space="preserve">• ტიპი დენზე მომუშავე • სიმძლავრე 1600 W • თავისუფალი ბრუნვის სიჩქარე 3500 ბრ/წთ • ბალახის ჭრის სიგანე 380 მმ • ბალახის ჭრის სიმაღლე 28-48-68 მმ • ბალახის შესაგ...</t>
  </si>
  <si>
    <t xml:space="preserve">შეიძინეთ გაზონის საკრეჭი მანქანა INGCO LM385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</si>
  <si>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მიკროტალღური ღუმელი SAMSUNG MG23K3515AK/BW</t>
  </si>
  <si>
    <t xml:space="preserve">S15316</t>
  </si>
  <si>
    <t xml:space="preserve">https://superi.ge/samsung-mg23k3515ak-bw/</t>
  </si>
  <si>
    <t xml:space="preserve">• მართვის ტიპი ღილაკებით • მიკროტალღურის სიმძლავრე 1250 W • გრილი • გრილის სიმძლავრე 1000 W • მაქსიმალური სიმძლავრე 2300 W • მიკროტალღების გამომავალი სიმძლავრე ...</t>
  </si>
  <si>
    <t xml:space="preserve">შეიძინეთ მიკროტალღური ღუმელი SAMSUNG MG23K3515AK/BW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</si>
  <si>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ველოსიპედი TRINX SMILE TX1410</t>
  </si>
  <si>
    <t xml:space="preserve">174875</t>
  </si>
  <si>
    <t xml:space="preserve">https://superi.ge/trinx-smile-tx1410/</t>
  </si>
  <si>
    <t xml:space="preserve">• ტიპი საბავშვო • საბურავის დიამეტრი 14 • სიჩქარეების რაოდენობა 1 • დამხმარე საბურავების რაოდენობა 2 • დანიშნულება 3-6 წელი • დისკის ტიპი ღეროვანი</t>
  </si>
  <si>
    <t xml:space="preserve">შეიძინეთ ველოსიპედი TRINX SMILE TX1410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</si>
  <si>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აეროგრილი BOSCH MAF462B0 (6.1ლ)</t>
  </si>
  <si>
    <t xml:space="preserve">S89969</t>
  </si>
  <si>
    <t xml:space="preserve">https://superi.ge/bosch-maf462b0-6-1/</t>
  </si>
  <si>
    <t xml:space="preserve">ზოგადი ინფორმაცია • ბრენდი Bosch • მოდელი MAF462B0 • ტიპი აეროგრილი • მართვის ტიპი სენსორული ძირითადი მახასიათებლები • სიმძლავრე 2050 W • კალათის მოცულობა 6 1 ლ...</t>
  </si>
  <si>
    <t xml:space="preserve">შეიძინეთ აეროგრილი BOSCH MAF462B0 (6.1ლ)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</si>
  <si>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ბაღის ავეჯის კომპლექტი Koopman 042280180 მაგიდა და 2 სკამი</t>
  </si>
  <si>
    <t xml:space="preserve">17051394</t>
  </si>
  <si>
    <t xml:space="preserve">https://superi.ge/koopman-042280180-2/</t>
  </si>
  <si>
    <t xml:space="preserve">ბაღის ავეჯის კომპლექტი Koopman 042280180 მაგიდა და 2 სკამინაცრისფერი ფერის მქონებაღის ავეჯის კომპლექტსშეუძლია შექმნას დახვეწილი და თანამედროვე სახე ნებისმიერ გა...</t>
  </si>
  <si>
    <t xml:space="preserve">შეიძინეთ ბაღის ავეჯის კომპლექტი Koopman 042280180 მაგიდა და 2 სკამი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</si>
  <si>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ელექტრო ღუმელი FRANKO FCO-1091</t>
  </si>
  <si>
    <t xml:space="preserve">155459</t>
  </si>
  <si>
    <t xml:space="preserve">https://superi.ge/franko-fco-1091/</t>
  </si>
  <si>
    <t xml:space="preserve">• მართვის ტიპი მექანიკური • მაქსიმალური სიმძლავრე 1500 W • მოცულობა 52 ლ • თერმოსტატი 80 - 320°C • დანიშნულება გამოცხობა შებრაწვა მახასიათებლები • კონვექცია • ა...</t>
  </si>
  <si>
    <t xml:space="preserve">შეიძინეთ ელექტრო ღუმელი FRANKO FCO-1091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</si>
  <si>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ელექტრო ჩაიდანი BRAUN WK5115BK</t>
  </si>
  <si>
    <t xml:space="preserve">I90254</t>
  </si>
  <si>
    <t xml:space="preserve">https://superi.ge/braun-wk5115bk/</t>
  </si>
  <si>
    <t xml:space="preserve">• ტიპი სტანდარტული • სიმძლავრე 3000 W • მოცულობა 1 7 ლ მახასიათებლები • გაცხელება მითითებულ ტემპერატურაზე • ტემპერატურის რეჟიმების რაოდენობა 5 40° 70° 80° 90° 1...</t>
  </si>
  <si>
    <t xml:space="preserve">შეიძინეთ ელექტრო ჩაიდანი BRAUN WK5115BK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</si>
  <si>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კარკასული აუზი INTEX 28200 (4485 ლტ)</t>
  </si>
  <si>
    <t xml:space="preserve">6941057400297</t>
  </si>
  <si>
    <t xml:space="preserve">https://superi.ge/intex-28200/</t>
  </si>
  <si>
    <t xml:space="preserve">• ტიპი კარკასული • მოცულობა 4485 ლიტრი • დიამეტრი 305 სმ • სიმაღლე 76 სმ • მონტაჟის დრო 30 წთ • SUPER-TOUGH ტექნოლოგია აუზის კედლების სამმაგი სიძლიერე კომპლექტა...</t>
  </si>
  <si>
    <t xml:space="preserve">შეიძინეთ კარკასული აუზი INTEX 28200 (4485 ლტ)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</si>
  <si>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ნაძვის ხე CANSUS 240სმ (00-00018337)</t>
  </si>
  <si>
    <t xml:space="preserve">239389</t>
  </si>
  <si>
    <t xml:space="preserve">https://superi.ge/cansus-240-00-00018337/</t>
  </si>
  <si>
    <t xml:space="preserve">• მწარმოებელი CANSUS • მწარმოებელი ქვეყანა თურქეთი ფიზიკური პარამეტრები • სიმაღლე 240 სმ • წონა 9 კგ • ფერი მწვანე</t>
  </si>
  <si>
    <t xml:space="preserve">შეიძინეთ ნაძვის ხე CANSUS 240სმ (00-00018337)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</si>
  <si>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აუზი BESTWAY 56677</t>
  </si>
  <si>
    <t xml:space="preserve">189230</t>
  </si>
  <si>
    <t xml:space="preserve">https://superi.ge/bestway-56677/</t>
  </si>
  <si>
    <t xml:space="preserve">• ტიპი კარკასული • მოცულობა 4678 ლ დამატებითი მახასიათებლები • მონტაჟის დრო 30 წთ • ფოლადის ჩარჩო • ინსტრუქცია DVD დისკთან ერთად ფიზიკური პარამეტრები • დიამეტრი...</t>
  </si>
  <si>
    <t xml:space="preserve">შეიძინეთ აუზი BESTWAY 56677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</si>
  <si>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გასაბერი აუზი BESTWAY 57274 (5377 ლტ)</t>
  </si>
  <si>
    <t xml:space="preserve">177638</t>
  </si>
  <si>
    <t xml:space="preserve">https://superi.ge/bestway-57274/</t>
  </si>
  <si>
    <t xml:space="preserve">• ტიპი გასაბერი • მოცულობა 5377 ლ დამატებითი მახასიათებლები • ფორმა მრგვალი • წყლის დამცველი სარქველი კი • ტუმბო ფილტრი ფიზიკური პარამეტრები • მასალა მყარი ვინი...</t>
  </si>
  <si>
    <t xml:space="preserve">შეიძინეთ გასაბერი აუზი BESTWAY 57274 (5377 ლტ)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</si>
  <si>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წნევით სარეცხი აპარატი INGCO HPWR14008</t>
  </si>
  <si>
    <t xml:space="preserve">169458</t>
  </si>
  <si>
    <t xml:space="preserve">https://superi.ge/ingco-hpwr14008/</t>
  </si>
  <si>
    <t xml:space="preserve">• მაქსიმალური წნევა 130 bar • სიმძლავრე 1 4 kW • მაქსიმალური გამტარიანობა 5 5 ლ/წთ დამატებითი მახასიათებლები • ავტომატური გაჩერების სისტემა • მაღალი მწარმოებლობ...</t>
  </si>
  <si>
    <t xml:space="preserve">შეიძინეთ წნევით სარეცხი აპარატი INGCO HPWR14008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</si>
  <si>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აეროგრილი ARZUM AR2076-S (7.5L)</t>
  </si>
  <si>
    <t xml:space="preserve">S20262</t>
  </si>
  <si>
    <t xml:space="preserve">https://superi.ge/arzum-ar2076-s-7-5l/</t>
  </si>
  <si>
    <t xml:space="preserve">• ბრენდი Arzum • მოდელი AR2076-S • პროდუქტის ტიპი აეროგრილი • სიმძლავრე 1750 W • ტევადობა 7 5 ლ • მოსახსნელი თასი დიახ • ტაიმერი დიახ • პროგრამების რაოდენობა 7 ...</t>
  </si>
  <si>
    <t xml:space="preserve">შეიძინეთ აეროგრილი ARZUM AR2076-S (7.5L)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</si>
  <si>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ელექტრო გამათბობელი ZILAN ZLN2823</t>
  </si>
  <si>
    <t xml:space="preserve">S82133</t>
  </si>
  <si>
    <t xml:space="preserve">https://superi.ge/zilan-zln2823/</t>
  </si>
  <si>
    <t xml:space="preserve">• მაქსიმალური სიმძლავრე 2000 W • გასათბობი ფართი 15–20 მ² • დაყენება იატაკი / კედელი • მართვის ტიპი ელექტრონული დამატებითი მახასიათებლები • LCD დისფლეი • კომპაქ...</t>
  </si>
  <si>
    <t xml:space="preserve">შეიძინეთ ელექტრო გამათბობელი ZILAN ZLN2823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</si>
  <si>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ზეთის გამათბობელი SENCOR SOH 3209WH OIL HEATER</t>
  </si>
  <si>
    <t xml:space="preserve">123317</t>
  </si>
  <si>
    <t xml:space="preserve">https://superi.ge/sencor-soh-3209wh-oil-heater/</t>
  </si>
  <si>
    <t xml:space="preserve">• სიმძლავრე 2000 W • განყოფილებების რაოდენობა 9 • გათბობის ფართობი 20 მ2 დამატებითი მახასიათებლები • ტემპერატურის რეგულირება • დაცვა გადახურებისგან • მუშაობის მ...</t>
  </si>
  <si>
    <t xml:space="preserve">შეიძინეთ ზეთის გამათბობელი SENCOR SOH 3209WH OIL HEATER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</si>
  <si>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ინდუსტრიული მტვერსასრუტი 2E PowerClean (2E-VC2012SSD)</t>
  </si>
  <si>
    <t xml:space="preserve">2E-VC2012SSD</t>
  </si>
  <si>
    <t xml:space="preserve">https://superi.ge/2e-powerclean-2e-vc2012ssd/</t>
  </si>
  <si>
    <t xml:space="preserve">ზოგადი ინფორმაცია • ბრენდი 2E • მოდელი PowerClean 20S • მოდელის კოდი 2E-VC2012SSD • ტიპი პროფესიონალური მტვერსასრუტი • კატეგორია ინდუსტრიული მტვერსასრუტი • წმენ...</t>
  </si>
  <si>
    <t xml:space="preserve">შეიძინეთ ინდუსტრიული მტვერსასრუტი 2E PowerClean (2E-VC2012SSD)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</si>
  <si>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აეროგრილი XIAOMI DEERMA DEM-KZ130W</t>
  </si>
  <si>
    <t xml:space="preserve">DEM-KZ130W</t>
  </si>
  <si>
    <t xml:space="preserve">https://superi.ge/xiaomi-deerma-dem-kz130w/</t>
  </si>
  <si>
    <t xml:space="preserve">• ბრენდი Deerma • მოდელი DEM-KZ130W • პროდუქტის ტიპი აეროგრილი • კონტროლის ტიპი Touch • პროგრამების რაოდენობა 8 • მოცულობა 5 5 ლ • სიმძლავრე 1300 W • ტაიმერის ხ...</t>
  </si>
  <si>
    <t xml:space="preserve">შეიძინეთ აეროგრილი XIAOMI DEERMA DEM-KZ130W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</si>
  <si>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მტვერსასრუტი ARSHIA VC150-2295</t>
  </si>
  <si>
    <t xml:space="preserve">195136</t>
  </si>
  <si>
    <t xml:space="preserve">https://superi.ge/arshia-vc150-2295/</t>
  </si>
  <si>
    <t xml:space="preserve">• ტიპი კონტეინერით • სიმძლავრე 1800- 2400 W • დასუფთავების ტიპი მშრალი • ფილტრის ტიპი HEPA • კვების ტიპი ქსელის მახასიათებლები • სიმძლავრის რეგულირება • ტელესკო...</t>
  </si>
  <si>
    <t xml:space="preserve">შეიძინეთ მტვერსასრუტი ARSHIA VC150-2295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</si>
  <si>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ზეთის გამათბობელი SENCOR SOH 3309BK</t>
  </si>
  <si>
    <t xml:space="preserve">145153</t>
  </si>
  <si>
    <t xml:space="preserve">https://superi.ge/sencor-soh-3309bk/</t>
  </si>
  <si>
    <t xml:space="preserve">• სიმძლავრე 2000 W • სექციების რაოდენობა 9 • სიმძლავრის რაოდენობა 3 დამატებითი მახასიათებლები • მართვის ტიპი მექანიკური • ტემპერატურის კონტროლი • რეგულირებადი ს...</t>
  </si>
  <si>
    <t xml:space="preserve">შეიძინეთ ზეთის გამათბობელი SENCOR SOH 3309BK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</si>
  <si>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გეიმერული სავარძელი ALLX SK8815</t>
  </si>
  <si>
    <t xml:space="preserve">SK8815</t>
  </si>
  <si>
    <t xml:space="preserve">https://superi.ge/allx-sk8815/</t>
  </si>
  <si>
    <t xml:space="preserve">• ბრენდი ALLX • მოდელი SK8815 • პროდუქტის ტიპი გეიმერული სავარძელი • გაზის ამწე 2 კლასი 85 მმ • ქრომირებული ბაზა R320 მმ • დახრის მექანიზმი დიახ • ქაფის სისქე 1...</t>
  </si>
  <si>
    <t xml:space="preserve">შეიძინეთ გეიმერული სავარძელი ALLX SK8815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</si>
  <si>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აერო გრილი MIDEA MF-CY75C (7 L)</t>
  </si>
  <si>
    <t xml:space="preserve">S45635</t>
  </si>
  <si>
    <t xml:space="preserve">https://superi.ge/midea-mf-cy75c-7-l/</t>
  </si>
  <si>
    <t xml:space="preserve">მახასიათებლები • პროდუქტის ტიპი აეროგრილი • სიმძლავრე 1300-1450W • ვოლტაჟი 220-240V • მოცულობა 7 ლ • ელექტრონული კონტროლი დიახ • მართვის ტიპი Touch Screen • ტემ...</t>
  </si>
  <si>
    <t xml:space="preserve">შეიძინეთ აერო გრილი MIDEA MF-CY75C (7 L)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</si>
  <si>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ბაღის ავეჯის კომპლექტი მაგიდა 80x70 სმ 4 სკამი 53x58x74 სმ</t>
  </si>
  <si>
    <t xml:space="preserve">17051574</t>
  </si>
  <si>
    <t xml:space="preserve">https://superi.ge/80x70-4-53x58x74/</t>
  </si>
  <si>
    <t xml:space="preserve">კომპლექტაცია • მაგიდა • 4 ც სკამი • ქოლგა ფიზიკური პარამეტრები • მაგიდის ზომა 80x70 სმ • სკამის ზომა 53x58x74 სმ • ქოლგა 160x160x210 სმ • ფერი შავი ნაცრისფერი გ...</t>
  </si>
  <si>
    <t xml:space="preserve">შეიძინეთ ბაღის ავეჯის კომპლექტი მაგიდა 80x70 სმ 4 სკამი 53x58x74 სმ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</si>
  <si>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გამწოვი GRAETZ 3461.60 BLACK</t>
  </si>
  <si>
    <t xml:space="preserve">S51927</t>
  </si>
  <si>
    <t xml:space="preserve">https://superi.ge/graetz-3461-60-black/</t>
  </si>
  <si>
    <t xml:space="preserve">• გამწოვის ტიპი გუმბათოვანი • მონტაჟი კედელზე დასაკიდი • წარმადობა 1000 მ³/სთ მახასიათებლები • მართვის ტიპი მექანიკური / ღილაკებით • LED განათება • ნათურის რაოდ...</t>
  </si>
  <si>
    <t xml:space="preserve">შეიძინეთ გამწოვი GRAETZ 3461.60 BLACK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</si>
  <si>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მტვერსასრუტი ARNICA PIKA ET14411</t>
  </si>
  <si>
    <t xml:space="preserve">193411</t>
  </si>
  <si>
    <t xml:space="preserve">https://superi.ge/arnica-pika-et14411/</t>
  </si>
  <si>
    <t xml:space="preserve">• ტიპი კონტეინერით • სიმძლავრე 2400 W • შესრუტვის სიმძლავრე 750 W • კონტეინერის ტევადობა 2 5 ლ • ჰაერის ფილტრი Washable AFS სისტემა • დასუფთავების რადიუსი 8 მ •...</t>
  </si>
  <si>
    <t xml:space="preserve">შეიძინეთ მტვერსასრუტი ARNICA PIKA ET14411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</si>
  <si>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პორტატული დამტენი CANYON PB-2010 CNE-CPB2010DG (27000mAh)</t>
  </si>
  <si>
    <t xml:space="preserve">156821</t>
  </si>
  <si>
    <t xml:space="preserve">https://superi.ge/canyon-pb-2010-cne-cpb2010dg-27000mah/</t>
  </si>
  <si>
    <t xml:space="preserve">• ბრენდი Canyon • მოდელი CNE-CPB2010DG • პროდუქტის ტიპი პორტატული დამტენი • მაქსიმალური გამომავალი სიმძლავრე 140 W • ბატარეის ტევადობა 27000 mAh • მაქსიმალური გ...</t>
  </si>
  <si>
    <t xml:space="preserve">შეიძინეთ პორტატული დამტენი CANYON PB-2010 CNE-CPB2010DG (27000mAh)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</si>
  <si>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სმარტ საათი XIAOMI AMAZFIT GTR 2 THUNDER BLACK</t>
  </si>
  <si>
    <t xml:space="preserve">Z-023828</t>
  </si>
  <si>
    <t xml:space="preserve">https://superi.ge/xiaomi-amazfit-gtr-2-thunder-black/</t>
  </si>
  <si>
    <t xml:space="preserve">ეკრანი • ეკრანის დიამეტრი 1 39 • გაფართოება 454 x 454 326 PPI • ეკრანის ტიპი AMOLED • სენსორული კი ოპერატიული სისტემა • თავსებადობა Android 5 0+ iOS 10 0+ უსადე...</t>
  </si>
  <si>
    <t xml:space="preserve">შეიძინეთ სმარტ საათი XIAOMI AMAZFIT GTR 2 THUNDER BLACK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</si>
  <si>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კარტრიჯი HP 203A (CF540A)</t>
  </si>
  <si>
    <t xml:space="preserve">166018</t>
  </si>
  <si>
    <t xml:space="preserve">https://superi.ge/hp-203a-cf540a/</t>
  </si>
  <si>
    <t xml:space="preserve">• ტიპი ლაზერული კარტრიჯი • რესურსი 1400 გვერდი • მელანი შავი • მოწყობილობებისთვის პრინტერები თავსებადობა • HP Color LaserJet Pro M254dw M254nw MFP M280nw MFP M2...</t>
  </si>
  <si>
    <t xml:space="preserve">შეიძინეთ კარტრიჯი HP 203A (CF540A)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</si>
  <si>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აუზი INTEX 28118 ფილტრით</t>
  </si>
  <si>
    <t xml:space="preserve">6941057420530</t>
  </si>
  <si>
    <t xml:space="preserve">https://superi.ge/intex-28118/</t>
  </si>
  <si>
    <t xml:space="preserve">ტიპი გასაბერი • მოცულობა 3077 ლ მახასიათებლები • კარტრიჯის ტუმბოს ფილტრი 1250 ლ/სთ • სანიაღვრე სარქველი • ფორმა მრგვალი ფიზიკური პარამეტრები • ზომები სიმაღლე/დი...</t>
  </si>
  <si>
    <t xml:space="preserve">შეიძინეთ აუზი INTEX 28118 ფილტრით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</si>
  <si>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კარკასული აუზი BESTWAY 56403 (2300 ლტ)</t>
  </si>
  <si>
    <t xml:space="preserve">157972</t>
  </si>
  <si>
    <t xml:space="preserve">https://superi.ge/bestway-56403/</t>
  </si>
  <si>
    <t xml:space="preserve">• მოცულობა 2300 ლიტრი • ზომა 259 x 170 x 61 სმ • შეფუთული პროდუქტის ზომა 30 x 89 x 23 5 სმ • მასალა PVC • წონა 16 05 კგ • ფერი ლურჯი</t>
  </si>
  <si>
    <t xml:space="preserve">შეიძინეთ კარკასული აუზი BESTWAY 56403 (2300 ლტ)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</si>
  <si>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ავტომობილის აკუმულატორი AUTOPOWER A74-L3 R PLUS 74 A/H</t>
  </si>
  <si>
    <t xml:space="preserve">172341</t>
  </si>
  <si>
    <t xml:space="preserve">https://superi.ge/autopower-a74-l3-r-plus-74-a-h/</t>
  </si>
  <si>
    <t xml:space="preserve">• დანიშნულება საავტომობილო მსუბუქი • მოცულობა 74 Ah • ძაბვა 12 V • სასტარტო სიმძლავრე 680 А • პოლარობა პლიუსის ტერმინალი მარჯვნივ • ტერმინალის ტიპი EUR • ტექნოლ...</t>
  </si>
  <si>
    <t xml:space="preserve">შეიძინეთ ავტომობილის აკუმულატორი AUTOPOWER A74-L3 R PLUS 74 A/H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</si>
  <si>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კარკასული აუზი INTEX 28271 (2282 ლტ)</t>
  </si>
  <si>
    <t xml:space="preserve">148534</t>
  </si>
  <si>
    <t xml:space="preserve">https://superi.ge/intex-28271/</t>
  </si>
  <si>
    <t xml:space="preserve">• მოცულობა 2282 ლიტრი • ზომები 260 x 160 x 65 სმ • წონა 18 კგ • ფერი ლურჯი</t>
  </si>
  <si>
    <t xml:space="preserve">შეიძინეთ კარკასული აუზი INTEX 28271 (2282 ლტ)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</si>
  <si>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წყლის დისპენსერი ALNEO YLR2-84A</t>
  </si>
  <si>
    <t xml:space="preserve">01402</t>
  </si>
  <si>
    <t xml:space="preserve">https://superi.ge/alneo-ylr2-84a/</t>
  </si>
  <si>
    <t xml:space="preserve">ტიპი იატაკზე დასადგამიგაგრილების სიმძლავრე 150 Wცივი წყლის ავზის მოცულობა 2 0 ლ/სთცივი წყლის ტემპერატურა ≤10℃ცხელი წყლის ტემპერატურა ≥85-95℃გაცხელების სიმძლავრე...</t>
  </si>
  <si>
    <t xml:space="preserve">შეიძინეთ წყლის დისპენსერი ALNEO YLR2-84A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</si>
  <si>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წყლის ელექტრო გამაცხელებელი GRAETZ TE50B20 (50LT)</t>
  </si>
  <si>
    <t xml:space="preserve">S67672</t>
  </si>
  <si>
    <t xml:space="preserve">https://superi.ge/graetz-te50b20-50lt/</t>
  </si>
  <si>
    <t xml:space="preserve">ბრენდი Graetz მოდელი TE50B20პროდუქტის ტიპი წყლის გამაცხელებელი გამაცხელებლის ტიპი ელექტრო სიმძლავრე 1980 Wმოცულობა 50 ლტ ცხელი წყლის ტემპერატურა 75° წყლის რეზერ...</t>
  </si>
  <si>
    <t xml:space="preserve">შეიძინეთ წყლის ელექტრო გამაცხელებელი GRAETZ TE50B20 (50LT)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</si>
  <si>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აეოგრილი SENCOR SFR 6550BK</t>
  </si>
  <si>
    <t xml:space="preserve">154034</t>
  </si>
  <si>
    <t xml:space="preserve">https://superi.ge/sencor-sfr-6550bk/</t>
  </si>
  <si>
    <t xml:space="preserve">• ბრენდი Sencor • მოდელი SFR 6550BK • პროდუქტის ტიპი აეროგრილი • კონტროლის ტიპი ელექტრო / სენსორული • ეკრანი დიახ • ტემპერატურის კონტროლი დიახ • ავტომატური გამო...</t>
  </si>
  <si>
    <t xml:space="preserve">შეიძინეთ აეოგრილი SENCOR SFR 6550BK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</si>
  <si>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გამწოვი BEKO CTB 6407 X</t>
  </si>
  <si>
    <t xml:space="preserve">S93063</t>
  </si>
  <si>
    <t xml:space="preserve">https://superi.ge/beko-ctb-6407-x/</t>
  </si>
  <si>
    <t xml:space="preserve">• გამწოვის ტიპი ტელესკოპური • მონტაჟი სამზარეულოს კარადაში ჩასამონტაჟებელი • მუშაობის რეჟიმი გატანა და რეცირკულაცია • წარმადობა 280 მ³/სთ • სიგანე 60 სმ • სიჩქა...</t>
  </si>
  <si>
    <t xml:space="preserve">შეიძინეთ გამწოვი BEKO CTB 6407 X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</si>
  <si>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გამწოვი LUXELL DA6-865 W</t>
  </si>
  <si>
    <t xml:space="preserve">223529</t>
  </si>
  <si>
    <t xml:space="preserve">https://superi.ge/luxell-da6-865-w/</t>
  </si>
  <si>
    <t xml:space="preserve">• გამწოვის ტიპი გუმბათოვანი • მონტაჟი კედელზე დასაკიდი • წარმადობა 850 მ³/სთ • სიჩქარეების რაოდენობა 3 • ძრავის რაოდენობა 1 • ხმაურის დონე 59-70 dB მახასიათებლე...</t>
  </si>
  <si>
    <t xml:space="preserve">შეიძინეთ გამწოვი LUXELL DA6-865 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</si>
  <si>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კარკასული აუზი BESTWAY 56401</t>
  </si>
  <si>
    <t xml:space="preserve">189485</t>
  </si>
  <si>
    <t xml:space="preserve">https://superi.ge/bestway-56401/</t>
  </si>
  <si>
    <t xml:space="preserve">• ტიპი კარკასული • მოცულობა 1200 ლ ფიზიკური პარამეტრები • მასალა ვინილი/ PVC / უჟანგავი ლითონი • ზომა 221 x 150 სმ • სიმაღლე 43 სმ • წონა 10 კგ • ფერი ლურჯი</t>
  </si>
  <si>
    <t xml:space="preserve">შეიძინეთ კარკასული აუზი BESTWAY 56401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</si>
  <si>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მიკროტალღური ღუმელი GORENJE MO17E1S</t>
  </si>
  <si>
    <t xml:space="preserve">S38446</t>
  </si>
  <si>
    <t xml:space="preserve">https://superi.ge/gorenje-mo17e1s/</t>
  </si>
  <si>
    <t xml:space="preserve">• ტიპი ცალკე მდგომი • მართვის ტიპი მექანიკური • სიმძლავრე 700 W • მოცულობა 17 ლ • სიმძლავრის დონეების რაოდენობა 5 • ხმაურის დონე 60 dB მახასიათებლები • ავტომატუ...</t>
  </si>
  <si>
    <t xml:space="preserve">შეიძინეთ მიკროტალღური ღუმელი GORENJE MO17E1S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</si>
  <si>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მონიტორი PHILIPS 221V8/00</t>
  </si>
  <si>
    <t xml:space="preserve">175595</t>
  </si>
  <si>
    <t xml:space="preserve">https://superi.ge/philips-221v8-00/</t>
  </si>
  <si>
    <t xml:space="preserve">დისპლეი • დიაგონალი 21 5 • გაფართოება 1920 x 1080 • მხარეების თანაფარდობა 16 9 • ტექნოლოგია VA • განათება LED • ზედაპირი მქრალი • სიკაშკაშე 200 cd/m² • კონტრასტ...</t>
  </si>
  <si>
    <t xml:space="preserve">შეიძინეთ მონიტორი PHILIPS 221V8/00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</si>
  <si>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როუტერი TP-Link ARCHER MR500 4G+ CAT6 AC1200 LTE</t>
  </si>
  <si>
    <t xml:space="preserve">S45946</t>
  </si>
  <si>
    <t xml:space="preserve">ტექნიკა &gt; საოფისე და ქსელური მოწყობილობები &gt; როუტერები</t>
  </si>
  <si>
    <t xml:space="preserve">https://superi.ge/tp-link-archer-mr500-4g-cat6-ac1200-lte/</t>
  </si>
  <si>
    <t xml:space="preserve">ინტერფეისი 1 × 10/100/1000 Mbps LAN/WAN Port 3 × 10/100/1000 Mbps LAN Ports 1 × Nano SIM Card Slot უსადენო ქსელის მახასიათებლები • 4G+ მხარდაჭერა დიახ • სიმ ბარ...</t>
  </si>
  <si>
    <t xml:space="preserve">შეიძინეთ როუტერი TP-Link ARCHER MR500 4G+ CAT6 AC1200 LTE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</si>
  <si>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სათამაშო LEGO NINJAGO - THE HULKBUSTER: THE BATTLE OF WAKANDA (76247)</t>
  </si>
  <si>
    <t xml:space="preserve">226321</t>
  </si>
  <si>
    <t xml:space="preserve">https://superi.ge/lego-ninjago-the-hulkbuster-the-battle-of-wakanda-76247/</t>
  </si>
  <si>
    <t xml:space="preserve">• მწარმოებელი LEGO • ასაკი 8 წლიდან • ასაწყობი ფიგურების რაოდენობა 385 • ხელს უწყობს გონების განვითარებას • მარტივად დაშლადი-ასაწყობი კონსტრუქცია ფიზიკური პარამ...</t>
  </si>
  <si>
    <t xml:space="preserve">შეიძინეთ სათამაშო LEGO NINJAGO - THE HULKBUSTER: THE BATTLE OF WAKANDA (76247)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</si>
  <si>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ქურის ზედაპირი KUMTEL KO-40TAHDF B</t>
  </si>
  <si>
    <t xml:space="preserve">198689</t>
  </si>
  <si>
    <t xml:space="preserve">https://superi.ge/kumtel-ko-40tahdf-b/</t>
  </si>
  <si>
    <t xml:space="preserve">• ზედაპირის ტიპი კომბინირებული • კონფორების რაოდენობა 4 გაზის • ელექტრონული ანთება კი • გაზის მაკონტროლებელი კი • გისოსების მასალა ემალირებული მეტალი მახასიათებ...</t>
  </si>
  <si>
    <t xml:space="preserve">შეიძინეთ ქურის ზედაპირი KUMTEL KO-40TAHDF B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</si>
  <si>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პორტატული დამტენი ნოუთბუქებისთვის LENOVO GO USB-C LAPTOP POWER BANK (20000 mAh)</t>
  </si>
  <si>
    <t xml:space="preserve">S26562</t>
  </si>
  <si>
    <t xml:space="preserve">https://superi.ge/lenovo-go-usb-c-laptop-power-bank-20000-mah/</t>
  </si>
  <si>
    <t xml:space="preserve">• ბრენდი LENOVO • მოდელი GO G0A3LG2WWW • პროდუქტის ტიპი ნოუთბუქის პორტატული დამტენი • მაქსიმალური გამომავალი სიმძლავრე 65 W • მოცულობა 20 000 mAh • ელემენტის ტი...</t>
  </si>
  <si>
    <t xml:space="preserve">შეიძინეთ პორტატული დამტენი ნოუთბუქებისთვის LENOVO GO USB-C LAPTOP POWER BANK (20000 mAh)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</si>
  <si>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ბაღის ავეჯის კომპლექტი მაგიდა და 2 სკამი</t>
  </si>
  <si>
    <t xml:space="preserve">17051478</t>
  </si>
  <si>
    <t xml:space="preserve">https://superi.ge/2/</t>
  </si>
  <si>
    <t xml:space="preserve">ბაღის ავეჯის კომპლექტი მაგიდა და 2 სკამიბაღის ავეჯის კომპლექტიშესანიშნავია კომფორტული და მიმზიდველი გარე სივრცეების შესაქმნელად იქნება ეს ვერანდაზე მზიანი დღის ...</t>
  </si>
  <si>
    <t xml:space="preserve">შეიძინეთ ბაღის ავეჯის კომპლექტი მაგიდა და 2 სკამი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</si>
  <si>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ელექტრო გამათბობელი GORENJE OPTIHEAT 2000EWP (20 მ²)</t>
  </si>
  <si>
    <t xml:space="preserve">I52074</t>
  </si>
  <si>
    <t xml:space="preserve">https://superi.ge/gorenje-optiheat-2000ewp-20/</t>
  </si>
  <si>
    <t xml:space="preserve">• მაქსიმალური სიმძლავრე 2000 W • გასათბობი ფართი 15–20 მ² • დაყენება იატაკი / კედელი • მართვის ტიპი ელექტრონული დამატებითი მახასიათებლები • Wi-Fi მხარდაჭრა აპლი...</t>
  </si>
  <si>
    <t xml:space="preserve">შეიძინეთ ელექტრო გამათბობელი GORENJE OPTIHEAT 2000EWP (20 მ²)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</si>
  <si>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კომპლექტი ბაღის ავეჯის მაგიდა 61x61x72 სმ სკამი 57x70x65 სმ</t>
  </si>
  <si>
    <t xml:space="preserve">17051619</t>
  </si>
  <si>
    <t xml:space="preserve">https://superi.ge/61x61x72-57x70x65/</t>
  </si>
  <si>
    <t xml:space="preserve">კომპლექტი ბაღის ავეჯის მაგიდა 61x61x72 სმ სკამი 57x70x65 სმსკამებისა და მაგიდის ჩარჩო დამზადებულია გამძლე ლითონისგან შავი ფხვნილის საფარით რაც გარანტიას იძლევა ...</t>
  </si>
  <si>
    <t xml:space="preserve">შეიძინეთ კომპლექტი ბაღის ავეჯის მაგიდა 61x61x72 სმ სკამი 57x70x65 სმ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</si>
  <si>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მეტალის საქანელა SEA-TIDE HC-128</t>
  </si>
  <si>
    <t xml:space="preserve">209335</t>
  </si>
  <si>
    <t xml:space="preserve">https://superi.ge/sea-tide-hc-128/</t>
  </si>
  <si>
    <t xml:space="preserve">• ტიპი საქანელა • ადგილების რაოდენობა 3 • მექანიზმი რეგულირებადი სახურავი • მაქსიმალური დატვირთვა 180 კგ • მწარმოებელი ქვეყანა ჩინეთი • მასალა მეტალი პოლიესტერი...</t>
  </si>
  <si>
    <t xml:space="preserve">შეიძინეთ მეტალის საქანელა SEA-TIDE HC-128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</si>
  <si>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მიკროტალღური ღუმელი MIDEA AG8P022ET-B</t>
  </si>
  <si>
    <t xml:space="preserve">S36192</t>
  </si>
  <si>
    <t xml:space="preserve">https://superi.ge/midea-ag8p022et-b/</t>
  </si>
  <si>
    <t xml:space="preserve">მახასიათებლები • პროდუქტის ტიპი მიკროტალღური ღუმელი • მოცულობა 25 ლიტრი • სიმძლავრე 1250W • გრილის ფუნქცია დიახ • 8 განსხვავებული რეჟიმი • ლღობა წონით/დროით დია...</t>
  </si>
  <si>
    <t xml:space="preserve">შეიძინეთ მიკროტალღური ღუმელი MIDEA AG8P022ET-B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</si>
  <si>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მიკროტალღური ღუმელი MIDEA AM823A2AT-B</t>
  </si>
  <si>
    <t xml:space="preserve">S63532</t>
  </si>
  <si>
    <t xml:space="preserve">https://superi.ge/midea-am823a2at-b/</t>
  </si>
  <si>
    <t xml:space="preserve">• მართვის ტიპი მექანიკური/ციფრული • შემავალი სიმძლავრე 1250 W • გამომავალი სიმძლავრე 800 W • მოცულობა 23 ლ მახასიათებლები • ცხობის ფუნქცია • 30წმ-ის დამატება • ...</t>
  </si>
  <si>
    <t xml:space="preserve">შეიძინეთ მიკროტალღური ღუმელი MIDEA AM823A2AT-B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</si>
  <si>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მიქსერი ZILAN ZLN3185</t>
  </si>
  <si>
    <t xml:space="preserve">203205</t>
  </si>
  <si>
    <t xml:space="preserve">https://superi.ge/zilan-zln3185/</t>
  </si>
  <si>
    <t xml:space="preserve">• ტიპი სტაციონალური • სიმძლავრე 1000 W • ჯამის მოცულობა 4 5 ლ • სიჩქარის რეჟიმების რაოდენობა 6 • მართვის ტიპი მექანიკური • კვების ტიპი ქსელის დამატებითი მახასია...</t>
  </si>
  <si>
    <t xml:space="preserve">შეიძინეთ მიქსერი ZILAN ZLN3185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</si>
  <si>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მტვერსასრუტი GORENJE VC2302GALRCY</t>
  </si>
  <si>
    <t xml:space="preserve">I65345</t>
  </si>
  <si>
    <t xml:space="preserve">https://superi.ge/gorenje-vc2302galrcy/</t>
  </si>
  <si>
    <t xml:space="preserve">• ტიპი კონტეინერით • სიმძლავრე 2300 W • შესრუტვის სიმძლავრე 330 W • კონტეინერის მოცულობა 3 3 ლ • დასუფთავების ტიპი მშრალი • ფილტრის ტიპი HEPA • ხმაურის დონე 83 ...</t>
  </si>
  <si>
    <t xml:space="preserve">შეიძინეთ მტვერსასრუტი GORENJE VC2302GALRCY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</si>
  <si>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მტვერსასრუტი SAMSUNG VC18M21A0SB/EV</t>
  </si>
  <si>
    <t xml:space="preserve">S51270</t>
  </si>
  <si>
    <t xml:space="preserve">https://superi.ge/samsung-vc18m21a0sb-ev/</t>
  </si>
  <si>
    <t xml:space="preserve">• ტიპი კონტეინერით • მაქსიმალური სიმძლავრე 1800 W • შესრუტვის სიმძლავრე 380 W • მტვრის კონტეინერის მოცულობა 1 5 ლ • ფილტრი HEPA ფილტრი ძრავის დამცვლელი ფილტრი •...</t>
  </si>
  <si>
    <t xml:space="preserve">შეიძინეთ მტვერსასრუტი SAMSUNG VC18M21A0SB/EV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</si>
  <si>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ტაბლეტი Blackview Tab A6 Kids WI-FI 10.1'' HD+ 4/128GB Rose Pink</t>
  </si>
  <si>
    <t xml:space="preserve">161011</t>
  </si>
  <si>
    <t xml:space="preserve">https://superi.ge/blackview-tab-a6-kids-wi-fi-10-1-hd-4-128gb-rose-pink/</t>
  </si>
  <si>
    <t xml:space="preserve">შეიძინეთ ტაბლეტი Blackview Tab A6 Kids WI-FI 10.1'' HD+ 4/128GB Rose Pink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</si>
  <si>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ქურის ზედაპირი BEKO HDCG 32220 FX</t>
  </si>
  <si>
    <t xml:space="preserve">S96917</t>
  </si>
  <si>
    <t xml:space="preserve">https://superi.ge/beko-hdcg-32220-fx/</t>
  </si>
  <si>
    <t xml:space="preserve">ზოგადი ინფორმაცია • ბრენდი Beko • მოდელი HDCG 32220 FX • ტიპი ჩასაშენებელი გაზის ქურის ზედაპირი • ქურის ზედაპირის ტიპი გაზის • მონტაჟის ტიპი დამოუკიდებელი ძირით...</t>
  </si>
  <si>
    <t xml:space="preserve">შეიძინეთ ქურის ზედაპირი BEKO HDCG 32220 FX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</si>
  <si>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ჰაერის დამატენიანებელი GORENJE H50W, (20m²)</t>
  </si>
  <si>
    <t xml:space="preserve">I74932</t>
  </si>
  <si>
    <t xml:space="preserve">https://superi.ge/gorenje-h50w-20m/</t>
  </si>
  <si>
    <t xml:space="preserve">• ტიპი ულტრაბგერითი • მართვის ტიპი სენსორული • ფართი 20 მ² • სიმძლავრე 26 W • მწარმოებლურობა 210 მლ/სთ • წყლის რეზერვუარის მოცულობა 5 ლ • ძირითადი მახასიათებლებ...</t>
  </si>
  <si>
    <t xml:space="preserve">შეიძინეთ ჰაერის დამატენიანებელი GORENJE H50W, (20m²)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</si>
  <si>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კატის საკვები PRO PLAN ELEGANT CAT SALMON 10KG (7613036529235)</t>
  </si>
  <si>
    <t xml:space="preserve">213021</t>
  </si>
  <si>
    <t xml:space="preserve">ცხოველთა სამყარო &gt; ცხოველთა და ფრინველთა კვება</t>
  </si>
  <si>
    <t xml:space="preserve">https://superi.ge/pro-plan-elegant-cat-salmon-10kg-7613036529235/</t>
  </si>
  <si>
    <t xml:space="preserve">• საკვების ტიპი მშრალი საკვები • საკვების დანიშნულება ყოველდღიური • ინგრედიენტი ორაგული მარცვლეული • ასაკი ზრდასრული • წონა 10 კგ • რაოდენობა 1 შემადგენლობა • ო...</t>
  </si>
  <si>
    <t xml:space="preserve">შეიძინეთ კატის საკვები PRO PLAN ELEGANT CAT SALMON 10KG (7613036529235)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</si>
  <si>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მიკროტალღური ღუმელი GORENJE MO17E1WH</t>
  </si>
  <si>
    <t xml:space="preserve">I88905</t>
  </si>
  <si>
    <t xml:space="preserve">https://superi.ge/gorenje-mo17e1wh/</t>
  </si>
  <si>
    <t xml:space="preserve">• მართვის ტიპი მექანიკური • მიკროტალღური სიმძლავრე 700 W • მოცულობა 17 ლ • ხმის სიგნალი • ტაიმერის დიაპაზონი 60 წთ დამატებითი მახასიათებლები • წარმოების ტექნოლო...</t>
  </si>
  <si>
    <t xml:space="preserve">შეიძინეთ მიკროტალღური ღუმელი GORENJE MO17E1WH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</si>
  <si>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დანების ნაკრები KORKMAZ PROCHEF A501-01</t>
  </si>
  <si>
    <t xml:space="preserve">215741</t>
  </si>
  <si>
    <t xml:space="preserve">https://superi.ge/korkmaz-prochef-a501-01/</t>
  </si>
  <si>
    <t xml:space="preserve">• მწარმოებელი KORKMAZ • ტიპი სამზარეულოს დანების ნაკრები • კომპლექტში შემავალი ნივთების რაოდენობა 6 • კომპლექტში შემავალი დანების რაოდენობა 5 • მოსახერხებელი სა...</t>
  </si>
  <si>
    <t xml:space="preserve">შეიძინეთ დანების ნაკრები KORKMAZ PROCHEF A501-01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</si>
  <si>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ვენტილატორი SENCOR SFN 4080WH</t>
  </si>
  <si>
    <t xml:space="preserve">108890</t>
  </si>
  <si>
    <t xml:space="preserve">https://superi.ge/sencor-sfn-4080wh/</t>
  </si>
  <si>
    <t xml:space="preserve">• სიმძლავრე 50W • სიჩქარეების რაოდენობა 3 • როტაცია 80° • სიმაღლის რეგულირება დიახ • დახრის რეგულირება დიახ • მაქსიმალირი სიმაღლე 133 მმ • მინიმალური სიმაღლე 12...</t>
  </si>
  <si>
    <t xml:space="preserve">შეიძინეთ ვენტილატორი SENCOR SFN 4080WH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</si>
  <si>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აუზი BESTWAY 57458 (305 X 66 სმ)</t>
  </si>
  <si>
    <t xml:space="preserve">210432</t>
  </si>
  <si>
    <t xml:space="preserve">https://superi.ge/bestway-57458-305-x-66/</t>
  </si>
  <si>
    <t xml:space="preserve">• ტიპი გასაბერი • მოცულობა 3200 ლ • BESTWAY უზრუნველყოფს აუზის მაღალ საიმედოობასა და გამძლეობას დამატებითი მახასიათებლები • ფორმა მრგვალი • წყლის დამცლელი სარქვ...</t>
  </si>
  <si>
    <t xml:space="preserve">შეიძინეთ აუზი BESTWAY 57458 (305 X 66 სმ)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</si>
  <si>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სათიბი ROYAL TURBO CG520G</t>
  </si>
  <si>
    <t xml:space="preserve">188219</t>
  </si>
  <si>
    <t xml:space="preserve">https://superi.ge/royal-turbo-cg520g/</t>
  </si>
  <si>
    <t xml:space="preserve">• მწარმოებელი ROYAL TURBO • საწვავი ტიპი ბენზიზი მახასიათებლები • ძრავის მაქსიმალური სიმძლავრე 2 8 KW • ცილინდრის მოცულობა 52 cc • შაფტის დიამეტრი 28მმ • ბაკის ...</t>
  </si>
  <si>
    <t xml:space="preserve">შეიძინეთ სათიბი ROYAL TURBO CG520G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</si>
  <si>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სათიბი ROYAL TURBO RT CG 520Y YELLOW</t>
  </si>
  <si>
    <t xml:space="preserve">177354</t>
  </si>
  <si>
    <t xml:space="preserve">https://superi.ge/royal-turbo-rt-cg-520y-yellow/</t>
  </si>
  <si>
    <t xml:space="preserve">• ტიპი ბენზინის ძრავზე • ძრავის სიმძლავრე 2 8 kW • ძრავის მოცულობა 52 6 cc • საწვავის ავზის მოცულობა 0 9 ლ • წონა 7 1 კგ • ფერი ყვითელი</t>
  </si>
  <si>
    <t xml:space="preserve">შეიძინეთ სათიბი ROYAL TURBO RT CG 520Y YELLOW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</si>
  <si>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გამწოვი GRAETZ 1490/60 INOX</t>
  </si>
  <si>
    <t xml:space="preserve">S41400</t>
  </si>
  <si>
    <t xml:space="preserve">https://superi.ge/graetz-1490-60-inox/</t>
  </si>
  <si>
    <t xml:space="preserve">• გამწოვის ტიპი ტელესკოპური • მონტაჟი ჩასაშენებელი • წარმადობა 300 მ³/სთ • სიგანე 60 სმ • სიჩქარეების რაოდენობა 2 • ძრავის რაოდენობა 1 • ფილტრის ტიპი ალუმინის •...</t>
  </si>
  <si>
    <t xml:space="preserve">შეიძინეთ გამწოვი GRAETZ 1490/60 INOX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</si>
  <si>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გასაბერი აუზი INTEX 57158 (აკვაპარკი)</t>
  </si>
  <si>
    <t xml:space="preserve">189425</t>
  </si>
  <si>
    <t xml:space="preserve">https://superi.ge/intex-57158/</t>
  </si>
  <si>
    <t xml:space="preserve">• ტიპი გასაბერი • მოცულობა 493 ლ • მაქსიმალური დატვირთვა 81 კგ დამატებითი მახასიათებლები • ტუმბო ფეხით ელექტრო • ასაკი 2+ • სანიაღვრე სარქველი ფიზიკური პარამეტრ...</t>
  </si>
  <si>
    <t xml:space="preserve">შეიძინეთ გასაბერი აუზი INTEX 57158 (აკვაპარკი)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</si>
  <si>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ელექტრო ჩაიდანი GORENJE K17DWD</t>
  </si>
  <si>
    <t xml:space="preserve">I89402</t>
  </si>
  <si>
    <t xml:space="preserve">https://superi.ge/gorenje-k17dwd/</t>
  </si>
  <si>
    <t xml:space="preserve">• ტიპი სტანდარტული • სიმძლავრე 2200 W • მოცულობა 1 70 ლ • მართვის ტიპი სენსორული მახასიათებლები • გამაცხელებელი ელემენტის ტიპი დახურული • წყლის დონის ინდიკატორი...</t>
  </si>
  <si>
    <t xml:space="preserve">შეიძინეთ ელექტრო ჩაიდანი GORENJE K17DWD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</si>
  <si>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ზეთის გამათბობელი NIKAI NOH946A</t>
  </si>
  <si>
    <t xml:space="preserve">6291071121037</t>
  </si>
  <si>
    <t xml:space="preserve">https://superi.ge/nikai-noh946a/</t>
  </si>
  <si>
    <t xml:space="preserve">• სიმძლავრე 3200 W • განყოფილებების რაოდენობა 13 • ტემპერატურის რეჟიმები 3 • გათბობის ფართობი 20 მ2 • ელექტრო ელეფქტურობის კლასი 3 დამატებითი მახასიათებლები • f...</t>
  </si>
  <si>
    <t xml:space="preserve">შეიძინეთ ზეთის გამათბობელი NIKAI NOH946A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</si>
  <si>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კარკასული აუზი INTEX 28270 (1662 ლტ)</t>
  </si>
  <si>
    <t xml:space="preserve">148532</t>
  </si>
  <si>
    <t xml:space="preserve">https://superi.ge/intex-28270/</t>
  </si>
  <si>
    <t xml:space="preserve">• მოცულობა 1662 ლიტრი • ზომები 220-150-60 სმ • წონა 16 კგ • ფერი ლურჯი</t>
  </si>
  <si>
    <t xml:space="preserve">შეიძინეთ კარკასული აუზი INTEX 28270 (1662 ლტ)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</si>
  <si>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მიკროტალღური ღუმელი TOSHIBA MM-EM23P BLACK</t>
  </si>
  <si>
    <t xml:space="preserve">157663</t>
  </si>
  <si>
    <t xml:space="preserve">https://superi.ge/toshiba-mm-em23p-black/</t>
  </si>
  <si>
    <t xml:space="preserve">• ტიპი ცალკე მდგომი • მიკროტალღურის სიმძლავრე 800 W • მოცულობა 23 ლ • მართვის ტიპი ელექტრონული მახასიათებლები • სიმძლავრეების რაოდენობა 11 • ავტომატური მომზადებ...</t>
  </si>
  <si>
    <t xml:space="preserve">შეიძინეთ მიკროტალღური ღუმელი TOSHIBA MM-EM23P BLACK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</si>
  <si>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მტვერსასრუტი BOSCH BGC05AAA2</t>
  </si>
  <si>
    <t xml:space="preserve">S99669</t>
  </si>
  <si>
    <t xml:space="preserve">https://superi.ge/bosch-bgc05aaa2/</t>
  </si>
  <si>
    <t xml:space="preserve">• ტიპი ტომრის გარეშე კონტეინერით • მაქსიმალური სიმძლავრე 700 W • მტვრის კონტეინერის მოცულობა 1 5 ლ • დასუფთავების ტიპი მშრალი • ფილტრის ტიპი რეცხვადი EPA H 12 •...</t>
  </si>
  <si>
    <t xml:space="preserve">შეიძინეთ მტვერსასრუტი BOSCH BGC05AAA2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</si>
  <si>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დამტენი აკუმულატორისთვის GOODYEAR CH4A (4680218076170)</t>
  </si>
  <si>
    <t xml:space="preserve">208824</t>
  </si>
  <si>
    <t xml:space="preserve">https://superi.ge/goodyear-ch4a-4680218076170/</t>
  </si>
  <si>
    <t xml:space="preserve">• ტიპი დამტენი • დასამუხტი აკუმულატორის ძაბვა 6/12 V • აკუმლიატორის ტიპი WET MF GEL AGM • მინიმალური/მაქსიმალური აკუმულატორის სიმძლავრე 3 ა/სთ 120 ა/სთ მახასიათ...</t>
  </si>
  <si>
    <t xml:space="preserve">შეიძინეთ დამტენი აკუმულატორისთვის GOODYEAR CH4A (4680218076170)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</si>
  <si>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ძაღლის საკვები PURINA PRO PLAN OPTIDIGEST GRAIN FREE 7KG</t>
  </si>
  <si>
    <t xml:space="preserve">7613036731256</t>
  </si>
  <si>
    <t xml:space="preserve">https://superi.ge/purina-pro-plan-optidigest-grain-free-7kg-7613036731256/</t>
  </si>
  <si>
    <t xml:space="preserve">• საკვების ტიპი მშრალი საკვები • საკვების დანიშნულება ყოველდღიური • ინგრედიენტი არომატიზატორი ინდაური ქათამი • რეკომენდებული ასაკი 1-დან 7 წლამდე • წონა 7 კგ • ...</t>
  </si>
  <si>
    <t xml:space="preserve">შეიძინეთ ძაღლის საკვები PURINA PRO PLAN OPTIDIGEST GRAIN FREE 7KG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</si>
  <si>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ბატუტი DIA1.4M 4.5FT RED</t>
  </si>
  <si>
    <t xml:space="preserve">206533</t>
  </si>
  <si>
    <t xml:space="preserve">სპორტი და დასვენება &gt; ბატუტები</t>
  </si>
  <si>
    <t xml:space="preserve">https://superi.ge/dia1-4m-4-5ft-red/</t>
  </si>
  <si>
    <t xml:space="preserve">• ბატუტის ტიპი ასაწყობი • გამოყენება შიდა/გარე მოხმარებისთვის • მაქსიმალური დატვირთვა 45 კგ • სადგამი ფეხის რაოდენობა 6 • დახურვის ტიპი ელვა შესაკრავი 3 ღვედი ფ...</t>
  </si>
  <si>
    <t xml:space="preserve">შეიძინეთ ბატუტი DIA1.4M 4.5FT RED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</si>
  <si>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ელექტრო ღუმელი NIKAI NT5501R1</t>
  </si>
  <si>
    <t xml:space="preserve">6291071230746</t>
  </si>
  <si>
    <t xml:space="preserve">https://superi.ge/nikai-nt5501r1/</t>
  </si>
  <si>
    <t xml:space="preserve">• მართვის ტიპი მექანიკური • მოცულობა 55 ლ • სიმძლავრე 1800 W • ტემპერატურის დიაპაზონი 100-250 C • დანიშნულება გამოცხობა შებრაწვა გრილი მახასიათებლები • ტაიმერი ...</t>
  </si>
  <si>
    <t xml:space="preserve">შეიძინეთ ელექტრო ღუმელი NIKAI NT5501R1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</si>
  <si>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მაცივარი HAGEN HRBAR54W</t>
  </si>
  <si>
    <t xml:space="preserve">139153</t>
  </si>
  <si>
    <t xml:space="preserve">https://superi.ge/hagen-hrbar54w/</t>
  </si>
  <si>
    <t xml:space="preserve">• ტიპი: ერთკამერიანი • მართვის ტიპი: მექანიკური • საერთო სასარგებლო მოცულობა: 40 ლ • სამაცივრე განყოფილების მოცულობა: 36 ლ • საყინულე სათავსოს მოცულობა: 4 ლ • გაგრილების სისტემა: ნახევრად მშრალი</t>
  </si>
  <si>
    <t xml:space="preserve">შეიძინეთ მაცივარი HAGEN HRBAR54W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</si>
  <si>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მტვერსასრუტი VOX SL307</t>
  </si>
  <si>
    <t xml:space="preserve">195484</t>
  </si>
  <si>
    <t xml:space="preserve">https://superi.ge/vox-sl307/</t>
  </si>
  <si>
    <t xml:space="preserve">• ტიპი ტომრით • სიმძლავრე 2400 W • შესრუტვის სიმძლავრე 380 W • ტევადობა 4 ლ • დასუფთავების ტიპი მშრალი • ფილტრის ტიპი HEPA • მართვის ტიპი მექანიკური • კვების ტი...</t>
  </si>
  <si>
    <t xml:space="preserve">შეიძინეთ მტვერსასრუტი VOX SL307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</si>
  <si>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ელექტრო ჩაიდანი DELONGHI KBOV2001.BK</t>
  </si>
  <si>
    <t xml:space="preserve">S54943</t>
  </si>
  <si>
    <t xml:space="preserve">https://superi.ge/delonghi-kbov2001-bk/</t>
  </si>
  <si>
    <t xml:space="preserve">• ბრენდი DeLonghi • მოდელი KBOV2001 BK • პროდუქტის ტიპი ელექტრო ჩაიდანი • წყლის მაჩვენებელი დიახ • 360°-იანი სადგამი დიახ • წყლის ფილტრი დიახ • წყლის კონტეინერი...</t>
  </si>
  <si>
    <t xml:space="preserve">შეიძინეთ ელექტრო ჩაიდანი DELONGHI KBOV2001.BK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</si>
  <si>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მიქსერი BOSCH MFQ36460</t>
  </si>
  <si>
    <t xml:space="preserve">I31758</t>
  </si>
  <si>
    <t xml:space="preserve">https://superi.ge/bosch-mfq36460/</t>
  </si>
  <si>
    <t xml:space="preserve">• ტიპი სტაციონარული • სიმძლავრე 450 W • სიჩქარეების რაოდენობა 5 + ტურბორეჟიმი • მოცულობა 0 5 ფუნქციები და მახასიათებლები • პულსაციის რეჟიმი • ჩართვა გამორთვის ღ...</t>
  </si>
  <si>
    <t xml:space="preserve">შეიძინეთ მიქსერი BOSCH MFQ36460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</si>
  <si>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კარტრიჯი HP 44A (CF244A)</t>
  </si>
  <si>
    <t xml:space="preserve">164981</t>
  </si>
  <si>
    <t xml:space="preserve">https://superi.ge/hp-44a-cf244a/</t>
  </si>
  <si>
    <t xml:space="preserve">• ტიპი ლაზერული კარტრიჯი • რესურსი 1000 გვერდი • მელანი შავი • მოწყობილობებისთვის პრინტერები თავსებადობა • HP LaserJet Pro M15a M15w MFP M28a MFP M28w ორიგინალი...</t>
  </si>
  <si>
    <t xml:space="preserve">შეიძინეთ კარტრიჯი HP 44A (CF244A)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</si>
  <si>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აეროგრილი BEKO FRL 3374 B (7.6 L)</t>
  </si>
  <si>
    <t xml:space="preserve">00-00013722</t>
  </si>
  <si>
    <t xml:space="preserve">https://superi.ge/beko-frl-3374-b-7-6-l/</t>
  </si>
  <si>
    <t xml:space="preserve">მახასიათებლები • ტიპი აეროგრილი • სიმძლავრე 1750 W • კონვექცია კი • მოცულობა 7 6 ლ • ტემპერატურის კონტროლი კი • ტემპერატურა/სიმძლავრე 200 °C - მდე • LCD დისფლეი...</t>
  </si>
  <si>
    <t xml:space="preserve">შეიძინეთ აეროგრილი BEKO FRL 3374 B (7.6 L)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</si>
  <si>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მიკროტალღური ღუმელი MIDEA AM720C4E-S</t>
  </si>
  <si>
    <t xml:space="preserve">S54597</t>
  </si>
  <si>
    <t xml:space="preserve">https://superi.ge/midea-am720c4e-s/</t>
  </si>
  <si>
    <t xml:space="preserve">• მართვის ტიპი ელექტრონული • მაქსიმალური სიმძლავრე 700 W პროგრამების რაოდენობა 8 • მოცულობა 20 ლ მახასიათებლები • გალღობა • ტაიმერი • სტარტის გადავადება • დროის...</t>
  </si>
  <si>
    <t xml:space="preserve">შეიძინეთ მიკროტალღური ღუმელი MIDEA AM720C4E-S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</si>
  <si>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მტვერსასრუტი BOSCH BGC05AAA1</t>
  </si>
  <si>
    <t xml:space="preserve">S80712</t>
  </si>
  <si>
    <t xml:space="preserve">https://superi.ge/bosch-bgc05aaa1/</t>
  </si>
  <si>
    <t xml:space="preserve">• ტიპი კონტეინერით • ენერგო ეფექტურობის კლასი A • მტვრის ემისიის კლასი A • მყარი ზედაპირის მოსუფთავების კლასი A • მაქსიმალური სიმძლავრე 700 W • კონტეინერის ტევა...</t>
  </si>
  <si>
    <t xml:space="preserve">შეიძინეთ მტვერსასრუტი BOSCH BGC05AAA1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</si>
  <si>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მტვერსასრუტი SAMSUNG VCC5241S3K/XEV</t>
  </si>
  <si>
    <t xml:space="preserve">131916</t>
  </si>
  <si>
    <t xml:space="preserve">https://superi.ge/samsung-vcc5241s3k-xev/</t>
  </si>
  <si>
    <t xml:space="preserve">• მაქსიმალური სიმძლავრე 1800 W • შესრუტვის სიმძლავრე 410 W • დალაგების ტიპი მშრალი • ტომრის ტევადობა 2 4 ლ • ფილტრი Hepa • პარკირების მდებარეობა ვერტიკალური • ხ...</t>
  </si>
  <si>
    <t xml:space="preserve">შეიძინეთ მტვერსასრუტი SAMSUNG VCC5241S3K/XEV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</si>
  <si>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სკამი aldridge terry fabric dark green uk green 53x54x75 სმ</t>
  </si>
  <si>
    <t xml:space="preserve">07021301</t>
  </si>
  <si>
    <t xml:space="preserve">ავეჯი &gt; მაგიდა და სკამები</t>
  </si>
  <si>
    <t xml:space="preserve">https://superi.ge/aldridge-terry-fabric-dark-green-uk-green-53x54x75/</t>
  </si>
  <si>
    <t xml:space="preserve">სკამი aldridge terry fabric dark green uk green 53x54x75 სმ ფიზიკური პარამეტრები • ზომა 53x54x75 სმ • ფერი მწვანე • ფეხის ფერი ხის • საფარი მწვანე ქსოვილი 100% ...</t>
  </si>
  <si>
    <t xml:space="preserve">შეიძინეთ სკამი aldridge terry fabric dark green uk green 53x54x75 სმ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</si>
  <si>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ქვაბებისა და ტაფების ნაკრები NATUREL NT10PC SET1 GRY</t>
  </si>
  <si>
    <t xml:space="preserve">226571</t>
  </si>
  <si>
    <t xml:space="preserve">https://superi.ge/naturel-nt10pc-set1-gry/</t>
  </si>
  <si>
    <t xml:space="preserve">• მწარმოებელი NATUREL • ნაკრებში შემავალი ნივთების რაოდენობა 10 • არ იკრავს საკვებს • მაღალი გამძლეობის მასალა • საჭიროებს ზეთის მინიმალურ რაოდენობას • ანტიბაქტ...</t>
  </si>
  <si>
    <t xml:space="preserve">შეიძინეთ ქვაბებისა და ტაფების ნაკრები NATUREL NT10PC SET1 GRY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</si>
  <si>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ტაბლეტი Blackview Tab A5 Kids LTE 8.1'' 3GB/64GB Pink</t>
  </si>
  <si>
    <t xml:space="preserve">161009</t>
  </si>
  <si>
    <t xml:space="preserve">https://superi.ge/blackview-tab-a5-kids-lte-8-1-3gb-64gb-pink/</t>
  </si>
  <si>
    <t xml:space="preserve">ზოგადი ინფორმაცია ბრენდი Blackviewმოდელი/PN Tab A5 Kidsტიპი ტაბიSIM ბარათი დიახSIM ტიპი Nano-SIMზოგადი 4G LTE დიახპროცესორი პროცესორის მწარმოებელი Unisocპროცესო...</t>
  </si>
  <si>
    <t xml:space="preserve">შეიძინეთ ტაბლეტი Blackview Tab A5 Kids LTE 8.1'' 3GB/64GB Pink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</si>
  <si>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მიკროტალღური ღუმელი GORENJE MO20A3X</t>
  </si>
  <si>
    <t xml:space="preserve">S73054</t>
  </si>
  <si>
    <t xml:space="preserve">https://superi.ge/gorenje-mo20a3x/</t>
  </si>
  <si>
    <t xml:space="preserve">• მართვის ტიპი მექანიკური • მიკროტალღური სიმძლავრე 800 W • მოცულობა 20 ლ • ხმის სიგნალი • ტაიმერის დიაპაზონი 60 წთ დამატებითი მახასიათებლები • დენის დონის რაოდე...</t>
  </si>
  <si>
    <t xml:space="preserve">შეიძინეთ მიკროტალღური ღუმელი GORENJE MO20A3X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</si>
  <si>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კარკასული აუზი INTEX 28205</t>
  </si>
  <si>
    <t xml:space="preserve">189360</t>
  </si>
  <si>
    <t xml:space="preserve">https://superi.ge/intex-28205/</t>
  </si>
  <si>
    <t xml:space="preserve">• ტიპი კარკასული • მოცულობა 1828 ლ მახასიათებლები • სანიაღვრე სარქველი • ფორმა მრგვალი ფიზიკური პარამეტრები • ზომები სიმაღლე/დიამეტრი 51 x 244 სმ • მასალა PVC •...</t>
  </si>
  <si>
    <t xml:space="preserve">შეიძინეთ კარკასული აუზი INTEX 28205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</si>
  <si>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აუზი BESTWAY 56406 (305 X 76 სმ)</t>
  </si>
  <si>
    <t xml:space="preserve">148213</t>
  </si>
  <si>
    <t xml:space="preserve">https://superi.ge/bestway-56406-305-x-76/</t>
  </si>
  <si>
    <t xml:space="preserve">• მოცულობა 4678 ლიტრი • წყლის დამცლელი სარქველი კი კომპლექტაცია • ფოლადის ჩარჩო • DVD დისკი ინსტრუქციით ფიზიკური პარამეტრები • მასალა PVC • ზომები 305 x 76 სმ •...</t>
  </si>
  <si>
    <t xml:space="preserve">შეიძინეთ აუზი BESTWAY 56406 (305 X 76 სმ)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</si>
  <si>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თოჯინა LLORENS MARTINA DOLL 40 CM GIRL (8426265540303)</t>
  </si>
  <si>
    <t xml:space="preserve">182704</t>
  </si>
  <si>
    <t xml:space="preserve">https://superi.ge/llorens-martina-doll-40-cm-girl-8426265540303/</t>
  </si>
  <si>
    <t xml:space="preserve">• ასაკი 3-5 წლამდე • სიმაღლე 40 სმ • ბრენდი LLORENS • მოყვება ქუდი</t>
  </si>
  <si>
    <t xml:space="preserve">შეიძინეთ თოჯინა LLORENS MARTINA DOLL 40 CM GIRL (8426265540303)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</si>
  <si>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აუზი INTEX CANDY 57149</t>
  </si>
  <si>
    <t xml:space="preserve">178282</t>
  </si>
  <si>
    <t xml:space="preserve">https://superi.ge/intex-candy-57149/</t>
  </si>
  <si>
    <t xml:space="preserve">• ტიპი გასაბერი • მოცულობა 374 ლ დამატებითი მახასიათებლები • ასაკი 2 წლიდან • წყლის დამცველი სარქველი კი • ფერადი ბურთულები კი ფიზიკური პარამეტრები • ზომა 295 x...</t>
  </si>
  <si>
    <t xml:space="preserve">შეიძინეთ აუზი INTEX CANDY 57149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</si>
  <si>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გამწოვი SIMFER 8502 BLACK</t>
  </si>
  <si>
    <t xml:space="preserve">139164</t>
  </si>
  <si>
    <t xml:space="preserve">https://superi.ge/simfer-8502-black/</t>
  </si>
  <si>
    <t xml:space="preserve">• გამწოვის ტიპი ტელესკოპური • მონტაჟი სამზარეულოს კარადაში • მუშაობის რეჟიმი რეცირკულაცია • წარმადობა 460 მ³/სთ / 300-600 მ³/სთ • სიგანე 60 სმ • სიჩქარეების რაო...</t>
  </si>
  <si>
    <t xml:space="preserve">შეიძინეთ გამწოვი SIMFER 8502 BLACK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</si>
  <si>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ელექტრო ჩაიდანი KENWOOD ZJM810RD</t>
  </si>
  <si>
    <t xml:space="preserve">I94267</t>
  </si>
  <si>
    <t xml:space="preserve">https://superi.ge/kenwood-zjm810rd/</t>
  </si>
  <si>
    <t xml:space="preserve">• ბრენდი Kenwood • მოდელი ZJM810RD • პროდუქტის ტიპი ელექტრო ჩაიდანი • მოცულობა 1 6 ლ • სიმძლავრე 2200 w • წყლის დონის ინდიკატორი დიახ • ავტომატური გათიშვა დიახ ...</t>
  </si>
  <si>
    <t xml:space="preserve">შეიძინეთ ელექტრო ჩაიდანი KENWOOD ZJM810RD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</si>
  <si>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მინი აკვაპარკი INTEX 57135</t>
  </si>
  <si>
    <t xml:space="preserve">148591</t>
  </si>
  <si>
    <t xml:space="preserve">https://superi.ge/intex-57135/</t>
  </si>
  <si>
    <t xml:space="preserve">• მოცულობა 280 ლ • ზომები 333 x 229 x 196 სმ • ასაკი 3 წლის ბავშვებისთვის • წონა 8 5 კგ • ფერი ფერადი</t>
  </si>
  <si>
    <t xml:space="preserve">შეიძინეთ მინი აკვაპარკი INTEX 57135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</si>
  <si>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მინი აკვაპარკი INTEX 57444</t>
  </si>
  <si>
    <t xml:space="preserve">157134</t>
  </si>
  <si>
    <t xml:space="preserve">https://superi.ge/intex-57444/</t>
  </si>
  <si>
    <t xml:space="preserve">• ტიპი საბავშვო გასაბერი • მოცულობა 216 ლ • ზომა 249x191x109 სმ • მასალა PVC • სწრაფი და მარტივი მონტაჟი • წონა 5 126 კგ</t>
  </si>
  <si>
    <t xml:space="preserve">შეიძინეთ მინი აკვაპარკი INTEX 57444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</si>
  <si>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მიქსერი BOSCH MFQ364V0</t>
  </si>
  <si>
    <t xml:space="preserve">I73178</t>
  </si>
  <si>
    <t xml:space="preserve">https://superi.ge/bosch-mfq364v0/</t>
  </si>
  <si>
    <t xml:space="preserve">• ტიპი ხელის • სიმძლავრე 450 W • მართვის ტიპი მექანიკური • სიჩქარის რეჟიმების რაოდენობა 5 • კვების ტიპი ქსელის დამატებითი მახასიათებლები • ერგონომიური დიზაინი •...</t>
  </si>
  <si>
    <t xml:space="preserve">შეიძინეთ მიქსერი BOSCH MFQ364V0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</si>
  <si>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მიქსერი BOSCH MFQ40304</t>
  </si>
  <si>
    <t xml:space="preserve">I25358</t>
  </si>
  <si>
    <t xml:space="preserve">https://superi.ge/bosch-mfq40304/</t>
  </si>
  <si>
    <t xml:space="preserve">• ტიპი ხელის • სიმძლავრე 500 W • სიჩქარის რეჟიმების რაოდენობა 5 • იმპულსური რეჟიმი • მართვის ტიპი მექანიკური • კვების ტიპი ქსელის დამატებითი მახასიათებლები • ერ...</t>
  </si>
  <si>
    <t xml:space="preserve">შეიძინეთ მიქსერი BOSCH MFQ40304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</si>
  <si>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ტოსტერი GORENJE T900RL</t>
  </si>
  <si>
    <t xml:space="preserve">I61112</t>
  </si>
  <si>
    <t xml:space="preserve">https://superi.ge/gorenje-t900rl/</t>
  </si>
  <si>
    <t xml:space="preserve">• სიმძლავრე 800-1000 W • განყოფილებების რაოდენობა 2 • მართვის ტიპი მექანიკური/ელექტრონული ფუნქციები და მახასიათებლები • შეთბობა/გალღვობა • ტოსტის ამოგდების ფუნქ...</t>
  </si>
  <si>
    <t xml:space="preserve">შეიძინეთ ტოსტერი GORENJE T900RL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</si>
  <si>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თოჯინა LLORENS NICOLE DOLL 35 CM GIRL (8426265535293)</t>
  </si>
  <si>
    <t xml:space="preserve">182736</t>
  </si>
  <si>
    <t xml:space="preserve">https://superi.ge/llorens-nicole-doll-35-cm-girl-8426265535293/</t>
  </si>
  <si>
    <t xml:space="preserve">• ასაკი 3-5 წლამდე • სიმაღლე 35 სმ • ბრენდი LLORENS • მოყვება თეთრი ქუდი</t>
  </si>
  <si>
    <t xml:space="preserve">შეიძინეთ თოჯინა LLORENS NICOLE DOLL 35 CM GIRL (8426265535293)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</si>
  <si>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აეროგრილი ARZUM AR2062-G (4L)</t>
  </si>
  <si>
    <t xml:space="preserve">00-00012496</t>
  </si>
  <si>
    <t xml:space="preserve">https://superi.ge/arzum-ar2062-g-4l/</t>
  </si>
  <si>
    <t xml:space="preserve">• სიმძლავრე 1350 W • მოცულობა 4 ლ • რეგულირებადი ტემპერატურა 80-200ºC • მართვის ტიპი მექანიკური მახასიათებლები • ტაიმერი 60 წთ-მდე ავტომატური გათიშვით • მოსახსნ...</t>
  </si>
  <si>
    <t xml:space="preserve">შეიძინეთ აეროგრილი ARZUM AR2062-G (4L)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</si>
  <si>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ანდროიდ TV ბოქსი BLAUPUNKT DV8535 2/8GB</t>
  </si>
  <si>
    <t xml:space="preserve">I89899</t>
  </si>
  <si>
    <t xml:space="preserve">ტექნიკა &gt; TV-ფოტო-ვიდეო &gt; ტელევიზორის აქსესუარები</t>
  </si>
  <si>
    <t xml:space="preserve">https://superi.ge/tv-blaupunkt-dv8535-2-8gb/</t>
  </si>
  <si>
    <t xml:space="preserve">• ბრენდი BLAUPUNKT • მოდელი DV8535 • პროდუქტის ტიპი ანდროიდ TV ბოქსი • პროცესორი ARM Quad 64-bit Cortex- A55 • GPU ARM Mali-G31 MP2 • ოპერაციული სისტემა Android...</t>
  </si>
  <si>
    <t xml:space="preserve">შეიძინეთ ანდროიდ TV ბოქსი BLAUPUNKT DV8535 2/8GB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</si>
  <si>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აუზი INTEX RAINBOW 57453</t>
  </si>
  <si>
    <t xml:space="preserve">178281</t>
  </si>
  <si>
    <t xml:space="preserve">https://superi.ge/intex-rainbow-57453/</t>
  </si>
  <si>
    <t xml:space="preserve">• ტიპი გასაბერი • მოცულობა 227+201 ლ • მაქსიმალური დატვირთვა 81 კგ დამატებითი მახასიათებლები • ასაკი 2 წლიდან • წყლის დამცველი სარქველი კი • ფერადი ბურთულები კი...</t>
  </si>
  <si>
    <t xml:space="preserve">შეიძინეთ აუზი INTEX RAINBOW 57453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</si>
  <si>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17051527</t>
  </si>
  <si>
    <t xml:space="preserve">https://superi.ge/product-8910/</t>
  </si>
  <si>
    <t xml:space="preserve">ბაღის ავეჯის კომპლექტიბაღის ავეჯის კომპლექტიშესანიშნავია კომფორტული და მიმზიდველი გარე სივრცეების შესაქმნელად იქნება ეს ვერანდაზე მზიანი დღის გატარებისთვის თუ ა...</t>
  </si>
  <si>
    <t xml:space="preserve">გამათბობელი KUMTEL MH-1800</t>
  </si>
  <si>
    <t xml:space="preserve">165525</t>
  </si>
  <si>
    <t xml:space="preserve">https://superi.ge/kumtel-mh-1800/</t>
  </si>
  <si>
    <t xml:space="preserve">• მაქსიმალური სიმძლავრე 1800 W • გასათბობი ფართი 15–20 მ² • დაყენება იატაკი მუშაობა ვერტიკალურ მდგომარეობაში • ფუნქციები თერმოსტატი დამატებითი მახასიათებლები • ...</t>
  </si>
  <si>
    <t xml:space="preserve">შეიძინეთ გამათბობელი KUMTEL MH-1800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</si>
  <si>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ელექტრო გამათბობელი ZILAN ZLN2069</t>
  </si>
  <si>
    <t xml:space="preserve">SA0000007360</t>
  </si>
  <si>
    <t xml:space="preserve">https://superi.ge/zilan-zln2069/</t>
  </si>
  <si>
    <t xml:space="preserve">• ტიპი კერამიკული გამათბობელი • სიმძლავრე 2000 W • ტემპერატურის დიაპაზონი 10 °C - 49 °C- მდე • რეჟიმების რაოდენობა 4 • სიმძლავრეების რაოდენობა 2 • მართვის ტიპი ...</t>
  </si>
  <si>
    <t xml:space="preserve">შეიძინეთ ელექტრო გამათბობელი ZILAN ZLN2069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</si>
  <si>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ელექტრო ჩაიდანი BOSCH TWK3P424</t>
  </si>
  <si>
    <t xml:space="preserve">S62958</t>
  </si>
  <si>
    <t xml:space="preserve">https://superi.ge/bosch-twk3p424/</t>
  </si>
  <si>
    <t xml:space="preserve">• ტიპი სტანდარტული • სიმძლავრე 2400 W • მოცულობა 1 70 ლ • მართვის ტიპი მექანიკური მახასიათებლები • გამაცხელებელი ელემენტის ტიპი დახურული • წყლის დონის ინდიკატორ...</t>
  </si>
  <si>
    <t xml:space="preserve">შეიძინეთ ელექტრო ჩაიდანი BOSCH TWK3P424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</si>
  <si>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ვენტილატორი ZILAN ZLN1112</t>
  </si>
  <si>
    <t xml:space="preserve">S72536</t>
  </si>
  <si>
    <t xml:space="preserve">https://superi.ge/zilan-zln1112/</t>
  </si>
  <si>
    <t xml:space="preserve">• ტიპი იატაკზე დასადგმელი • მართვის ტიპი მექანიკური • მაქსიმალური სიმძლავრე 50 W • სიჩქარეების რაოდენობა 3 • ფრთების რაოდენობა 4 მახასიათებლები • სიმაღლის რეგულ...</t>
  </si>
  <si>
    <t xml:space="preserve">შეიძინეთ ვენტილატორი ZILAN ZLN1112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</si>
  <si>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ზეთის გამათბობელი BEKO RHO6320B</t>
  </si>
  <si>
    <t xml:space="preserve">S60416</t>
  </si>
  <si>
    <t xml:space="preserve">https://superi.ge/beko-rho6320b/</t>
  </si>
  <si>
    <t xml:space="preserve">• ბრენდი BEKO • მოდელი RHO 6320 B • სიმძლავრე 2000 W • განყოფილებების რაოდენობა 9 • გათბობის ფართობი 20 მ2 დამატებითი მახასიათებლები • ტემპერატურის რეგულირება •...</t>
  </si>
  <si>
    <t xml:space="preserve">შეიძინეთ ზეთის გამათბობელი BEKO RHO6320B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</si>
  <si>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ზეთის გამათბობელი ZILAN ZLN8443</t>
  </si>
  <si>
    <t xml:space="preserve">S61691</t>
  </si>
  <si>
    <t xml:space="preserve">https://superi.ge/zilan-zln8443/</t>
  </si>
  <si>
    <t xml:space="preserve">• ბრენდი Zilan • მოდელი ZLN8443 • სიმძლავრე 2000 W • სექციების რაოდენობა 9 • მართვის ტიპი მექანიკური მახასიათებლები • თერმოსტატი • რეგულირებადი ტემპერატურა • გა...</t>
  </si>
  <si>
    <t xml:space="preserve">შეიძინეთ ზეთის გამათბობელი ZILAN ZLN8443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</si>
  <si>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ელექტრო ღუმელი ITIMAT I-09</t>
  </si>
  <si>
    <t xml:space="preserve">195510</t>
  </si>
  <si>
    <t xml:space="preserve">https://superi.ge/itimat-i-09/</t>
  </si>
  <si>
    <t xml:space="preserve">• მართვის ტიპი მექანიკური • მოცულობა 35 ლ • დანიშნულება გამოცხობა შებრაწვა მახასიათებლები • თერმოსტატი • ზედა ღია სპირალი • ქვედა დახურული • ზედა / ქვედა წვა • ...</t>
  </si>
  <si>
    <t xml:space="preserve">შეიძინეთ ელექტრო ღუმელი ITIMAT I-09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</si>
  <si>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საბავშვო აუზი BESTWAY 53052</t>
  </si>
  <si>
    <t xml:space="preserve">177625</t>
  </si>
  <si>
    <t xml:space="preserve">https://superi.ge/bestway-53052/</t>
  </si>
  <si>
    <t xml:space="preserve">• ტიპი გასაბერი • მოცულობა 308 ლ • მასალა pvc • ზომები 239 x 206 x 86 სმ</t>
  </si>
  <si>
    <t xml:space="preserve">შეიძინეთ საბავშვო აუზი BESTWAY 53052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</si>
  <si>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აეროგრილი BEKO FRL 2244 B</t>
  </si>
  <si>
    <t xml:space="preserve">SA0000009578</t>
  </si>
  <si>
    <t xml:space="preserve">https://superi.ge/beko-frl-2244-b/</t>
  </si>
  <si>
    <t xml:space="preserve">• ბრენდი Beko • მოდელი FRL 2244 B • პროდუქტის ტიპი აეროგრილი • სიმძლავრე 1500 W • მოცულობა ლიტრი 3 9 • კონტროლი სენსორული • LCD დისფლეი • დროისა და ტემპერტურის ...</t>
  </si>
  <si>
    <t xml:space="preserve">შეიძინეთ აეროგრილი BEKO FRL 2244 B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</si>
  <si>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აეროგრილი FRANKO FAF-1217</t>
  </si>
  <si>
    <t xml:space="preserve">237765</t>
  </si>
  <si>
    <t xml:space="preserve">https://superi.ge/franko-faf-1217/</t>
  </si>
  <si>
    <t xml:space="preserve">• სიმძლავრე 1300 W • მოცულობა 3 2 ლ • ტემპერატურული დიაპაზონი 80°C - 200°C • მართვის ტიპი მექანიკური მახასიათებლები • ტაიმერი 60 წთ • მიმწვრობის საწინააღმდეგო ზ...</t>
  </si>
  <si>
    <t xml:space="preserve">შეიძინეთ აეროგრილი FRANKO FAF-1217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</si>
  <si>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17051529</t>
  </si>
  <si>
    <t xml:space="preserve">https://superi.ge/product-8912/</t>
  </si>
  <si>
    <t xml:space="preserve">17051534</t>
  </si>
  <si>
    <t xml:space="preserve">https://superi.ge/product-8914/</t>
  </si>
  <si>
    <t xml:space="preserve">17051535</t>
  </si>
  <si>
    <t xml:space="preserve">https://superi.ge/product-8915/</t>
  </si>
  <si>
    <t xml:space="preserve">ზოგადი ინფორმაცია • ტიპი ბაღის ავეჯის კომპლექტი • დანიშნულება ბაღი ტერასა აივანი ვერანდა • ერთეულების რაოდენობა 3 ძირითადი მახასიათებლები • კომპლექტაცია მაგიდა ...</t>
  </si>
  <si>
    <t xml:space="preserve">ელექტრო ჩაიდანი GORENJE K17GPD</t>
  </si>
  <si>
    <t xml:space="preserve">I88635</t>
  </si>
  <si>
    <t xml:space="preserve">https://superi.ge/gorenje-k17gpd/</t>
  </si>
  <si>
    <t xml:space="preserve">• სიმძლავრე 2200 W • მოცულობა 1 7 ლ • მართვის ტიპი მექანიკური ფუნქციები და მახასიათებლები • ჩართვა / გამორთვის გადამრთველი • წყლის დონის მაჩვენებელი • სადგამის ...</t>
  </si>
  <si>
    <t xml:space="preserve">შეიძინეთ ელექტრო ჩაიდანი GORENJE K17GPD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</si>
  <si>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მიკროტალღური ღუმელი GORENJE MO17E1BH</t>
  </si>
  <si>
    <t xml:space="preserve">S28559</t>
  </si>
  <si>
    <t xml:space="preserve">https://superi.ge/gorenje-mo17e1bh/</t>
  </si>
  <si>
    <t xml:space="preserve">• ტიპი ცალკე მდგომი • მართვის ტიპი მექანიკური • სიმძლავრე 700 W • მოცულობა 17 ლ • სიმძლავრის დონეების რაოდენობა 5 მახასიათებლები • ავტომატური გალღობა • ხმოვანი ...</t>
  </si>
  <si>
    <t xml:space="preserve">შეიძინეთ მიკროტალღური ღუმელი GORENJE MO17E1BH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</si>
  <si>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მიკროტალღური ღუმელი MIDEA MM7P012MZ-B</t>
  </si>
  <si>
    <t xml:space="preserve">S46423</t>
  </si>
  <si>
    <t xml:space="preserve">https://superi.ge/midea-mm7p012mz-b/</t>
  </si>
  <si>
    <t xml:space="preserve">• მართვის ტიპი მექანიკური • ნომინალური შემავალი სიმძლავრე 1020 W • ნომინალური გამომავალი სიმძლავრე 700 W • მოცულობა 19 ლ მახასიათებლები • მაქსიმალური დრო 35 წთ ...</t>
  </si>
  <si>
    <t xml:space="preserve">შეიძინეთ მიკროტალღური ღუმელი MIDEA MM7P012MZ-B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</si>
  <si>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ზეთის გამათბობელი ARDESTO OFH-09X1</t>
  </si>
  <si>
    <t xml:space="preserve">OFH-09X1</t>
  </si>
  <si>
    <t xml:space="preserve">https://superi.ge/ardesto-ofh-09x1/</t>
  </si>
  <si>
    <t xml:space="preserve">• სიმძლავრე 2000 W • განყოფილებების რაოდენობა 9 • გათბობის ფართობი 202 დამატებითი მახასიათებლები • ტემპერატურის რეგულირება • დაცვა გადახურებისგან • მუშაობის მან...</t>
  </si>
  <si>
    <t xml:space="preserve">შეიძინეთ ზეთის გამათბობელი ARDESTO OFH-09X1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</si>
  <si>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ბლენდერი ARNICA IH39010</t>
  </si>
  <si>
    <t xml:space="preserve">193270</t>
  </si>
  <si>
    <t xml:space="preserve">https://superi.ge/arnica-ih39010/</t>
  </si>
  <si>
    <t xml:space="preserve">• ტიპი სტაციონალური • სიმძლავრე 500 W • მოცულობა 1 5 ლ • მართვის ტიპი მექანიკური • კვების ტიპი ქსელის ფუნქციები და მახასიათებლები • ყინულის დამსხვრების შესაძლებ...</t>
  </si>
  <si>
    <t xml:space="preserve">შეიძინეთ ბლენდერი ARNICA IH39010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</si>
  <si>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აეროგრილი BEKO FRL 2242 B</t>
  </si>
  <si>
    <t xml:space="preserve">SA0000009577</t>
  </si>
  <si>
    <t xml:space="preserve">https://superi.ge/beko-frl-2242-b/</t>
  </si>
  <si>
    <t xml:space="preserve">• ბრენდი Beko • მოდელი FRL 2244 B • პროდუქტის ტიპი აეროგრილი • სიმძლავრე 1500 W • მოცულობა ლიტრი 3 9 • კონტროლი მექანიკური • დროისა და ტემპერტურის რეგულირება • ...</t>
  </si>
  <si>
    <t xml:space="preserve">შეიძინეთ აეროგრილი BEKO FRL 2242 B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</si>
  <si>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აეროგრილი ZILAN ZLN9984 (5 L)</t>
  </si>
  <si>
    <t xml:space="preserve">00-00012838</t>
  </si>
  <si>
    <t xml:space="preserve">https://superi.ge/zilan-zln9984-5-l/</t>
  </si>
  <si>
    <t xml:space="preserve">მახასიათებლები • ტიპი აეროგრილი • სიმძლავრე 1500 W • კონვექცია კი • მოცულობა 5 ლ • ტემპერატურის კონტროლი კი • ტემპერატურა/სიმძლავრე 80-200 °C - მდე • LCD დისფლე...</t>
  </si>
  <si>
    <t xml:space="preserve">შეიძინეთ აეროგრილი ZILAN ZLN9984 (5 L)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</si>
  <si>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ბლენდერი BEKO TBN 81808 BX</t>
  </si>
  <si>
    <t xml:space="preserve">S56454</t>
  </si>
  <si>
    <t xml:space="preserve">https://superi.ge/beko-tbn-81808-bx/</t>
  </si>
  <si>
    <t xml:space="preserve">• ტიპი სტაციონალური • სიმძლავრე 800 W • მოცულობა 1 8 ლ • რეგულირებადი სიჩქარის დონეების რაოდენობა 6 • დანების რაოდენობა 4 • მართვის ტიპი მექანიკური • კვების ტიპ...</t>
  </si>
  <si>
    <t xml:space="preserve">შეიძინეთ ბლენდერი BEKO TBN 81808 BX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</si>
  <si>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ბლენდერი BRAUN MQ535</t>
  </si>
  <si>
    <t xml:space="preserve">143676</t>
  </si>
  <si>
    <t xml:space="preserve">https://superi.ge/braun-mq535/</t>
  </si>
  <si>
    <t xml:space="preserve">• ტიპი ჩასატვირთი • სიმძლავრე 600 W • სიჩქარეთა რაოდენობა 2 • ბრუნვის მაქსიმალური სიჩქარე 12500 ბრ/წთ • ბლენდერის საცმების რაოდენობა 3 • მინი-დასაქუცმაცებლის მო...</t>
  </si>
  <si>
    <t xml:space="preserve">შეიძინეთ ბლენდერი BRAUN MQ535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</si>
  <si>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დანის ნაკრები ARDESTO BLACK MARS AR2020SW</t>
  </si>
  <si>
    <t xml:space="preserve">199288</t>
  </si>
  <si>
    <t xml:space="preserve">https://superi.ge/ardesto-black-mars-ar2020sw/</t>
  </si>
  <si>
    <t xml:space="preserve">• მწარმოებელი ARDESTO • კომპლექტში შემავალი ნივთების რაოდენობა 5 • მოსახერხებელი სახელური • ბასრი პირი • ჭურჭლის სარეცხ მანქანაში გარეცხვის შესაძლებლობა ფიზიკურ...</t>
  </si>
  <si>
    <t xml:space="preserve">შეიძინეთ დანის ნაკრები ARDESTO BLACK MARS AR2020SW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</si>
  <si>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აუზი INTEX 28120 EASY SET 76 x 305 სმ</t>
  </si>
  <si>
    <t xml:space="preserve">6941057400099</t>
  </si>
  <si>
    <t xml:space="preserve">https://superi.ge/intex-28120-easy-set-76-x-305/</t>
  </si>
  <si>
    <t xml:space="preserve">• მოცულობა 3853 ლიტრი • მონტაჟის დრო 10 წთ • აუზის კედლების ტექნოლოგია SUPER-TOUGH • სწრაფი და მარტივი მონტაჟი • არ საჭიროებს ნიადაგის მომზადებას ფიზიკური პარამ...</t>
  </si>
  <si>
    <t xml:space="preserve">შეიძინეთ აუზი INTEX 28120 EASY SET 76 x 305 სმ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</si>
  <si>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ელექტრო ჩაიდანი BRAUN WK300 WHITE</t>
  </si>
  <si>
    <t xml:space="preserve">143662</t>
  </si>
  <si>
    <t xml:space="preserve">https://superi.ge/braun-wk300-white/</t>
  </si>
  <si>
    <t xml:space="preserve">• ტიპი სტანდარტული • სიმძლავრე 2200 W • მოცულობა 1 7 ლ მახასიათებლები • გამაცხელებელი ელემენტი დაფარული დისკი • სწრაფი ადუღება 45 წმ 200 მლ • განყოფილება კაბელი...</t>
  </si>
  <si>
    <t xml:space="preserve">შეიძინეთ ელექტრო ჩაიდანი BRAUN WK300 WHITE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</si>
  <si>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ელექტრო ჩაიდანი BRAUN WK5100BK</t>
  </si>
  <si>
    <t xml:space="preserve">S12727</t>
  </si>
  <si>
    <t xml:space="preserve">https://superi.ge/braun-wk5100bk/</t>
  </si>
  <si>
    <t xml:space="preserve">• ტიპი სტანდარტული • სიმძლავრე 2200 W • მოცულობა 1 7 ლ მახასიათებლები • სადგამის ბრუნვა 360 გრადუსით • სწრაფი ადუღების სისტემა • ოთხსაფეხურიანი დაცვა • ნადების ...</t>
  </si>
  <si>
    <t xml:space="preserve">შეიძინეთ ელექტრო ჩაიდანი BRAUN WK5100BK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</si>
  <si>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თოჯინა LLORENS CRYING DOLL AYSEL 33 CM (8426265333325)</t>
  </si>
  <si>
    <t xml:space="preserve">182574</t>
  </si>
  <si>
    <t xml:space="preserve">https://superi.ge/llorens-crying-doll-aysel-33-cm-8426265333325/</t>
  </si>
  <si>
    <t xml:space="preserve">• ასაკი 3-5 წლამდე • ინტერაქტიული თოჯინა • სიმაღლე 33 სმ • ბრენდი LLORENS</t>
  </si>
  <si>
    <t xml:space="preserve">შეიძინეთ თოჯინა LLORENS CRYING DOLL AYSEL 33 CM (8426265333325)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</si>
  <si>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ელექტრო გამათბობელი SENCOR SCF 2101BK</t>
  </si>
  <si>
    <t xml:space="preserve">S53730</t>
  </si>
  <si>
    <t xml:space="preserve">https://superi.ge/sencor-scf-2101bk/</t>
  </si>
  <si>
    <t xml:space="preserve">• მართვის ტიპი მექანიკური • პარამეტრების რაოდენობა 3 • სიმძლავრე 2000W • დიზაინი იატაკზე დასადგამი დამატებითი მახასიათებლები • რეგულირებადი თერმოსტატი • ტემპერა...</t>
  </si>
  <si>
    <t xml:space="preserve">შეიძინეთ ელექტრო გამათბობელი SENCOR SCF 2101BK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</si>
  <si>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ავეჯის კომპლექტი დასაკეცი 90x66x70 სმ</t>
  </si>
  <si>
    <t xml:space="preserve">17051609</t>
  </si>
  <si>
    <t xml:space="preserve">https://superi.ge/90x66x70/</t>
  </si>
  <si>
    <t xml:space="preserve">ავეჯის კომპლექტი დასაკეცი 90x66x70 სმმარტივად იკეცება ადვილად გადაადგილდება – და ყოველთვის მზადაა ახალ თავგადასავლებისთვის! ფიზიკური პარამეტრები • ზომა 90x66x70...</t>
  </si>
  <si>
    <t xml:space="preserve">შეიძინეთ ავეჯის კომპლექტი დასაკეცი 90x66x70 სმ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</si>
  <si>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ელექტრო ჩაიდანი BOSCH TWK3P423</t>
  </si>
  <si>
    <t xml:space="preserve">S28586</t>
  </si>
  <si>
    <t xml:space="preserve">https://superi.ge/bosch-twk3p423/</t>
  </si>
  <si>
    <t xml:space="preserve">• ტიპი სტანდარტული • სიმძლავრე 2400 W • მოცულობა 1 7 ლ • მართვის ტიპი მექანიკური მახასიათებლები • მანათობელი ჩამრთველი ინდიკატორი • წყლის დონის ინდიკატორი • გამ...</t>
  </si>
  <si>
    <t xml:space="preserve">შეიძინეთ ელექტრო ჩაიდანი BOSCH TWK3P423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</si>
  <si>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ვენტილატორი FRANKO FSF-1213</t>
  </si>
  <si>
    <t xml:space="preserve">212038</t>
  </si>
  <si>
    <t xml:space="preserve">https://superi.ge/franko-fsf-1213/</t>
  </si>
  <si>
    <t xml:space="preserve">• ტიპი იატაკზე დასადგმელი • ფრთების რაოდენობა 5 • სიჩქარეების რაოდენობა 3 • სიმძლავრე 50 W მახასიათებლები • ბრუნვა 90°-ზე • სუპერ ჩუმი ძრავა • ტაიმერი 60 წთ • დ...</t>
  </si>
  <si>
    <t xml:space="preserve">შეიძინეთ ვენტილატორი FRANKO FSF-1213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</si>
  <si>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მტვერსასრუტი BEKO VCC 44824 AW</t>
  </si>
  <si>
    <t xml:space="preserve">CT0000007983</t>
  </si>
  <si>
    <t xml:space="preserve">https://superi.ge/beko-vcc-44824-aw/</t>
  </si>
  <si>
    <t xml:space="preserve">• ტიპი ტომრით • მაქსიმალური სიმძლავრე 800 W • ხმაურის დონე 72 dB მახასიათებლები • ფილტრის ტიპი HEPA • სიმძლავრის მართვა კორპუსზე • კვების ტიპი დენზე • სადენის ა...</t>
  </si>
  <si>
    <t xml:space="preserve">შეიძინეთ მტვერსასრუტი BEKO VCC 44824 AW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</si>
  <si>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აეროგრილი NIKAI NAF209A (1.8ლ)</t>
  </si>
  <si>
    <t xml:space="preserve">6291071270452</t>
  </si>
  <si>
    <t xml:space="preserve">https://superi.ge/nikai-naf209a-1-8/</t>
  </si>
  <si>
    <t xml:space="preserve">• სიმძლავრე 1000 W • მოცულობა 1 8 ლ • მართვის ტიპი მექანიკური • ტემპერატურის დიაპაზონი 80°C - 200°C • ტაიმერი 30 წთ • მოცურების საწინააღმდეგო სადგამი • ავტომატუ...</t>
  </si>
  <si>
    <t xml:space="preserve">შეიძინეთ აეროგრილი NIKAI NAF209A (1.8ლ)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</si>
  <si>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ბლენდერი BEKO TBN 62608 W</t>
  </si>
  <si>
    <t xml:space="preserve">S50479</t>
  </si>
  <si>
    <t xml:space="preserve">https://superi.ge/beko-tbn-62608-w/</t>
  </si>
  <si>
    <t xml:space="preserve">• ტიპი სტაციონალური • სიმძლავრე 600 W • მოცულობა 1 5 ლ • რეგულირებადი სიჩქარის პარამეტრები 2 • დანების რაოდენობა 4 • მართვის ტიპი მექანიკური • ძრავის ტიპი AC • ...</t>
  </si>
  <si>
    <t xml:space="preserve">შეიძინეთ ბლენდერი BEKO TBN 62608 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</si>
  <si>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ბლენდერი MIDEA MJ-BH1001W</t>
  </si>
  <si>
    <t xml:space="preserve">S20355</t>
  </si>
  <si>
    <t xml:space="preserve">https://superi.ge/midea-mj-bh1001w/</t>
  </si>
  <si>
    <t xml:space="preserve">• ტიპი ხელის ჩასატვირთი • სიმძლავრე 1000 W • ჩოპერის კონტეინერის მოცულობა 500 მლ • ჭიქის მოცულობა 500 მლ • სიჩქარეების რეოდენობა 5 ფუნქციები და მახასიათებლები •...</t>
  </si>
  <si>
    <t xml:space="preserve">შეიძინეთ ბლენდერი MIDEA MJ-BH1001W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</si>
  <si>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ბლენდერი NIKAI NB3900CEB 3IN1500W</t>
  </si>
  <si>
    <t xml:space="preserve">6291071030926</t>
  </si>
  <si>
    <t xml:space="preserve">https://superi.ge/nikai-nb3900ceb-3in1500w/</t>
  </si>
  <si>
    <t xml:space="preserve">• ბრენდი Nikai • მოდელი NB3900CEB • პლასტმასის კორპუსი უჟანგავი ფოლადის დეკორაციით • უჟანგავი ფოლადის დანა • მინის პლასტმასის ჭიქით • შეუძლია სხვადასხვა სახის ხ...</t>
  </si>
  <si>
    <t xml:space="preserve">შეიძინეთ ბლენდერი NIKAI NB3900CEB 3IN1500W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</si>
  <si>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ელექტრო ჩაიდანი + ჩაის დასაყენებელი NIKAI NKT1730S1</t>
  </si>
  <si>
    <t xml:space="preserve">6291071150266</t>
  </si>
  <si>
    <t xml:space="preserve">https://superi.ge/nikai-nkt1730s1/</t>
  </si>
  <si>
    <t xml:space="preserve">• ტიპი ჩაის დასაყენებელით • სიმძლავრე 1800-2200 W • ჩაიდნის მოცულობა 1 7 ლ • ჩაის დასაყენებელის მოცულობა 1 ლ • მართვის ტიპი მექანიკური მახასიათებლები • გადახურე...</t>
  </si>
  <si>
    <t xml:space="preserve">შეიძინეთ ელექტრო ჩაიდანი + ჩაის დასაყენებელი NIKAI NKT1730S1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</si>
  <si>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ელექტრო ჩაიდანი ARDESTO EKL-X53E</t>
  </si>
  <si>
    <t xml:space="preserve">EKL-X53E</t>
  </si>
  <si>
    <t xml:space="preserve">https://superi.ge/ardesto-ekl-x53e/</t>
  </si>
  <si>
    <t xml:space="preserve">• სიმძლავრე 1800-2200 W • მოცულობა 1 7 ლ • ტემპერატურის რეჟიმების რაოდენობა 6 70°C 80°C 85°C 88°C 93°C 100°C • მართვის ტიპი ელექტრონული / სენსორული ფუნქციები და...</t>
  </si>
  <si>
    <t xml:space="preserve">შეიძინეთ ელექტრო ჩაიდანი ARDESTO EKL-X53E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</si>
  <si>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ნაძვის ხე ბავარია 150სმ (ZX-150)</t>
  </si>
  <si>
    <t xml:space="preserve">ZX-150</t>
  </si>
  <si>
    <t xml:space="preserve">https://superi.ge/150-zx-150/</t>
  </si>
  <si>
    <t xml:space="preserve">• აწყობის ტიპი გადმოსაშლელი ხელით • გაფორმება დათოვლილი • დაბურვის სიხშირე სრული • მარტივად ასაწყობი კონსტრუქცია • ნაძვის ხე გამძლე დრეკადი მეტალის ტოტებით • და...</t>
  </si>
  <si>
    <t xml:space="preserve">შეიძინეთ ნაძვის ხე ბავარია 150სმ (ZX-150)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</si>
  <si>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გამწოვი LUXELL DS6-905X INOX (450 მ³/სთ)</t>
  </si>
  <si>
    <t xml:space="preserve">177133</t>
  </si>
  <si>
    <t xml:space="preserve">https://superi.ge/luxell-ds6-905x-inox-450/</t>
  </si>
  <si>
    <t xml:space="preserve">• ტიპი ტელესკოპური • წარმადობა 450 მ³/სთ • სიგანე 60 სმ • სიჩქარეების რაოდენობა 3 • ფილტრების რაოდენობა 2 მახასიათებლები • განათება • ადვილად წმენდადი ფილტრები ...</t>
  </si>
  <si>
    <t xml:space="preserve">შეიძინეთ გამწოვი LUXELL DS6-905X INOX (450 მ³/სთ)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</si>
  <si>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მტვერსასრუტი ARNICA ET13212</t>
  </si>
  <si>
    <t xml:space="preserve">193296</t>
  </si>
  <si>
    <t xml:space="preserve">https://superi.ge/arnica-et13212/</t>
  </si>
  <si>
    <t xml:space="preserve">• ტიპი ვერტიკალური • სიმძლავრე 850 W • ფილტრის ტიპი HEPA • კვების ტიპი ქსელის • დასუფთავების რადიუსი 7 მ მახასიათებლები • ჩართვა/გამორთვის ღილაკი • მოხსნადი სახ...</t>
  </si>
  <si>
    <t xml:space="preserve">შეიძინეთ მტვერსასრუტი ARNICA ET13212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</si>
  <si>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სათამაშო LEGO CITY - 4x4 OFF - ROADER ADVENTURES</t>
  </si>
  <si>
    <t xml:space="preserve">222748</t>
  </si>
  <si>
    <t xml:space="preserve">https://superi.ge/lego-city-4x4-off-roader-adventures/</t>
  </si>
  <si>
    <t xml:space="preserve">• ბრენდი LEGO • ასაკი 6+• ფიგურების რაოდენობა 252 • ხელს უწყობს აზროვნების განვითარებას • მარტივად დაშლადი-ასაწყობი ფიგურები ფიზიკური პარამეტრები • მასალა პლასტ...</t>
  </si>
  <si>
    <t xml:space="preserve">შეიძინეთ სათამაშო LEGO CITY - 4x4 OFF - ROADER ADVENTURES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</si>
  <si>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გასაბერი აუზი INTEX 56493 (723L)</t>
  </si>
  <si>
    <t xml:space="preserve">148554</t>
  </si>
  <si>
    <t xml:space="preserve">https://superi.ge/intex-56493/</t>
  </si>
  <si>
    <t xml:space="preserve">• მოცულობა 723 ლ • დაფარვა 80 &gt; • სარქველი წყლის გადინებისთვის • ზომა 191 x 178 x 61 სმ • ასაკი 6 წლიდან • სწრაფი და მარტივი მონტაჟი • წონა 5 2 კგ • ფერი ფერადი</t>
  </si>
  <si>
    <t xml:space="preserve">შეიძინეთ გასაბერი აუზი INTEX 56493 (723L)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</si>
  <si>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კლავიატურა LOGITECH K360 (L920-003095) BLACK</t>
  </si>
  <si>
    <t xml:space="preserve">195095</t>
  </si>
  <si>
    <t xml:space="preserve">ტექნიკა &gt; ნოუთბუქები, კომპიუტერები, მონიტორები &gt; კომპიუტერის აქსესუარები</t>
  </si>
  <si>
    <t xml:space="preserve">https://superi.ge/logitech-k360-l920-003095-black/</t>
  </si>
  <si>
    <t xml:space="preserve">• ტიპი სტანდარტული • კავშირი უსადენო • ინტერფეისი USB / RF • კავშირის დიაპაზონი 10 მ • სიხშირე 2 4 GHz ფუნქციები და მახასიათებლები • ღილაკების რაოდენობა 100 • ფ...</t>
  </si>
  <si>
    <t xml:space="preserve">შეიძინეთ კლავიატურა LOGITECH K360 (L920-003095) BLACK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</si>
  <si>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ტოსტერი BOSCH TAT3P421</t>
  </si>
  <si>
    <t xml:space="preserve">I78000</t>
  </si>
  <si>
    <t xml:space="preserve">https://superi.ge/bosch-tat3p421/</t>
  </si>
  <si>
    <t xml:space="preserve">• სიმძლავრე 970 W • კონტროლის ტიპი მექანიკური • განყოფილებების რაოდენობა 2 ფუნქციები და მახასიათებლები • შებრაწვის ხარისხის რეგულირება • თერმოსტატი • გაუქმების ...</t>
  </si>
  <si>
    <t xml:space="preserve">შეიძინეთ ტოსტერი BOSCH TAT3P421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</si>
  <si>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პორტატული დამტენი UGREEN PB502 NEXODE (10000mAh)</t>
  </si>
  <si>
    <t xml:space="preserve">25185</t>
  </si>
  <si>
    <t xml:space="preserve">https://superi.ge/ugreen-pb502-nexode-10000mah/</t>
  </si>
  <si>
    <t xml:space="preserve">• ბრენდი UGREEN • მოდელი PB502 25185 • პროდუქტის ტიპი პორტატული დამტენი • სადენის სიგრძე USB-C 0 5 მ • სიმძლავრე 30W • ტექნოლოგია PD QC AFC SCP • USB-C შემავალი...</t>
  </si>
  <si>
    <t xml:space="preserve">შეიძინეთ პორტატული დამტენი UGREEN PB502 NEXODE (10000mAh)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</si>
  <si>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გასაბერი აუზი BESTWAY 57448 (2300L)</t>
  </si>
  <si>
    <t xml:space="preserve">210686</t>
  </si>
  <si>
    <t xml:space="preserve">https://superi.ge/bestway-57448/</t>
  </si>
  <si>
    <t xml:space="preserve">• ტიპი გასაბერი • მოცულობა 2300 ლ • ფორმა მრგვალი ფიზიკური პარამეტრები • ზომა 244 х 61 სმ • წონა შეფუთვით 5 49 კგ • ფერი ლურჯი</t>
  </si>
  <si>
    <t xml:space="preserve">შეიძინეთ გასაბერი აუზი BESTWAY 57448 (2300L)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</si>
  <si>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როუტერი TENDA AC8 (AC1200) BLACK</t>
  </si>
  <si>
    <t xml:space="preserve">187275</t>
  </si>
  <si>
    <t xml:space="preserve">https://superi.ge/tenda-ac8-ac1200-black/</t>
  </si>
  <si>
    <t xml:space="preserve">• სტანდარტი IEEE802 3 IEEE802 3u • მუშაობის სიხშირე 2 4GHz + 5GHz • WAN პორტი 1 x 10/100მბ/წმ • LAN პორტები 3 x 10/100მბ/წმ • გამტარუნარიანობა 300მბ/წმ 2 4GHz +...</t>
  </si>
  <si>
    <t xml:space="preserve">შეიძინეთ როუტერი TENDA AC8 (AC1200) BLACK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</si>
  <si>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პორტატული დამტენი UGREEN PB503 (5000mAh)</t>
  </si>
  <si>
    <t xml:space="preserve">35338</t>
  </si>
  <si>
    <t xml:space="preserve">https://superi.ge/ugreen-pb503-5000mah/</t>
  </si>
  <si>
    <t xml:space="preserve">• ბრენდი UGREEN • მოდელი PB503 35338 • პროდუქტის ტიპი პორტატული დამტენი • მთლიანი სიმძლავრე 5000 mAh 18 Wh • აკუმულატორის ტიპი ლითიუმის პოლიმერი • მაქსიმალური ს...</t>
  </si>
  <si>
    <t xml:space="preserve">შეიძინეთ პორტატული დამტენი UGREEN PB503 (5000mAh)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</si>
  <si>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ელექტრო გამათბობელი ZILAN ZLN6258</t>
  </si>
  <si>
    <t xml:space="preserve">SA0000008282</t>
  </si>
  <si>
    <t xml:space="preserve">https://superi.ge/zilan-zln6258/</t>
  </si>
  <si>
    <t xml:space="preserve">• ტიპი ელექტრო • სიმძლავრე 2000 W • მართვის ტიპი მექანიკური დამატებითი მახასიათებლები • გადახურებისგან დაცვა • სახელური • სწრაფი გაცხელება • შესაძლებელია დადგმა...</t>
  </si>
  <si>
    <t xml:space="preserve">შეიძინეთ ელექტრო გამათბობელი ZILAN ZLN6258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</si>
  <si>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სკამი მეტალის 13547 BROWN</t>
  </si>
  <si>
    <t xml:space="preserve">234137</t>
  </si>
  <si>
    <t xml:space="preserve">ავეჯი</t>
  </si>
  <si>
    <t xml:space="preserve">https://superi.ge/13547-brown/</t>
  </si>
  <si>
    <t xml:space="preserve">• მოხმარების არეალი შიდა/გარე • დახვეწილი დიზაინი • ადვილად წმენდადი ზედაპირი ფიზიკური პარამეტრები • მასალა მეტალი • ფერი ყავისფერი</t>
  </si>
  <si>
    <t xml:space="preserve">შეიძინეთ სკამი მეტალის 13547 BROWN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</si>
  <si>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ელექტრო გამათბობელი MIDEA NDK20-21A</t>
  </si>
  <si>
    <t xml:space="preserve">S84907</t>
  </si>
  <si>
    <t xml:space="preserve">https://superi.ge/midea-ndk20-21a/</t>
  </si>
  <si>
    <t xml:space="preserve">• ტიპი კონვექტორული გამათბობელი • მაქსიმალური სიმძლავრე 750 - 2000 W • სიმძლავრის რაოდენობა 3 დამატებითი მახასიათებლები • მართვის ტიპი მექანიკური • რეგულირებადი...</t>
  </si>
  <si>
    <t xml:space="preserve">შეიძინეთ ელექტრო გამათბობელი MIDEA NDK20-21A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</si>
  <si>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ინსტრუმენტების ნაკრები TOTAL THT141451</t>
  </si>
  <si>
    <t xml:space="preserve">159437</t>
  </si>
  <si>
    <t xml:space="preserve">სამშენებლო ხელსაწყოები &gt; ხელის ინსტრუმენტები</t>
  </si>
  <si>
    <t xml:space="preserve">https://superi.ge/total-tht141451/</t>
  </si>
  <si>
    <t xml:space="preserve">• ნაკრებში შემავალი აქსესუარების რაოდენობა 45 • მასალა CR-V W ფოლადი ქრომირებული დაფარვით კომპლექტაცია • 1 x ტრეშოტი • 13 x ტრეშოტის თავაკი 4-4 5-5-5 5-6-7-8-9-...</t>
  </si>
  <si>
    <t xml:space="preserve">შეიძინეთ ინსტრუმენტების ნაკრები TOTAL THT141451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</si>
  <si>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ინფრაწითელი გამათბობელი KUMTEL KS-2760</t>
  </si>
  <si>
    <t xml:space="preserve">194481</t>
  </si>
  <si>
    <t xml:space="preserve">https://superi.ge/kumtel-ks-2760/</t>
  </si>
  <si>
    <t xml:space="preserve">• ტიპი დასადგამი • მაქსიმალური სიმძლავრე 2200 W • რეკომენდირებული ფართი 20-25 მ² • სპირალის რაოდენობა 4 დამატებითი მახასიათებლები • მართვის ტიპი მექანიკური • რე...</t>
  </si>
  <si>
    <t xml:space="preserve">შეიძინეთ ინფრაწითელი გამათბობელი KUMTEL KS-2760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</si>
  <si>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პორტატული დამტენი UGREEN PB561 (5000mAh)</t>
  </si>
  <si>
    <t xml:space="preserve">25207</t>
  </si>
  <si>
    <t xml:space="preserve">https://superi.ge/ugreen-pb561-5000mah/</t>
  </si>
  <si>
    <t xml:space="preserve">• ბრენდი UGREEN • მოდელი 25207 • პროდუქტის ტიპი პორტატული დამტენი • შემავალი USB-C 5V3A 9V1 67A 15W • გამომავალი USB-C 5V3A 9V1 67A 15W • უსადენო დატენვა QI 7 5...</t>
  </si>
  <si>
    <t xml:space="preserve">შეიძინეთ პორტატული დამტენი UGREEN PB561 (5000mAh)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</si>
  <si>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ბლენდერი MIDEA MJ-BL6006W</t>
  </si>
  <si>
    <t xml:space="preserve">S42757</t>
  </si>
  <si>
    <t xml:space="preserve">https://superi.ge/midea-mj-bl6006w/</t>
  </si>
  <si>
    <t xml:space="preserve">• ტიპი სტაციონარული • სიმძლავრე 600 W • კონტროლის ტიპი მექანიკური • სიჩქარის რეჟიმები 2 • დანის რაოდენობა 4 • მოცულობა 1 5 ლ • კვების ტიპი ქსელის ფუნქციები და მ...</t>
  </si>
  <si>
    <t xml:space="preserve">შეიძინეთ ბლენდერი MIDEA MJ-BL6006W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</si>
  <si>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მიქსერი BRAUN HM1010WH</t>
  </si>
  <si>
    <t xml:space="preserve">I89168</t>
  </si>
  <si>
    <t xml:space="preserve">https://superi.ge/braun-hm1010wh/</t>
  </si>
  <si>
    <t xml:space="preserve">• ტიპი ხელის • სიმძლავრე 400 W • მართვის ტიპი მექანიკური • სიჩქარის რეჟიმების რაოდენობა 4 • კვების ტიპი ქსელის დამატებითი მახასიათებლები • გადახურებისაგან დაცვა...</t>
  </si>
  <si>
    <t xml:space="preserve">შეიძინეთ მიქსერი BRAUN HM1010WH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</si>
  <si>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ელექტრო ჩაიდანი ZILAN ZLN1001</t>
  </si>
  <si>
    <t xml:space="preserve">S70483</t>
  </si>
  <si>
    <t xml:space="preserve">https://superi.ge/zilan-zln1001/</t>
  </si>
  <si>
    <t xml:space="preserve">• ტიპი სტანდარტული • სიმძლავრე 1850-2200 W • ძაბვა 220-240 • მოცულობა 1 7 ლ • მართვის ტიპი მექანიკური მახასიათებლები • გადახურებისგან დაცვა • გამაცხელებელი ელემ...</t>
  </si>
  <si>
    <t xml:space="preserve">შეიძინეთ ელექტრო ჩაიდანი ZILAN ZLN1001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</si>
  <si>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თამაში NBA 2K23 GAME FOR PS5</t>
  </si>
  <si>
    <t xml:space="preserve">Z-027839</t>
  </si>
  <si>
    <t xml:space="preserve">https://superi.ge/nba-2k23-game-for-ps5/</t>
  </si>
  <si>
    <t xml:space="preserve">• თავსებადობა PLAYSTATION 5 • გამოშვების თარიღი 2022 • რეკომენდირებული ასაკი 5+ • ჟანრი სპორტი • მოთამაშეების რაოდენობა 1 - 4 • მწარმოებელი 2K გთხოვთ გაითვალისწ...</t>
  </si>
  <si>
    <t xml:space="preserve">შეიძინეთ თამაში NBA 2K23 GAME FOR PS5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</si>
  <si>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მაგიდა BOFIGO 60X90 (29)</t>
  </si>
  <si>
    <t xml:space="preserve">214396</t>
  </si>
  <si>
    <t xml:space="preserve">https://superi.ge/bofigo-60x90-29/</t>
  </si>
  <si>
    <t xml:space="preserve">• ტიპი სამეცადინო მაგიდა • მწარმოებელი BOFIGO • მაგიდის ფორმა მართკუთხა • დახვეწილი დიზაინი • მწარმოებელი ქვეყანა თურქეთი ფიზიკური პარამეტრები • მასალა ლითონი მ...</t>
  </si>
  <si>
    <t xml:space="preserve">შეიძინეთ მაგიდა BOFIGO 60X90 (29)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</si>
  <si>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სათამაშო LEGO JURRASIC - PTERANODON CHASE</t>
  </si>
  <si>
    <t xml:space="preserve">222524</t>
  </si>
  <si>
    <t xml:space="preserve">https://superi.ge/lego-jurrasic-pteranodon-chase/</t>
  </si>
  <si>
    <t xml:space="preserve">• ბრენდი LEGO • ასაკი 4+ • ფიგურების რაოდენობა 94 • ხელს უწყობს აზროვნების უნარს • მარტივად დაშლადი-ასაწყობი ფიგურები ფიზიკური პარამეტრები • მასალა პლასტმასი • ...</t>
  </si>
  <si>
    <t xml:space="preserve">შეიძინეთ სათამაშო LEGO JURRASIC - PTERANODON CHASE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</si>
  <si>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ბლენდერი MIDEA MJ-BH4001W</t>
  </si>
  <si>
    <t xml:space="preserve">S53411</t>
  </si>
  <si>
    <t xml:space="preserve">https://superi.ge/midea-mj-bh4001w/</t>
  </si>
  <si>
    <t xml:space="preserve">• ტიპი ხელის ჩასატვირთი • სიმძლავრე 400-1200 W • ჩოპერის კონტეინერის მოცულობა 500 მლ • ჭიქის მოცულობა 600 მლ ფუნქციები და მახასიათებლები • ტურბო რეჟიმი • კომფორ...</t>
  </si>
  <si>
    <t xml:space="preserve">შეიძინეთ ბლენდერი MIDEA MJ-BH4001W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</si>
  <si>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ელექტრო ჩაიდანი GORENJE K15DWS</t>
  </si>
  <si>
    <t xml:space="preserve">I89400</t>
  </si>
  <si>
    <t xml:space="preserve">https://superi.ge/gorenje-k15dws/</t>
  </si>
  <si>
    <t xml:space="preserve">• სიმძლავრე 1850-2200 W • მოცულობა 1 5 ლ • მართვის ტიპი მექანიკური ფუნქციები და მახასიათებლები • ჩართვა / გამორთვის გადამრთველი • ფიქსირებული ფილტრი • მუშაობის ...</t>
  </si>
  <si>
    <t xml:space="preserve">შეიძინეთ ელექტრო ჩაიდანი GORENJE K15DWS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</si>
  <si>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ნაძვის ხე CANSUS 150სმ (00-00018334)</t>
  </si>
  <si>
    <t xml:space="preserve">239377</t>
  </si>
  <si>
    <t xml:space="preserve">https://superi.ge/cansus-150-00-00018334/</t>
  </si>
  <si>
    <t xml:space="preserve">• მწარმოებელი CANSUS • მწარმოებელი ქვეყანა თურქეთი ფიზიკური პარამეტრები • სიმაღლე 150 სმ • წონა 2 5 კგ • ფერი მწვანე</t>
  </si>
  <si>
    <t xml:space="preserve">შეიძინეთ ნაძვის ხე CANSUS 150სმ (00-00018334)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</si>
  <si>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სამზარეულოს სკამი თეთრი</t>
  </si>
  <si>
    <t xml:space="preserve">07020919</t>
  </si>
  <si>
    <t xml:space="preserve">https://superi.ge/07020919/</t>
  </si>
  <si>
    <t xml:space="preserve">• ტიპი სამზარეულოს • დახვეწილი დიზაინი • ადვილად წმენდადი ზედაპირი ფიზიკური პარამეტრები • ფეხების მასალა ხე • დასაჯდმობის მასალა პოლიპროპილენი + ეკოტყავი • სიღრ...</t>
  </si>
  <si>
    <t xml:space="preserve">შეიძინეთ სამზარეულოს სკამი თეთრი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</si>
  <si>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ელექტრო გამათბობელი KUMTEL LX-2830 M BLACK</t>
  </si>
  <si>
    <t xml:space="preserve">165523</t>
  </si>
  <si>
    <t xml:space="preserve">https://superi.ge/kumtel-lx-2830-m-black/</t>
  </si>
  <si>
    <t xml:space="preserve">• გამაცხელებელი ელემენტის ტიპი კვარცის • მაქსიმალური სიმძლავრე 1800 W • გასათბობი ფართი 15-20 მ² • დაყენება იატაკი • ფუნქციები თერმოსტატი ტემპერატურის რეგულირებ...</t>
  </si>
  <si>
    <t xml:space="preserve">შეიძინეთ ელექტრო გამათბობელი KUMTEL LX-2830 M BLACK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</si>
  <si>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გასაბერი აუზი BESTWAY 54005</t>
  </si>
  <si>
    <t xml:space="preserve">148727</t>
  </si>
  <si>
    <t xml:space="preserve">https://superi.ge/bestway-54005/</t>
  </si>
  <si>
    <t xml:space="preserve">• ტიპი გასაბერი • მოცულობა 506 ლ • მასალა ვინილი • ზომა 201 x 150 x 51 სმ • წონა 10 4 კგ • ფერი ცისფერი</t>
  </si>
  <si>
    <t xml:space="preserve">შეიძინეთ გასაბერი აუზი BESTWAY 54005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</si>
  <si>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საბავშვო გასაბერი აუზი BESTWAY 57392</t>
  </si>
  <si>
    <t xml:space="preserve">177648</t>
  </si>
  <si>
    <t xml:space="preserve">https://superi.ge/bestway-57392/</t>
  </si>
  <si>
    <t xml:space="preserve">• ტიპი გასაბერი • მოცულობა 940 ლ დამატებითი მახასიათებლები • ფორმა მრგვალი • მარტივად გასაშლელი ფიზიკური პარამეტრები • მასალა მყარი ვინილი • ზომები 183 x 51 სმ ...</t>
  </si>
  <si>
    <t xml:space="preserve">შეიძინეთ საბავშვო გასაბერი აუზი BESTWAY 57392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</si>
  <si>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კარტრიჯი HP 652 (F6V25AE) BLACK</t>
  </si>
  <si>
    <t xml:space="preserve">164978</t>
  </si>
  <si>
    <t xml:space="preserve">https://superi.ge/hp-652-f6v25ae-black/</t>
  </si>
  <si>
    <t xml:space="preserve">• ტიპი ჭავლური კარტრიჯი • რესურსი 360 გვერდი • წვეთის მოცულობა 22 პლ • მელანი რაოდენობა ფერი 1 შავი • მელნის ტიპი პიგმენტური • მოწყობილობებისთვის პრინტერები თავ...</t>
  </si>
  <si>
    <t xml:space="preserve">შეიძინეთ კარტრიჯი HP 652 (F6V25AE) BLACK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</si>
  <si>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ელექტრო ჩადანი MIDEA 17D19A2 BLACK</t>
  </si>
  <si>
    <t xml:space="preserve">S58018</t>
  </si>
  <si>
    <t xml:space="preserve">https://superi.ge/midea-17d19a2-black/</t>
  </si>
  <si>
    <t xml:space="preserve">• ტიპი სტანდარტული • მოცულობა 1 7 ლ • სიმძლავრე 1850 - 2200 W • მართვის ტიპი მექანიკური ფუნქციები და მახასიათებლები • ჩართვა / გამორთვის გადამრთველი • წყლის დონ...</t>
  </si>
  <si>
    <t xml:space="preserve">შეიძინეთ ელექტრო ჩადანი MIDEA 17D19A2 BLACK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</si>
  <si>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საცურაო აქსესუარი INTEX 57558</t>
  </si>
  <si>
    <t xml:space="preserve">157206</t>
  </si>
  <si>
    <t xml:space="preserve">https://superi.ge/intex-57558/</t>
  </si>
  <si>
    <t xml:space="preserve">• ტიპი გასაბერი ფლამინგოს ფორმის • რეკომენდირებული ასაკი 3 წლიდან • ზომა 142x137x97 სმ • სახელურები წონასწორობის შესანარჩუნებლად • გაბერვა-ჩაფუშვის შესაძლებლობა...</t>
  </si>
  <si>
    <t xml:space="preserve">შეიძინეთ საცურაო აქსესუარი INTEX 57558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</si>
  <si>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კარტრიჯი HP 652 (F6V24AE)</t>
  </si>
  <si>
    <t xml:space="preserve">164977</t>
  </si>
  <si>
    <t xml:space="preserve">https://superi.ge/hp-652-f6v24ae/</t>
  </si>
  <si>
    <t xml:space="preserve">• ტიპი ჭავლური კარტრიჯი • რესურსი 200 გვერდი • წვეთის მოცულობა 3 25 პლ 6 8 პლ • მელანი რაოდენობა ფერი 3 ყვითელი ცისფერი იასამნისფერი • მელნის ტიპი პიგმენტური • ...</t>
  </si>
  <si>
    <t xml:space="preserve">შეიძინეთ კარტრიჯი HP 652 (F6V24AE)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</si>
  <si>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მაგიდა BOFIGO 65.5X60 (23)</t>
  </si>
  <si>
    <t xml:space="preserve">214391</t>
  </si>
  <si>
    <t xml:space="preserve">https://superi.ge/bofigo-65-5x60-23/</t>
  </si>
  <si>
    <t xml:space="preserve">• ტიპი ლეპტოპის მაგიდა • მწარმოებელი BOFIGO • მაგიდის ფორმა მართკუთხა • დახვეწილი დიზაინი • მწარმოებელი ქვეყანა თურქეთი ფიზიკური პარამეტრები • მასალა ლითონი მელ...</t>
  </si>
  <si>
    <t xml:space="preserve">შეიძინეთ მაგიდა BOFIGO 65.5X60 (23)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</si>
  <si>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სათამაშო ENCHANTIMALS ჰიქსბი და ზღარბი</t>
  </si>
  <si>
    <t xml:space="preserve">182224</t>
  </si>
  <si>
    <t xml:space="preserve">https://superi.ge/enchantimals/</t>
  </si>
  <si>
    <t xml:space="preserve">• ბრენდი MATTEL • ბავშვის ასაკი 4 წლიდან ფიზიკური პარამეტრები • მასალა პლასტმასი • ზომა 5 72 x 12 7 x 21 59 სმ</t>
  </si>
  <si>
    <t xml:space="preserve">შეიძინეთ სათამაშო ENCHANTIMALS ჰიქსბი და ზღარბი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</si>
  <si>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მტვერსასრუტი BORT BVC-95</t>
  </si>
  <si>
    <t xml:space="preserve">212672</t>
  </si>
  <si>
    <t xml:space="preserve">https://superi.ge/bort-bvc-95/</t>
  </si>
  <si>
    <t xml:space="preserve">• ტიპი ავტომობილის კონტეინერით • სიმძლავრე 95 W • კვება ავტომობილის სანთებელიდან მახასიათებლები • მოსახერხებელი სახელური • მსუბუქი კონსტრუქცია ფიზიკური პარამეტრ...</t>
  </si>
  <si>
    <t xml:space="preserve">შეიძინეთ მტვერსასრუტი BORT BVC-95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</si>
  <si>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საბავშვო გასაბერი აუზი INTEX 57433</t>
  </si>
  <si>
    <t xml:space="preserve">157132</t>
  </si>
  <si>
    <t xml:space="preserve">https://superi.ge/intex-57433/</t>
  </si>
  <si>
    <t xml:space="preserve">• ტიპი გასაბერი საბავშვო • მოცულობა 159 ლ • ზომა 229 x 226 x 107 სმ • სწრაფი და მარტივი მონტაჟი • ფერი ნაცრისფერი</t>
  </si>
  <si>
    <t xml:space="preserve">შეიძინეთ საბავშვო გასაბერი აუზი INTEX 57433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</si>
  <si>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კატის საკვები PRO PLAN STERIL 1.5 KG (7613036499927)</t>
  </si>
  <si>
    <t xml:space="preserve">212998</t>
  </si>
  <si>
    <t xml:space="preserve">https://superi.ge/pro-plan-steril-1-5-kg-7613036499927/</t>
  </si>
  <si>
    <t xml:space="preserve">• საკვების ტიპი მშრალი საკვები • საკვების დანიშნულება ყოველდღიური • ინგრედიენტი კურდღელი • ასაკი ზრდასრული • წონა 1 5 კგ • რაოდენობა 1 შემადგენლობა • ქათამი • ფ...</t>
  </si>
  <si>
    <t xml:space="preserve">შეიძინეთ კატის საკვები PRO PLAN STERIL 1.5 KG (7613036499927)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</si>
  <si>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კატის საკვები PURINA PRO PLAN DELIC 1.5 KG (7613036510523)</t>
  </si>
  <si>
    <t xml:space="preserve">212981</t>
  </si>
  <si>
    <t xml:space="preserve">https://superi.ge/purina-pro-plan-delic-1-5-kg-7613036510523/</t>
  </si>
  <si>
    <t xml:space="preserve">• საკვების ტიპი მშრალი საკვები • საკვების დანიშნულება ყოველდღიური • ინგრედიენტი ინდაურის არომატი • ასაკი ზრდასრული • წონა 1 5 კგ • რაოდენობა 1 შემადგენლობა • ინ...</t>
  </si>
  <si>
    <t xml:space="preserve">შეიძინეთ კატის საკვები PURINA PRO PLAN DELIC 1.5 KG (7613036510523)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</si>
  <si>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გასაბერი ლეიბი INTEX 58894</t>
  </si>
  <si>
    <t xml:space="preserve">210644</t>
  </si>
  <si>
    <t xml:space="preserve">https://superi.ge/intex-58894/</t>
  </si>
  <si>
    <t xml:space="preserve">• ტიპი გასაბერი • ადგილების რაოდენობა 1 ფიზიკური პარამეტრები • სიგრძე 188 სმ • სიგანე 71 სმ • ფერი ნაცრისფერი</t>
  </si>
  <si>
    <t xml:space="preserve">შეიძინეთ გასაბერი ლეიბი INTEX 58894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</si>
  <si>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აუზის ტენტი INTEX 28030 305სმ</t>
  </si>
  <si>
    <t xml:space="preserve">212530</t>
  </si>
  <si>
    <t xml:space="preserve">https://superi.ge/intex-28030-305/</t>
  </si>
  <si>
    <t xml:space="preserve">• ტიპი აუზის ტენტი • ბრენდი INTEX • ზომა 305 სმ</t>
  </si>
  <si>
    <t xml:space="preserve">შეიძინეთ აუზის ტენტი INTEX 28030 305სმ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</si>
  <si>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ორადგილიანი ჰამაკი HAM 190X150R</t>
  </si>
  <si>
    <t xml:space="preserve">206551</t>
  </si>
  <si>
    <t xml:space="preserve">https://superi.ge/ham-190x150r/</t>
  </si>
  <si>
    <t xml:space="preserve">• გამოყენება სახლისთვის ეზოსთვის სალაშქროდ • ტევადობა 2 ადგილიანი • მაქსიმალური დატვირთვა 200 კგ • დახვეწილი დიზაინი • შესანახი ჩანთა ფიზიკური პარამეტრები • ზომ...</t>
  </si>
  <si>
    <t xml:space="preserve">შეიძინეთ ორადგილიანი ჰამაკი HAM 190X150R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</si>
  <si>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ტელევიზორის საკიდი COLORVIEW LED-06ST 23-55''</t>
  </si>
  <si>
    <t xml:space="preserve">88010</t>
  </si>
  <si>
    <t xml:space="preserve">https://superi.ge/colorview-led-06st-23-55/</t>
  </si>
  <si>
    <t xml:space="preserve">• დაყენების ტიპი კედლის • დანიშნულება ტელევიზორისთვის • ტელევიზორის დიაგონალი 23-55 • მაქსიმალური დატვირთვა 55 კგ • კედლიდან მინიმალური დაშორება 70 მმ • დახრა +...</t>
  </si>
  <si>
    <t xml:space="preserve">შეიძინეთ ტელევიზორის საკიდი COLORVIEW LED-06ST 23-55''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</si>
  <si>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კომპრესორის მილი 15 მ INGCO AH1151</t>
  </si>
  <si>
    <t xml:space="preserve">1007079</t>
  </si>
  <si>
    <t xml:space="preserve">https://superi.ge/15-ingco-ah1151/</t>
  </si>
  <si>
    <t xml:space="preserve">კომპრესორის მილი 15 მ INGCO AH1151 პროდუქტის დეტალები დანიშნულება სამომხმარებლო მასალა PU ზომა 6/8 მმ სიგრძე 15 მ ინგკო არის ჩინური ბრენდი რომელიც მრავალი წელია...</t>
  </si>
  <si>
    <t xml:space="preserve">შეიძინეთ კომპრესორის მილი 15 მ INGCO AH1151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</si>
  <si>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ჰაერის კომპრესორის მილი WOKIN 815025 (10 მ)</t>
  </si>
  <si>
    <t xml:space="preserve">815025</t>
  </si>
  <si>
    <t xml:space="preserve">https://superi.ge/wokin-815025-10/</t>
  </si>
  <si>
    <t xml:space="preserve">ბრენდი Wokinმოდელი 815025პროდუქტის ტიპი ჰაერის კომპრესორის მილისიგრძე 10 მშიდა დიამეტრი 6 მმგარე დიამეტრი 8 მმმაქსიმალური სამუშაო წნევა 10 ბარი 144 psi</t>
  </si>
  <si>
    <t xml:space="preserve">შეიძინეთ ჰაერის კომპრესორის მილი WOKIN 815025 (10 მ)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</si>
  <si>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კატის საკვები PURINA PRO PLAN DELICATE TURKEY (7613036546959)</t>
  </si>
  <si>
    <t xml:space="preserve">212954</t>
  </si>
  <si>
    <t xml:space="preserve">https://superi.ge/purina-pro-plan-delicate-turkey-7613036546959/</t>
  </si>
  <si>
    <t xml:space="preserve">• საკვების ტიპი მშრალი საკვები • საკვების დანიშნულება ყოველდღიური • ინგრედიენტი ინდაურის არომატი • წონა 400 გ • რაოდენობა 1 შემადგენლობა • ინდაური 18% • სიმინდი...</t>
  </si>
  <si>
    <t xml:space="preserve">შეიძინეთ კატის საკვები PURINA PRO PLAN DELICATE TURKEY (7613036546959)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</si>
  <si>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თეფში LUMINARC CARINE 19 სმ</t>
  </si>
  <si>
    <t xml:space="preserve">230040</t>
  </si>
  <si>
    <t xml:space="preserve">სახლი და დეკორი &gt; სამზარეულოს აქსესუარები &gt; ჭურჭელი</t>
  </si>
  <si>
    <t xml:space="preserve">https://superi.ge/luminarc-carine-19/</t>
  </si>
  <si>
    <t xml:space="preserve">• მწარმოებელი LUMINARC • ჰიგიენური და მარტივად საწმენდი ზედაპირი ფიზიკური პარამეტრები • მასალა მინა • დიამეტრი 19 სმ • ფერი ცისფერი • წონა 0 3 გრ</t>
  </si>
  <si>
    <t xml:space="preserve">შეიძინეთ თეფში LUMINARC CARINE 19 სმ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</si>
  <si>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თეფში ARDESTO AR2919GGC</t>
  </si>
  <si>
    <t xml:space="preserve">AR2919GGC</t>
  </si>
  <si>
    <t xml:space="preserve">https://superi.ge/ardesto-ar2919ggc/</t>
  </si>
  <si>
    <t xml:space="preserve">• მწარმოებელი ARDESTO • ფორმა მრგვალი • მწარმოებელი ქვეყანა ჩინეთი მახასიათებლები • თავსებადია ღუმელში • ჭურჭლის სარეცხ მანქანაში გარეცხვის შესაძლებლობა • ჰიგიე...</t>
  </si>
  <si>
    <t xml:space="preserve">შეიძინეთ თეფში ARDESTO AR2919GGC Superi.ge-ზე: ✓ ნაწილ-ნაწილ გადახდა ✓ უფასო მიწოდება თბილისში 100₾-დან ✓ მიწოდება მთელ საქართველოში.</t>
  </si>
  <si>
    <t xml:space="preserve">რიგი რას ნიშნავს</t>
  </si>
  <si>
    <t xml:space="preserve">პრიორიტეტის ზღვრები (შეგიძლია შეცვალო)</t>
  </si>
  <si>
    <t xml:space="preserve">Google ჩვენება, რომლიდანაც პრიორიტეტი 1-ია</t>
  </si>
  <si>
    <t xml:space="preserve">ფასი ₾, რომლიდანაც პრიორიტეტი 3-ია (Google-ის მონაცემის გარეშე)</t>
  </si>
  <si>
    <t xml:space="preserve">რას ნიშნავს</t>
  </si>
  <si>
    <t xml:space="preserve">რაოდენობა</t>
  </si>
  <si>
    <t xml:space="preserve">1 · სასწრაფო</t>
  </si>
  <si>
    <t xml:space="preserve">აღწერაში სხვა პროდუქტის მოდელი წერია, ან პროდუქტს Google-ში ბევრი ჩვენება აქვს (B4-ზე მეტი): ხალხი უკვე ხედავს დამახინჯებულ ტექსტს.</t>
  </si>
  <si>
    <t xml:space="preserve">2 · მაღალი</t>
  </si>
  <si>
    <t xml:space="preserve">აღწერა ცარიელია, ან პროდუქტი Google-ში ცოტა ჩანს (1-დან B4-მდე ჩვენება).</t>
  </si>
  <si>
    <t xml:space="preserve">3 · საშუალო</t>
  </si>
  <si>
    <t xml:space="preserve">Google-ის მონაცემი არ არის, მაგრამ ძვირი პროდუქტია (ფასი B5 ან მეტი): ერთი გაყიდვა მეტს მოგიტანს.</t>
  </si>
  <si>
    <t xml:space="preserve">4 · დაბალი</t>
  </si>
  <si>
    <t xml:space="preserve">დანარჩენი: Google-ის მონაცემი არ არის და ფასი B5-ზე ნაკლებია.</t>
  </si>
  <si>
    <t xml:space="preserve">სულ</t>
  </si>
  <si>
    <t xml:space="preserve">პრობლემის ტიპები</t>
  </si>
  <si>
    <t xml:space="preserve">მეტა აღწერაში სხვა პროდუქტის მოდელია (მაგ. 43" ტელევიზორს 55"-ის აღწერა აქვს). ზოგს მხოლოდ კოდის ბოლო განსხვავდება, ამიტომ თითოეული გადაამოწმე.</t>
  </si>
  <si>
    <t xml:space="preserve">მეტა აღწერა საერთოდ არ აქვს.</t>
  </si>
  <si>
    <t xml:space="preserve">ცალკე SEO აღწერის ნაცვლად Google-ში ჩანს გვერდის აღწერის პირველი 160 სიმბოლო: მძიმეები და ორწერტილები იკარგება („5 5 kW“ 5,5-ის ნაცვლად) და ტექსტი სიტყვის შუაში წყდება „...“-ით.</t>
  </si>
  <si>
    <t xml:space="preserve">მეტა აღწერა გვერდის ტექსტის ზუსტი ასლი ან დასაწყისია, ცალკე SEO აღწერა არ არის.</t>
  </si>
  <si>
    <t xml:space="preserve">სად ჩავწერო</t>
  </si>
  <si>
    <t xml:space="preserve">ყვითელი სვეტი</t>
  </si>
  <si>
    <t xml:space="preserve">„ახალი აღწერა (შენი)“: მხოლოდ ამ სვეტში წერ. „სიმბოლო“ თავად დაითვლის სიგრძეს, სასურველია 120–160.</t>
  </si>
  <si>
    <t xml:space="preserve">მაგალითი</t>
  </si>
  <si>
    <t xml:space="preserve">შეიძინეთ გაზქურა BOSCH HXS59AI21Q Superi.ge-ზე: 4 კონფორი, WOK სანთურა და 66 ლ ელექტრო ღუმელი ✓ ნაწილ-ნაწილ გადახდა ✓ უფასო მიწოდება თბილისში.</t>
  </si>
  <si>
    <t xml:space="preserve">მაგალითის სიგრძე</t>
  </si>
  <si>
    <t xml:space="preserve">ადმინში</t>
  </si>
  <si>
    <t xml:space="preserve">პროდუქტები → ძებნა ID-ით ან კოდით → პროდუქტი → SEO ჩანართი → Meta description → შენახვა.</t>
  </si>
  <si>
    <t xml:space="preserve">წყაროები</t>
  </si>
  <si>
    <t xml:space="preserve">მარაგი</t>
  </si>
  <si>
    <t xml:space="preserve">საიტიდან, თითოეული პროდუქტის გვერდიდან: ცხრილში მხოლოდ „მარაგშია“ პროდუქტებია. 19 „არ არის გაყიდვაში“ არ შედის. საიტი ზუსტ რაოდენობას არ აჩვენებს.</t>
  </si>
  <si>
    <t xml:space="preserve">Google ჩვენება / დაკლიკება</t>
  </si>
  <si>
    <t xml:space="preserve">შენი Search Console-ის Pages ექსპორტიდან. ექსპორტი 1 000 გვერდს შეიცავს, ასე რომ 0 ნიშნავს „ამ 1 000-ში არ მოხვდა“, არა აუცილებლად ნულს.</t>
  </si>
  <si>
    <t xml:space="preserve">ფასი, კოდი, კატეგორია</t>
  </si>
  <si>
    <t xml:space="preserve">საიტის პროდუქტის გვერდებიდან.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</si>
</sst>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#,##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sz val="11"/>
      <name val="WenQuanYi Zen Hei"/>
      <family val="2"/>
    </font>
    <font>
      <b val="true"/>
      <sz val="14"/>
      <color rgb="FF1F4E78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BF8F00"/>
        <bgColor rgb="FF808000"/>
      </patternFill>
    </fill>
    <fill>
      <patternFill patternType="solid">
        <fgColor rgb="FFFFFF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F8CBAD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FFFCC"/>
      </patternFill>
    </fill>
    <fill>
      <patternFill patternType="solid">
        <fgColor rgb="FFFFFFFF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1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7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8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9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BF8F00"/>
          <bgColor rgb="FF000000"/>
        </patternFill>
      </fill>
    </dxf>
    <dxf>
      <fill>
        <patternFill patternType="solid">
          <fgColor rgb="FFFFFFCC"/>
          <bgColor rgb="FF000000"/>
        </patternFill>
      </fill>
    </dxf>
    <dxf>
      <font>
        <name val="Arial"/>
        <charset val="1"/>
        <family val="0"/>
        <b val="1"/>
      </font>
      <fill>
        <patternFill>
          <bgColor rgb="FFF8CBAD"/>
        </patternFill>
      </fill>
    </dxf>
    <dxf>
      <font>
        <name val="Arial"/>
        <charset val="1"/>
        <family val="0"/>
        <b val="1"/>
      </font>
      <fill>
        <patternFill>
          <bgColor rgb="FFFCE4D6"/>
        </patternFill>
      </fill>
    </dxf>
    <dxf>
      <font>
        <name val="Arial"/>
        <charset val="1"/>
        <family val="0"/>
        <b val="1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CE4D6"/>
      <rgbColor rgb="FFFFF2CC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superi.ge/ag-10m/" TargetMode="External"/><Relationship Id="rId2" Type="http://schemas.openxmlformats.org/officeDocument/2006/relationships/hyperlink" Target="https://superi.ge/bosch-kbn96add0/" TargetMode="External"/><Relationship Id="rId3" Type="http://schemas.openxmlformats.org/officeDocument/2006/relationships/hyperlink" Target="https://superi.ge/dyson-sv30-v12-slim-absolute-grey/" TargetMode="External"/><Relationship Id="rId4" Type="http://schemas.openxmlformats.org/officeDocument/2006/relationships/hyperlink" Target="https://superi.ge/sport/" TargetMode="External"/><Relationship Id="rId5" Type="http://schemas.openxmlformats.org/officeDocument/2006/relationships/hyperlink" Target="https://superi.ge/ninja-af160eu/" TargetMode="External"/><Relationship Id="rId6" Type="http://schemas.openxmlformats.org/officeDocument/2006/relationships/hyperlink" Target="https://superi.ge/beko-bdfn26430xc/" TargetMode="External"/><Relationship Id="rId7" Type="http://schemas.openxmlformats.org/officeDocument/2006/relationships/hyperlink" Target="https://superi.ge/panasonic-kx-ts2350uab/" TargetMode="External"/><Relationship Id="rId8" Type="http://schemas.openxmlformats.org/officeDocument/2006/relationships/hyperlink" Target="https://superi.ge/bosch-hxs59ai21q/" TargetMode="External"/><Relationship Id="rId9" Type="http://schemas.openxmlformats.org/officeDocument/2006/relationships/hyperlink" Target="https://superi.ge/panasonic-kx-tg1611uar/" TargetMode="External"/><Relationship Id="rId10" Type="http://schemas.openxmlformats.org/officeDocument/2006/relationships/hyperlink" Target="https://superi.ge/hisense-rd39wcwd-bi/" TargetMode="External"/><Relationship Id="rId11" Type="http://schemas.openxmlformats.org/officeDocument/2006/relationships/hyperlink" Target="https://superi.ge/kugoo-m2-pro/" TargetMode="External"/><Relationship Id="rId12" Type="http://schemas.openxmlformats.org/officeDocument/2006/relationships/hyperlink" Target="https://superi.ge/midea-fs40-21mrb/" TargetMode="External"/><Relationship Id="rId13" Type="http://schemas.openxmlformats.org/officeDocument/2006/relationships/hyperlink" Target="https://superi.ge/cycling-1/" TargetMode="External"/><Relationship Id="rId14" Type="http://schemas.openxmlformats.org/officeDocument/2006/relationships/hyperlink" Target="https://superi.ge/bosch-hbg536hb0r/" TargetMode="External"/><Relationship Id="rId15" Type="http://schemas.openxmlformats.org/officeDocument/2006/relationships/hyperlink" Target="https://superi.ge/bosch-hbf534es0q/" TargetMode="External"/><Relationship Id="rId16" Type="http://schemas.openxmlformats.org/officeDocument/2006/relationships/hyperlink" Target="https://superi.ge/royal-turbo-rtgt186fae/" TargetMode="External"/><Relationship Id="rId17" Type="http://schemas.openxmlformats.org/officeDocument/2006/relationships/hyperlink" Target="https://superi.ge/gorenje-ac-rea53-kc/" TargetMode="External"/><Relationship Id="rId18" Type="http://schemas.openxmlformats.org/officeDocument/2006/relationships/hyperlink" Target="https://superi.ge/ingco-gde30001-3/" TargetMode="External"/><Relationship Id="rId19" Type="http://schemas.openxmlformats.org/officeDocument/2006/relationships/hyperlink" Target="https://superi.ge/zilan-zln1314/" TargetMode="External"/><Relationship Id="rId20" Type="http://schemas.openxmlformats.org/officeDocument/2006/relationships/hyperlink" Target="https://superi.ge/gorenje-gi520e15x/" TargetMode="External"/><Relationship Id="rId21" Type="http://schemas.openxmlformats.org/officeDocument/2006/relationships/hyperlink" Target="https://superi.ge/midea-mc-if7454aj1-a/" TargetMode="External"/><Relationship Id="rId22" Type="http://schemas.openxmlformats.org/officeDocument/2006/relationships/hyperlink" Target="https://superi.ge/bosch-bcs711pet/" TargetMode="External"/><Relationship Id="rId23" Type="http://schemas.openxmlformats.org/officeDocument/2006/relationships/hyperlink" Target="https://superi.ge/sony-playstation-5-slim-edition-disc-version-2023/" TargetMode="External"/><Relationship Id="rId24" Type="http://schemas.openxmlformats.org/officeDocument/2006/relationships/hyperlink" Target="https://superi.ge/lg-gr-b459fqfw-aepqmer/" TargetMode="External"/><Relationship Id="rId25" Type="http://schemas.openxmlformats.org/officeDocument/2006/relationships/hyperlink" Target="https://superi.ge/midea-l1pb28-c28wm-28-kw/" TargetMode="External"/><Relationship Id="rId26" Type="http://schemas.openxmlformats.org/officeDocument/2006/relationships/hyperlink" Target="https://superi.ge/apple-vision-pro-256gb-7456/" TargetMode="External"/><Relationship Id="rId27" Type="http://schemas.openxmlformats.org/officeDocument/2006/relationships/hyperlink" Target="https://superi.ge/5-ingco-gde50001/" TargetMode="External"/><Relationship Id="rId28" Type="http://schemas.openxmlformats.org/officeDocument/2006/relationships/hyperlink" Target="https://superi.ge/zilan-zln4759-33/" TargetMode="External"/><Relationship Id="rId29" Type="http://schemas.openxmlformats.org/officeDocument/2006/relationships/hyperlink" Target="https://superi.ge/bosch-msm6m821/" TargetMode="External"/><Relationship Id="rId30" Type="http://schemas.openxmlformats.org/officeDocument/2006/relationships/hyperlink" Target="https://superi.ge/gorenje-rea35-kc-inverter-35-40/" TargetMode="External"/><Relationship Id="rId31" Type="http://schemas.openxmlformats.org/officeDocument/2006/relationships/hyperlink" Target="https://superi.ge/arshia-15205/" TargetMode="External"/><Relationship Id="rId32" Type="http://schemas.openxmlformats.org/officeDocument/2006/relationships/hyperlink" Target="https://superi.ge/vileda-turbo-smart-4023103208476/" TargetMode="External"/><Relationship Id="rId33" Type="http://schemas.openxmlformats.org/officeDocument/2006/relationships/hyperlink" Target="https://superi.ge/midea-s8/" TargetMode="External"/><Relationship Id="rId34" Type="http://schemas.openxmlformats.org/officeDocument/2006/relationships/hyperlink" Target="https://superi.ge/toshiba-43c350le/" TargetMode="External"/><Relationship Id="rId35" Type="http://schemas.openxmlformats.org/officeDocument/2006/relationships/hyperlink" Target="https://superi.ge/midea-mfa01w70b-w-7/" TargetMode="External"/><Relationship Id="rId36" Type="http://schemas.openxmlformats.org/officeDocument/2006/relationships/hyperlink" Target="https://superi.ge/ninja-k32006eu/" TargetMode="External"/><Relationship Id="rId37" Type="http://schemas.openxmlformats.org/officeDocument/2006/relationships/hyperlink" Target="https://superi.ge/xiaomi-lydsto-xd-dgdcs101-s1/" TargetMode="External"/><Relationship Id="rId38" Type="http://schemas.openxmlformats.org/officeDocument/2006/relationships/hyperlink" Target="https://superi.ge/toshiba-gr-rb449we-pmj-06/" TargetMode="External"/><Relationship Id="rId39" Type="http://schemas.openxmlformats.org/officeDocument/2006/relationships/hyperlink" Target="https://superi.ge/midea-l1pb20-c28wm/" TargetMode="External"/><Relationship Id="rId40" Type="http://schemas.openxmlformats.org/officeDocument/2006/relationships/hyperlink" Target="https://superi.ge/bosch-twk8613p/" TargetMode="External"/><Relationship Id="rId41" Type="http://schemas.openxmlformats.org/officeDocument/2006/relationships/hyperlink" Target="https://superi.ge/midea-mfa01w80b-w-8/" TargetMode="External"/><Relationship Id="rId42" Type="http://schemas.openxmlformats.org/officeDocument/2006/relationships/hyperlink" Target="https://superi.ge/falez-ex27/" TargetMode="External"/><Relationship Id="rId43" Type="http://schemas.openxmlformats.org/officeDocument/2006/relationships/hyperlink" Target="https://superi.ge/cooper-and-hunter-ch-s18-xn8/" TargetMode="External"/><Relationship Id="rId44" Type="http://schemas.openxmlformats.org/officeDocument/2006/relationships/hyperlink" Target="https://superi.ge/bosch-asx18vw30u-55-60/" TargetMode="External"/><Relationship Id="rId45" Type="http://schemas.openxmlformats.org/officeDocument/2006/relationships/hyperlink" Target="https://superi.ge/hotpoint-ariston-nm11-845-ws-a-eu-n/" TargetMode="External"/><Relationship Id="rId46" Type="http://schemas.openxmlformats.org/officeDocument/2006/relationships/hyperlink" Target="https://superi.ge/smeg-klf03rdeu-red/" TargetMode="External"/><Relationship Id="rId47" Type="http://schemas.openxmlformats.org/officeDocument/2006/relationships/hyperlink" Target="https://superi.ge/electrolux-ew6t4rf061/" TargetMode="External"/><Relationship Id="rId48" Type="http://schemas.openxmlformats.org/officeDocument/2006/relationships/hyperlink" Target="https://superi.ge/ninja-sp101eu-8in1/" TargetMode="External"/><Relationship Id="rId49" Type="http://schemas.openxmlformats.org/officeDocument/2006/relationships/hyperlink" Target="https://superi.ge/midea-mh60an895gb/" TargetMode="External"/><Relationship Id="rId50" Type="http://schemas.openxmlformats.org/officeDocument/2006/relationships/hyperlink" Target="https://superi.ge/gorenje-cwsa08hc/" TargetMode="External"/><Relationship Id="rId51" Type="http://schemas.openxmlformats.org/officeDocument/2006/relationships/hyperlink" Target="https://superi.ge/smeg-smf03pgeu/" TargetMode="External"/><Relationship Id="rId52" Type="http://schemas.openxmlformats.org/officeDocument/2006/relationships/hyperlink" Target="https://superi.ge/janome-artdecor-724a/" TargetMode="External"/><Relationship Id="rId53" Type="http://schemas.openxmlformats.org/officeDocument/2006/relationships/hyperlink" Target="https://superi.ge/singer-start-1306/" TargetMode="External"/><Relationship Id="rId54" Type="http://schemas.openxmlformats.org/officeDocument/2006/relationships/hyperlink" Target="https://superi.ge/fujiyama-fhs-11000-f-brown/" TargetMode="External"/><Relationship Id="rId55" Type="http://schemas.openxmlformats.org/officeDocument/2006/relationships/hyperlink" Target="https://superi.ge/hisense-rd-23dc-silver/" TargetMode="External"/><Relationship Id="rId56" Type="http://schemas.openxmlformats.org/officeDocument/2006/relationships/hyperlink" Target="https://superi.ge/hisense-db35dcur-inox/" TargetMode="External"/><Relationship Id="rId57" Type="http://schemas.openxmlformats.org/officeDocument/2006/relationships/hyperlink" Target="https://superi.ge/hisense-rd-33wcrwd-inox/" TargetMode="External"/><Relationship Id="rId58" Type="http://schemas.openxmlformats.org/officeDocument/2006/relationships/hyperlink" Target="https://superi.ge/bosch-wqg1420ame-9/" TargetMode="External"/><Relationship Id="rId59" Type="http://schemas.openxmlformats.org/officeDocument/2006/relationships/hyperlink" Target="https://superi.ge/sc-025/" TargetMode="External"/><Relationship Id="rId60" Type="http://schemas.openxmlformats.org/officeDocument/2006/relationships/hyperlink" Target="https://superi.ge/franko-faf-1218/" TargetMode="External"/><Relationship Id="rId61" Type="http://schemas.openxmlformats.org/officeDocument/2006/relationships/hyperlink" Target="https://superi.ge/bosch-asx12vw30u/" TargetMode="External"/><Relationship Id="rId62" Type="http://schemas.openxmlformats.org/officeDocument/2006/relationships/hyperlink" Target="https://superi.ge/hisense-rs-16drq/" TargetMode="External"/><Relationship Id="rId63" Type="http://schemas.openxmlformats.org/officeDocument/2006/relationships/hyperlink" Target="https://superi.ge/hyundai-esaf-24hfn8-80/" TargetMode="External"/><Relationship Id="rId64" Type="http://schemas.openxmlformats.org/officeDocument/2006/relationships/hyperlink" Target="https://superi.ge/hisense-rd-31dr4sa/" TargetMode="External"/><Relationship Id="rId65" Type="http://schemas.openxmlformats.org/officeDocument/2006/relationships/hyperlink" Target="https://superi.ge/bosch-wga24400me-9/" TargetMode="External"/><Relationship Id="rId66" Type="http://schemas.openxmlformats.org/officeDocument/2006/relationships/hyperlink" Target="https://superi.ge/gorenje-w1d2a164ads-10-6/" TargetMode="External"/><Relationship Id="rId67" Type="http://schemas.openxmlformats.org/officeDocument/2006/relationships/hyperlink" Target="https://superi.ge/sport-g-207/" TargetMode="External"/><Relationship Id="rId68" Type="http://schemas.openxmlformats.org/officeDocument/2006/relationships/hyperlink" Target="https://superi.ge/lg-gr-x267cqes-side-by-side/" TargetMode="External"/><Relationship Id="rId69" Type="http://schemas.openxmlformats.org/officeDocument/2006/relationships/hyperlink" Target="https://superi.ge/samsung-galaxy-watch-6-sm-r960-47mm/" TargetMode="External"/><Relationship Id="rId70" Type="http://schemas.openxmlformats.org/officeDocument/2006/relationships/hyperlink" Target="https://superi.ge/hyundai-ac-esaf-12hn8/" TargetMode="External"/><Relationship Id="rId71" Type="http://schemas.openxmlformats.org/officeDocument/2006/relationships/hyperlink" Target="https://superi.ge/franko-fcf-198dw-198/" TargetMode="External"/><Relationship Id="rId72" Type="http://schemas.openxmlformats.org/officeDocument/2006/relationships/hyperlink" Target="https://superi.ge/alneo-s13ow01-400/" TargetMode="External"/><Relationship Id="rId73" Type="http://schemas.openxmlformats.org/officeDocument/2006/relationships/hyperlink" Target="https://superi.ge/lg-f2v5hylyj-ambpmer-7/" TargetMode="External"/><Relationship Id="rId74" Type="http://schemas.openxmlformats.org/officeDocument/2006/relationships/hyperlink" Target="https://superi.ge/lg-f4j3vyg6j-9/" TargetMode="External"/><Relationship Id="rId75" Type="http://schemas.openxmlformats.org/officeDocument/2006/relationships/hyperlink" Target="https://superi.ge/midea-msaf-24hrn8-w/" TargetMode="External"/><Relationship Id="rId76" Type="http://schemas.openxmlformats.org/officeDocument/2006/relationships/hyperlink" Target="https://superi.ge/gorenje-f492pw/" TargetMode="External"/><Relationship Id="rId77" Type="http://schemas.openxmlformats.org/officeDocument/2006/relationships/hyperlink" Target="https://superi.ge/hitachi-r-wb720vuc0-gbk/" TargetMode="External"/><Relationship Id="rId78" Type="http://schemas.openxmlformats.org/officeDocument/2006/relationships/hyperlink" Target="https://superi.ge/gilan-gds-301-120-beige/" TargetMode="External"/><Relationship Id="rId79" Type="http://schemas.openxmlformats.org/officeDocument/2006/relationships/hyperlink" Target="https://superi.ge/ingco-ge30005/" TargetMode="External"/><Relationship Id="rId80" Type="http://schemas.openxmlformats.org/officeDocument/2006/relationships/hyperlink" Target="https://superi.ge/hisense-rd-43wrn-inox/" TargetMode="External"/><Relationship Id="rId81" Type="http://schemas.openxmlformats.org/officeDocument/2006/relationships/hyperlink" Target="https://superi.ge/gorenje-svc216gfw/" TargetMode="External"/><Relationship Id="rId82" Type="http://schemas.openxmlformats.org/officeDocument/2006/relationships/hyperlink" Target="https://superi.ge/gorenje-hbc806qw/" TargetMode="External"/><Relationship Id="rId83" Type="http://schemas.openxmlformats.org/officeDocument/2006/relationships/hyperlink" Target="https://superi.ge/gorenje-nrki517e42/" TargetMode="External"/><Relationship Id="rId84" Type="http://schemas.openxmlformats.org/officeDocument/2006/relationships/hyperlink" Target="https://superi.ge/shinever-ld1032-100kw/" TargetMode="External"/><Relationship Id="rId85" Type="http://schemas.openxmlformats.org/officeDocument/2006/relationships/hyperlink" Target="https://superi.ge/notebook-lenovo-legion-legion-5-15-1-oled-165hz-i7-13650hx-16gb-512gb-ssd-rtx-5050-8gb-eclipse-black-win-11-home-eng/" TargetMode="External"/><Relationship Id="rId86" Type="http://schemas.openxmlformats.org/officeDocument/2006/relationships/hyperlink" Target="https://superi.ge/haier-hwd100-bd14397u1-11/" TargetMode="External"/><Relationship Id="rId87" Type="http://schemas.openxmlformats.org/officeDocument/2006/relationships/hyperlink" Target="https://superi.ge/lg-dfb325hm-abmpara-14pcs/" TargetMode="External"/><Relationship Id="rId88" Type="http://schemas.openxmlformats.org/officeDocument/2006/relationships/hyperlink" Target="https://superi.ge/dryer-aeg-promo-aeg-tr838p4je/" TargetMode="External"/><Relationship Id="rId89" Type="http://schemas.openxmlformats.org/officeDocument/2006/relationships/hyperlink" Target="https://superi.ge/haier-hw110-bd14397u1-11/" TargetMode="External"/><Relationship Id="rId90" Type="http://schemas.openxmlformats.org/officeDocument/2006/relationships/hyperlink" Target="https://superi.ge/midea-md210h100wb-w-10/" TargetMode="External"/><Relationship Id="rId91" Type="http://schemas.openxmlformats.org/officeDocument/2006/relationships/hyperlink" Target="https://superi.ge/bosch-smi4iks50t-13pcs/" TargetMode="External"/><Relationship Id="rId92" Type="http://schemas.openxmlformats.org/officeDocument/2006/relationships/hyperlink" Target="https://superi.ge/vs70h25wft-ev/" TargetMode="External"/><Relationship Id="rId93" Type="http://schemas.openxmlformats.org/officeDocument/2006/relationships/hyperlink" Target="https://superi.ge/lg-f2v7gwl1w-abwpmer-white-8-5/" TargetMode="External"/><Relationship Id="rId94" Type="http://schemas.openxmlformats.org/officeDocument/2006/relationships/hyperlink" Target="https://superi.ge/gorenje-apd35-40/" TargetMode="External"/><Relationship Id="rId95" Type="http://schemas.openxmlformats.org/officeDocument/2006/relationships/hyperlink" Target="https://superi.ge/thomson-55ug4s14-140/" TargetMode="External"/><Relationship Id="rId96" Type="http://schemas.openxmlformats.org/officeDocument/2006/relationships/hyperlink" Target="https://superi.ge/gorenje-gtw641eb/" TargetMode="External"/><Relationship Id="rId97" Type="http://schemas.openxmlformats.org/officeDocument/2006/relationships/hyperlink" Target="https://superi.ge/thomson-43ug4s14-109/" TargetMode="External"/><Relationship Id="rId98" Type="http://schemas.openxmlformats.org/officeDocument/2006/relationships/hyperlink" Target="https://superi.ge/bhcb66641bbbhs-b300/" TargetMode="External"/><Relationship Id="rId99" Type="http://schemas.openxmlformats.org/officeDocument/2006/relationships/hyperlink" Target="https://superi.ge/kitchen-machine-kenwood-kmx750ard/" TargetMode="External"/><Relationship Id="rId100" Type="http://schemas.openxmlformats.org/officeDocument/2006/relationships/hyperlink" Target="https://superi.ge/midea-mdrc211fze01-143l/" TargetMode="External"/><Relationship Id="rId101" Type="http://schemas.openxmlformats.org/officeDocument/2006/relationships/hyperlink" Target="https://superi.ge/gorenje-imdw1200w/" TargetMode="External"/><Relationship Id="rId102" Type="http://schemas.openxmlformats.org/officeDocument/2006/relationships/hyperlink" Target="https://superi.ge/beko-bmo45eab/" TargetMode="External"/><Relationship Id="rId103" Type="http://schemas.openxmlformats.org/officeDocument/2006/relationships/hyperlink" Target="https://superi.ge/midea-ndk20-21af/" TargetMode="External"/><Relationship Id="rId104" Type="http://schemas.openxmlformats.org/officeDocument/2006/relationships/hyperlink" Target="https://superi.ge/hyundai-esaf-09hn8-25-30/" TargetMode="External"/><Relationship Id="rId105" Type="http://schemas.openxmlformats.org/officeDocument/2006/relationships/hyperlink" Target="https://superi.ge/bosch-mfw45020/" TargetMode="External"/><Relationship Id="rId106" Type="http://schemas.openxmlformats.org/officeDocument/2006/relationships/hyperlink" Target="https://superi.ge/bosch-climate-2000-on-off-12000-btu/" TargetMode="External"/><Relationship Id="rId107" Type="http://schemas.openxmlformats.org/officeDocument/2006/relationships/hyperlink" Target="https://superi.ge/bosch-asx24vw30u-75-80/" TargetMode="External"/><Relationship Id="rId108" Type="http://schemas.openxmlformats.org/officeDocument/2006/relationships/hyperlink" Target="https://superi.ge/samsung-rl4362rbasl-wt/" TargetMode="External"/><Relationship Id="rId109" Type="http://schemas.openxmlformats.org/officeDocument/2006/relationships/hyperlink" Target="https://superi.ge/bosch-rdw1576/" TargetMode="External"/><Relationship Id="rId110" Type="http://schemas.openxmlformats.org/officeDocument/2006/relationships/hyperlink" Target="https://superi.ge/hisense-rd49wr-inox/" TargetMode="External"/><Relationship Id="rId111" Type="http://schemas.openxmlformats.org/officeDocument/2006/relationships/hyperlink" Target="https://superi.ge/ninja-sl400euwh-9-5-l/" TargetMode="External"/><Relationship Id="rId112" Type="http://schemas.openxmlformats.org/officeDocument/2006/relationships/hyperlink" Target="https://superi.ge/aux-asw-h18a4-qcr1-55-60/" TargetMode="External"/><Relationship Id="rId113" Type="http://schemas.openxmlformats.org/officeDocument/2006/relationships/hyperlink" Target="https://superi.ge/tefal-h852sa56-10pcs/" TargetMode="External"/><Relationship Id="rId114" Type="http://schemas.openxmlformats.org/officeDocument/2006/relationships/hyperlink" Target="https://superi.ge/beko-rho-8323-bt/" TargetMode="External"/><Relationship Id="rId115" Type="http://schemas.openxmlformats.org/officeDocument/2006/relationships/hyperlink" Target="https://superi.ge/varta-blue-60-ah-d-24/" TargetMode="External"/><Relationship Id="rId116" Type="http://schemas.openxmlformats.org/officeDocument/2006/relationships/hyperlink" Target="https://superi.ge/ardesto-frm-290e-295/" TargetMode="External"/><Relationship Id="rId117" Type="http://schemas.openxmlformats.org/officeDocument/2006/relationships/hyperlink" Target="https://superi.ge/tefal-g720s674-18-10/" TargetMode="External"/><Relationship Id="rId118" Type="http://schemas.openxmlformats.org/officeDocument/2006/relationships/hyperlink" Target="https://superi.ge/gorenje-nrk6192abk4/" TargetMode="External"/><Relationship Id="rId119" Type="http://schemas.openxmlformats.org/officeDocument/2006/relationships/hyperlink" Target="https://superi.ge/korkmaz-a2863-set-6pcs/" TargetMode="External"/><Relationship Id="rId120" Type="http://schemas.openxmlformats.org/officeDocument/2006/relationships/hyperlink" Target="https://superi.ge/samsung-nk24m1030is-ur/" TargetMode="External"/><Relationship Id="rId121" Type="http://schemas.openxmlformats.org/officeDocument/2006/relationships/hyperlink" Target="https://superi.ge/aux-asw-h18a4-qfr3di-inverter-55-60/" TargetMode="External"/><Relationship Id="rId122" Type="http://schemas.openxmlformats.org/officeDocument/2006/relationships/hyperlink" Target="https://superi.ge/smeg-klf04pkeu/" TargetMode="External"/><Relationship Id="rId123" Type="http://schemas.openxmlformats.org/officeDocument/2006/relationships/hyperlink" Target="https://superi.ge/total-tg103512-350w/" TargetMode="External"/><Relationship Id="rId124" Type="http://schemas.openxmlformats.org/officeDocument/2006/relationships/hyperlink" Target="https://superi.ge/hyundai-ac-esaf-12hn8-g/" TargetMode="External"/><Relationship Id="rId125" Type="http://schemas.openxmlformats.org/officeDocument/2006/relationships/hyperlink" Target="https://superi.ge/ingco-hpwr20008-150bar/" TargetMode="External"/><Relationship Id="rId126" Type="http://schemas.openxmlformats.org/officeDocument/2006/relationships/hyperlink" Target="https://superi.ge/ecoflow-delta-mini/" TargetMode="External"/><Relationship Id="rId127" Type="http://schemas.openxmlformats.org/officeDocument/2006/relationships/hyperlink" Target="https://superi.ge/dixi-byz1171/" TargetMode="External"/><Relationship Id="rId128" Type="http://schemas.openxmlformats.org/officeDocument/2006/relationships/hyperlink" Target="https://superi.ge/toshiba-mw3-em20pe-bm/" TargetMode="External"/><Relationship Id="rId129" Type="http://schemas.openxmlformats.org/officeDocument/2006/relationships/hyperlink" Target="https://superi.ge/janome-1522bl/" TargetMode="External"/><Relationship Id="rId130" Type="http://schemas.openxmlformats.org/officeDocument/2006/relationships/hyperlink" Target="https://superi.ge/bosch-kgn49xwea/" TargetMode="External"/><Relationship Id="rId131" Type="http://schemas.openxmlformats.org/officeDocument/2006/relationships/hyperlink" Target="https://superi.ge/bosch-rdw1571/" TargetMode="External"/><Relationship Id="rId132" Type="http://schemas.openxmlformats.org/officeDocument/2006/relationships/hyperlink" Target="https://superi.ge/xerox-phaser-3020-3025-1500-pages/" TargetMode="External"/><Relationship Id="rId133" Type="http://schemas.openxmlformats.org/officeDocument/2006/relationships/hyperlink" Target="https://superi.ge/bosch-kgn86ai32u/" TargetMode="External"/><Relationship Id="rId134" Type="http://schemas.openxmlformats.org/officeDocument/2006/relationships/hyperlink" Target="https://superi.ge/aux-asw-h18a4-qcr3di-inverter-55-60/" TargetMode="External"/><Relationship Id="rId135" Type="http://schemas.openxmlformats.org/officeDocument/2006/relationships/hyperlink" Target="https://superi.ge/bosch-climate-2000-on-off-24000-btu/" TargetMode="External"/><Relationship Id="rId136" Type="http://schemas.openxmlformats.org/officeDocument/2006/relationships/hyperlink" Target="https://superi.ge/hoffmann-eiac-12k-35-40-inverter/" TargetMode="External"/><Relationship Id="rId137" Type="http://schemas.openxmlformats.org/officeDocument/2006/relationships/hyperlink" Target="https://superi.ge/hisense-ss67wsn-inox/" TargetMode="External"/><Relationship Id="rId138" Type="http://schemas.openxmlformats.org/officeDocument/2006/relationships/hyperlink" Target="https://superi.ge/skyworth-smfh07b-1a1a1na/" TargetMode="External"/><Relationship Id="rId139" Type="http://schemas.openxmlformats.org/officeDocument/2006/relationships/hyperlink" Target="https://superi.ge/trinx-m600-elite-27-5x16-2020/" TargetMode="External"/><Relationship Id="rId140" Type="http://schemas.openxmlformats.org/officeDocument/2006/relationships/hyperlink" Target="https://superi.ge/bosch-climate-3000i-inverter-18000-btu/" TargetMode="External"/><Relationship Id="rId141" Type="http://schemas.openxmlformats.org/officeDocument/2006/relationships/hyperlink" Target="https://superi.ge/bosch-climate-2000-on-off-8000-btu/" TargetMode="External"/><Relationship Id="rId142" Type="http://schemas.openxmlformats.org/officeDocument/2006/relationships/hyperlink" Target="https://superi.ge/arshia-fa128-2579/" TargetMode="External"/><Relationship Id="rId143" Type="http://schemas.openxmlformats.org/officeDocument/2006/relationships/hyperlink" Target="https://superi.ge/riken-215-60r16-99h-snow/" TargetMode="External"/><Relationship Id="rId144" Type="http://schemas.openxmlformats.org/officeDocument/2006/relationships/hyperlink" Target="https://superi.ge/hisense-40a4k-smart-102/" TargetMode="External"/><Relationship Id="rId145" Type="http://schemas.openxmlformats.org/officeDocument/2006/relationships/hyperlink" Target="https://superi.ge/la-sommeliere-cigar-cellar-cig251/" TargetMode="External"/><Relationship Id="rId146" Type="http://schemas.openxmlformats.org/officeDocument/2006/relationships/hyperlink" Target="https://superi.ge/3/" TargetMode="External"/><Relationship Id="rId147" Type="http://schemas.openxmlformats.org/officeDocument/2006/relationships/hyperlink" Target="https://superi.ge/akog-2h-20-graphite/" TargetMode="External"/><Relationship Id="rId148" Type="http://schemas.openxmlformats.org/officeDocument/2006/relationships/hyperlink" Target="https://superi.ge/janome-homedecor-2077/" TargetMode="External"/><Relationship Id="rId149" Type="http://schemas.openxmlformats.org/officeDocument/2006/relationships/hyperlink" Target="https://superi.ge/franko-fcf-142dw-139/" TargetMode="External"/><Relationship Id="rId150" Type="http://schemas.openxmlformats.org/officeDocument/2006/relationships/hyperlink" Target="https://superi.ge/graetz-gtn43nw/" TargetMode="External"/><Relationship Id="rId151" Type="http://schemas.openxmlformats.org/officeDocument/2006/relationships/hyperlink" Target="https://superi.ge/tcl-tac-24chsa-tpg11i-70-80-inventer/" TargetMode="External"/><Relationship Id="rId152" Type="http://schemas.openxmlformats.org/officeDocument/2006/relationships/hyperlink" Target="https://superi.ge/riken-225-55r17-101v-snow/" TargetMode="External"/><Relationship Id="rId153" Type="http://schemas.openxmlformats.org/officeDocument/2006/relationships/hyperlink" Target="https://superi.ge/janome-1225s/" TargetMode="External"/><Relationship Id="rId154" Type="http://schemas.openxmlformats.org/officeDocument/2006/relationships/hyperlink" Target="https://superi.ge/panasonic-kx-ts2388uab-black/" TargetMode="External"/><Relationship Id="rId155" Type="http://schemas.openxmlformats.org/officeDocument/2006/relationships/hyperlink" Target="https://superi.ge/2e-2e-spps-l-gr-sigma-98l-suitcase-graphite/" TargetMode="External"/><Relationship Id="rId156" Type="http://schemas.openxmlformats.org/officeDocument/2006/relationships/hyperlink" Target="https://superi.ge/blackview-tab-a6-kids-lte-10-1-4-128gb-ocean-blue/" TargetMode="External"/><Relationship Id="rId157" Type="http://schemas.openxmlformats.org/officeDocument/2006/relationships/hyperlink" Target="https://superi.ge/janome-hd1023/" TargetMode="External"/><Relationship Id="rId158" Type="http://schemas.openxmlformats.org/officeDocument/2006/relationships/hyperlink" Target="https://superi.ge/tcl-50p745-127/" TargetMode="External"/><Relationship Id="rId159" Type="http://schemas.openxmlformats.org/officeDocument/2006/relationships/hyperlink" Target="https://superi.ge/gorenje-gv673c62/" TargetMode="External"/><Relationship Id="rId160" Type="http://schemas.openxmlformats.org/officeDocument/2006/relationships/hyperlink" Target="https://superi.ge/remeza-sb4-s-100-lb30/" TargetMode="External"/><Relationship Id="rId161" Type="http://schemas.openxmlformats.org/officeDocument/2006/relationships/hyperlink" Target="https://superi.ge/samsung-vc07m2110sr/" TargetMode="External"/><Relationship Id="rId162" Type="http://schemas.openxmlformats.org/officeDocument/2006/relationships/hyperlink" Target="https://superi.ge/brother-innov-is-f460/" TargetMode="External"/><Relationship Id="rId163" Type="http://schemas.openxmlformats.org/officeDocument/2006/relationships/hyperlink" Target="https://superi.ge/mitsubishi-msz-ef35ve3s-er2/" TargetMode="External"/><Relationship Id="rId164" Type="http://schemas.openxmlformats.org/officeDocument/2006/relationships/hyperlink" Target="https://superi.ge/product-14040/" TargetMode="External"/><Relationship Id="rId165" Type="http://schemas.openxmlformats.org/officeDocument/2006/relationships/hyperlink" Target="https://superi.ge/lg-55qned70b6c-55-139/" TargetMode="External"/><Relationship Id="rId166" Type="http://schemas.openxmlformats.org/officeDocument/2006/relationships/hyperlink" Target="https://superi.ge/vox-cf-200-e/" TargetMode="External"/><Relationship Id="rId167" Type="http://schemas.openxmlformats.org/officeDocument/2006/relationships/hyperlink" Target="https://superi.ge/remeza-sb4-f-500-lt100-11/" TargetMode="External"/><Relationship Id="rId168" Type="http://schemas.openxmlformats.org/officeDocument/2006/relationships/hyperlink" Target="https://superi.ge/ecoflow-delta-pro/" TargetMode="External"/><Relationship Id="rId169" Type="http://schemas.openxmlformats.org/officeDocument/2006/relationships/hyperlink" Target="https://superi.ge/bosch-kad93vbfp/" TargetMode="External"/><Relationship Id="rId170" Type="http://schemas.openxmlformats.org/officeDocument/2006/relationships/hyperlink" Target="https://superi.ge/remeza-sb4-f-500-lt100/" TargetMode="External"/><Relationship Id="rId171" Type="http://schemas.openxmlformats.org/officeDocument/2006/relationships/hyperlink" Target="https://superi.ge/mitsubishi-msz-ef50ve3w-er2-muz-ef50ve-er3/" TargetMode="External"/><Relationship Id="rId172" Type="http://schemas.openxmlformats.org/officeDocument/2006/relationships/hyperlink" Target="https://superi.ge/konner-and-sohnen-ks-9100hde-1-3-atsr-7-5-kw/" TargetMode="External"/><Relationship Id="rId173" Type="http://schemas.openxmlformats.org/officeDocument/2006/relationships/hyperlink" Target="https://superi.ge/mitsubishi-msz-ln35vgr-muz-ln35vg/" TargetMode="External"/><Relationship Id="rId174" Type="http://schemas.openxmlformats.org/officeDocument/2006/relationships/hyperlink" Target="https://superi.ge/konner-and-sohnen-ks-8100hde-1-3-atsr-6-5kw/" TargetMode="External"/><Relationship Id="rId175" Type="http://schemas.openxmlformats.org/officeDocument/2006/relationships/hyperlink" Target="https://superi.ge/aux-asf-h60a5-apar1-155-180/" TargetMode="External"/><Relationship Id="rId176" Type="http://schemas.openxmlformats.org/officeDocument/2006/relationships/hyperlink" Target="https://superi.ge/notebook-asustek-tuf-a16-16-fhd-165hz-ryzen-9-8940hx-16gb-512gb-ssd-rtx-5060-8gb-win-11-home-jaeger-gray/" TargetMode="External"/><Relationship Id="rId177" Type="http://schemas.openxmlformats.org/officeDocument/2006/relationships/hyperlink" Target="https://superi.ge/sony-kd-75x75wl-191/" TargetMode="External"/><Relationship Id="rId178" Type="http://schemas.openxmlformats.org/officeDocument/2006/relationships/hyperlink" Target="https://superi.ge/aeg-rmb76121nx/" TargetMode="External"/><Relationship Id="rId179" Type="http://schemas.openxmlformats.org/officeDocument/2006/relationships/hyperlink" Target="https://superi.ge/bosch-kfn96vpea/" TargetMode="External"/><Relationship Id="rId180" Type="http://schemas.openxmlformats.org/officeDocument/2006/relationships/hyperlink" Target="https://superi.ge/remeza-sb4-f-500-lb75/" TargetMode="External"/><Relationship Id="rId181" Type="http://schemas.openxmlformats.org/officeDocument/2006/relationships/hyperlink" Target="https://superi.ge/notebook-asustek-asus-tuf-gaming-f16-16-fhd-165hz-i7-14650hx-16gb-512gb-rtx-5060-win-11-home-jaeger-gray/" TargetMode="External"/><Relationship Id="rId182" Type="http://schemas.openxmlformats.org/officeDocument/2006/relationships/hyperlink" Target="https://superi.ge/bosch-hbg974lb1/" TargetMode="External"/><Relationship Id="rId183" Type="http://schemas.openxmlformats.org/officeDocument/2006/relationships/hyperlink" Target="https://superi.ge/bosch-hbg8764c1/" TargetMode="External"/><Relationship Id="rId184" Type="http://schemas.openxmlformats.org/officeDocument/2006/relationships/hyperlink" Target="https://superi.ge/mitsubishi-msz-dm60va-er1-muz-dm60va-er1/" TargetMode="External"/><Relationship Id="rId185" Type="http://schemas.openxmlformats.org/officeDocument/2006/relationships/hyperlink" Target="https://superi.ge/bosch-wkd28543eu-7-4/" TargetMode="External"/><Relationship Id="rId186" Type="http://schemas.openxmlformats.org/officeDocument/2006/relationships/hyperlink" Target="https://superi.ge/remeza-sb4-s-270-av858/" TargetMode="External"/><Relationship Id="rId187" Type="http://schemas.openxmlformats.org/officeDocument/2006/relationships/hyperlink" Target="https://superi.ge/mitsubishi-msz-ln25vgr-muz-ln25vg/" TargetMode="External"/><Relationship Id="rId188" Type="http://schemas.openxmlformats.org/officeDocument/2006/relationships/hyperlink" Target="https://superi.ge/notebook-asustek-asus-tuf-gaming-f16-16-fhd-144hz-i7-14650hx-16gb-512gb-rtx-5050-win-11-home-jaeger-gray/" TargetMode="External"/><Relationship Id="rId189" Type="http://schemas.openxmlformats.org/officeDocument/2006/relationships/hyperlink" Target="https://superi.ge/tcl-75c845-191/" TargetMode="External"/><Relationship Id="rId190" Type="http://schemas.openxmlformats.org/officeDocument/2006/relationships/hyperlink" Target="https://superi.ge/bosch-kgn56lb31u/" TargetMode="External"/><Relationship Id="rId191" Type="http://schemas.openxmlformats.org/officeDocument/2006/relationships/hyperlink" Target="https://superi.ge/electrolux-enp7td75s/" TargetMode="External"/><Relationship Id="rId192" Type="http://schemas.openxmlformats.org/officeDocument/2006/relationships/hyperlink" Target="https://superi.ge/remeza-sb4-f-270-lb75/" TargetMode="External"/><Relationship Id="rId193" Type="http://schemas.openxmlformats.org/officeDocument/2006/relationships/hyperlink" Target="https://superi.ge/samsung-ue75cu8000uxru-75/" TargetMode="External"/><Relationship Id="rId194" Type="http://schemas.openxmlformats.org/officeDocument/2006/relationships/hyperlink" Target="https://superi.ge/gree-gwh24audxf-k6dna1a-inverter-75-80/" TargetMode="External"/><Relationship Id="rId195" Type="http://schemas.openxmlformats.org/officeDocument/2006/relationships/hyperlink" Target="https://superi.ge/samsung-rs64r5331b4-wt/" TargetMode="External"/><Relationship Id="rId196" Type="http://schemas.openxmlformats.org/officeDocument/2006/relationships/hyperlink" Target="https://superi.ge/toshiba-gr-rf532we-pmj-06/" TargetMode="External"/><Relationship Id="rId197" Type="http://schemas.openxmlformats.org/officeDocument/2006/relationships/hyperlink" Target="https://superi.ge/beko-gn-1416231-jxn/" TargetMode="External"/><Relationship Id="rId198" Type="http://schemas.openxmlformats.org/officeDocument/2006/relationships/hyperlink" Target="https://superi.ge/bosch-kgn56lw31u/" TargetMode="External"/><Relationship Id="rId199" Type="http://schemas.openxmlformats.org/officeDocument/2006/relationships/hyperlink" Target="https://superi.ge/bosch-kis87af30u/" TargetMode="External"/><Relationship Id="rId200" Type="http://schemas.openxmlformats.org/officeDocument/2006/relationships/hyperlink" Target="https://superi.ge/bosch-kgd86aw31u/" TargetMode="External"/><Relationship Id="rId201" Type="http://schemas.openxmlformats.org/officeDocument/2006/relationships/hyperlink" Target="https://superi.ge/bosch-kgn56ci30u/" TargetMode="External"/><Relationship Id="rId202" Type="http://schemas.openxmlformats.org/officeDocument/2006/relationships/hyperlink" Target="https://superi.ge/bosch-kgn86aw32u/" TargetMode="External"/><Relationship Id="rId203" Type="http://schemas.openxmlformats.org/officeDocument/2006/relationships/hyperlink" Target="https://superi.ge/remeza-sb4-f-270-lb50/" TargetMode="External"/><Relationship Id="rId204" Type="http://schemas.openxmlformats.org/officeDocument/2006/relationships/hyperlink" Target="https://superi.ge/samsung-rb38c7b6d39-wt-beige/" TargetMode="External"/><Relationship Id="rId205" Type="http://schemas.openxmlformats.org/officeDocument/2006/relationships/hyperlink" Target="https://superi.ge/midea-mfya-24fn1d0-inverter-80/" TargetMode="External"/><Relationship Id="rId206" Type="http://schemas.openxmlformats.org/officeDocument/2006/relationships/hyperlink" Target="https://superi.ge/beko-gn1406223px/" TargetMode="External"/><Relationship Id="rId207" Type="http://schemas.openxmlformats.org/officeDocument/2006/relationships/hyperlink" Target="https://superi.ge/bosch-kgn76ci30u/" TargetMode="External"/><Relationship Id="rId208" Type="http://schemas.openxmlformats.org/officeDocument/2006/relationships/hyperlink" Target="https://superi.ge/bosch-wgb256a0me-10/" TargetMode="External"/><Relationship Id="rId209" Type="http://schemas.openxmlformats.org/officeDocument/2006/relationships/hyperlink" Target="https://superi.ge/tcl-85p745-216-r51mg8s-eu-ge/" TargetMode="External"/><Relationship Id="rId210" Type="http://schemas.openxmlformats.org/officeDocument/2006/relationships/hyperlink" Target="https://superi.ge/mitsubishi-msz-dm50va-er1-muz-dm50va-er/" TargetMode="External"/><Relationship Id="rId211" Type="http://schemas.openxmlformats.org/officeDocument/2006/relationships/hyperlink" Target="https://superi.ge/royal-turbo-rt190f-15hp/" TargetMode="External"/><Relationship Id="rId212" Type="http://schemas.openxmlformats.org/officeDocument/2006/relationships/hyperlink" Target="https://superi.ge/al-ko-6500-d-c/" TargetMode="External"/><Relationship Id="rId213" Type="http://schemas.openxmlformats.org/officeDocument/2006/relationships/hyperlink" Target="https://superi.ge/gree-gwh28age-k3nna1a-90-100/" TargetMode="External"/><Relationship Id="rId214" Type="http://schemas.openxmlformats.org/officeDocument/2006/relationships/hyperlink" Target="https://superi.ge/bosch-kdd86ai304/" TargetMode="External"/><Relationship Id="rId215" Type="http://schemas.openxmlformats.org/officeDocument/2006/relationships/hyperlink" Target="https://superi.ge/lg-65qned816ra-165/" TargetMode="External"/><Relationship Id="rId216" Type="http://schemas.openxmlformats.org/officeDocument/2006/relationships/hyperlink" Target="https://superi.ge/bosch-gin81aef0u/" TargetMode="External"/><Relationship Id="rId217" Type="http://schemas.openxmlformats.org/officeDocument/2006/relationships/hyperlink" Target="https://superi.ge/remeza-sb4-s-200-av515/" TargetMode="External"/><Relationship Id="rId218" Type="http://schemas.openxmlformats.org/officeDocument/2006/relationships/hyperlink" Target="https://superi.ge/gree-gwh24agd-k6dna1c-inverter-75-80/" TargetMode="External"/><Relationship Id="rId219" Type="http://schemas.openxmlformats.org/officeDocument/2006/relationships/hyperlink" Target="https://superi.ge/tcl-75c745-191/" TargetMode="External"/><Relationship Id="rId220" Type="http://schemas.openxmlformats.org/officeDocument/2006/relationships/hyperlink" Target="https://superi.ge/hyundai-hy1100c-6-7-hp/" TargetMode="External"/><Relationship Id="rId221" Type="http://schemas.openxmlformats.org/officeDocument/2006/relationships/hyperlink" Target="https://superi.ge/bosch-kgn56xw30u/" TargetMode="External"/><Relationship Id="rId222" Type="http://schemas.openxmlformats.org/officeDocument/2006/relationships/hyperlink" Target="https://superi.ge/bosch-wgb2440xme-9/" TargetMode="External"/><Relationship Id="rId223" Type="http://schemas.openxmlformats.org/officeDocument/2006/relationships/hyperlink" Target="https://superi.ge/bosch-wgb2560xme-10kg/" TargetMode="External"/><Relationship Id="rId224" Type="http://schemas.openxmlformats.org/officeDocument/2006/relationships/hyperlink" Target="https://superi.ge/canon-eos-r10-rf-s-18-45mm-is-stm-5331c047aa-black/" TargetMode="External"/><Relationship Id="rId225" Type="http://schemas.openxmlformats.org/officeDocument/2006/relationships/hyperlink" Target="https://superi.ge/bosch-smv6ecx51e/" TargetMode="External"/><Relationship Id="rId226" Type="http://schemas.openxmlformats.org/officeDocument/2006/relationships/hyperlink" Target="https://superi.ge/remeza-sb4-s-100-lb40/" TargetMode="External"/><Relationship Id="rId227" Type="http://schemas.openxmlformats.org/officeDocument/2006/relationships/hyperlink" Target="https://superi.ge/notebook-asustek-asus-tuf-gaming-a15-15-6-fhd-144hz-ryzen-7-8845hs-8gb-512gb-ssd-rtx-3050-win-11-home-graphite-black/" TargetMode="External"/><Relationship Id="rId228" Type="http://schemas.openxmlformats.org/officeDocument/2006/relationships/hyperlink" Target="https://superi.ge/samsung-qe55q70dauxru/" TargetMode="External"/><Relationship Id="rId229" Type="http://schemas.openxmlformats.org/officeDocument/2006/relationships/hyperlink" Target="https://superi.ge/bosch-kgn49lb30u/" TargetMode="External"/><Relationship Id="rId230" Type="http://schemas.openxmlformats.org/officeDocument/2006/relationships/hyperlink" Target="https://superi.ge/bosch-wav28mx0me-9/" TargetMode="External"/><Relationship Id="rId231" Type="http://schemas.openxmlformats.org/officeDocument/2006/relationships/hyperlink" Target="https://superi.ge/lg-75nu850b6la-75-189/" TargetMode="External"/><Relationship Id="rId232" Type="http://schemas.openxmlformats.org/officeDocument/2006/relationships/hyperlink" Target="https://superi.ge/tcl-85c655-tc80g1t-ap-217/" TargetMode="External"/><Relationship Id="rId233" Type="http://schemas.openxmlformats.org/officeDocument/2006/relationships/hyperlink" Target="https://superi.ge/royal-2-r2-190f-15hp/" TargetMode="External"/><Relationship Id="rId234" Type="http://schemas.openxmlformats.org/officeDocument/2006/relationships/hyperlink" Target="https://superi.ge/gree-gwh18acd-k6dna1i-inverter-55-60/" TargetMode="External"/><Relationship Id="rId235" Type="http://schemas.openxmlformats.org/officeDocument/2006/relationships/hyperlink" Target="https://superi.ge/bosch-kgn39lb30u/" TargetMode="External"/><Relationship Id="rId236" Type="http://schemas.openxmlformats.org/officeDocument/2006/relationships/hyperlink" Target="https://superi.ge/gorenje-nrm818fmb/" TargetMode="External"/><Relationship Id="rId237" Type="http://schemas.openxmlformats.org/officeDocument/2006/relationships/hyperlink" Target="https://superi.ge/bosch-kgn55vl20u/" TargetMode="External"/><Relationship Id="rId238" Type="http://schemas.openxmlformats.org/officeDocument/2006/relationships/hyperlink" Target="https://superi.ge/gorenje-nrs918emb/" TargetMode="External"/><Relationship Id="rId239" Type="http://schemas.openxmlformats.org/officeDocument/2006/relationships/hyperlink" Target="https://superi.ge/hitachi-r-wb710puc9-gbw/" TargetMode="External"/><Relationship Id="rId240" Type="http://schemas.openxmlformats.org/officeDocument/2006/relationships/hyperlink" Target="https://superi.ge/samsung-rb38c7b6d12-wt-white/" TargetMode="External"/><Relationship Id="rId241" Type="http://schemas.openxmlformats.org/officeDocument/2006/relationships/hyperlink" Target="https://superi.ge/samsung-ww12tp84dsh-lp/" TargetMode="External"/><Relationship Id="rId242" Type="http://schemas.openxmlformats.org/officeDocument/2006/relationships/hyperlink" Target="https://superi.ge/bosch-sms4hmc65q/" TargetMode="External"/><Relationship Id="rId243" Type="http://schemas.openxmlformats.org/officeDocument/2006/relationships/hyperlink" Target="https://superi.ge/product-8934/" TargetMode="External"/><Relationship Id="rId244" Type="http://schemas.openxmlformats.org/officeDocument/2006/relationships/hyperlink" Target="https://superi.ge/midea-ag-24n8do-inverter-ioniser-black-75-80/" TargetMode="External"/><Relationship Id="rId245" Type="http://schemas.openxmlformats.org/officeDocument/2006/relationships/hyperlink" Target="https://superi.ge/bosch-kgn49xl30u/" TargetMode="External"/><Relationship Id="rId246" Type="http://schemas.openxmlformats.org/officeDocument/2006/relationships/hyperlink" Target="https://superi.ge/hisense-rq72wc-inox/" TargetMode="External"/><Relationship Id="rId247" Type="http://schemas.openxmlformats.org/officeDocument/2006/relationships/hyperlink" Target="https://superi.ge/hitachi-r-w660puc7-gbk/" TargetMode="External"/><Relationship Id="rId248" Type="http://schemas.openxmlformats.org/officeDocument/2006/relationships/hyperlink" Target="https://superi.ge/bosch-sms4hmb62t/" TargetMode="External"/><Relationship Id="rId249" Type="http://schemas.openxmlformats.org/officeDocument/2006/relationships/hyperlink" Target="https://superi.ge/bosch-wav28m80me/" TargetMode="External"/><Relationship Id="rId250" Type="http://schemas.openxmlformats.org/officeDocument/2006/relationships/hyperlink" Target="https://superi.ge/bosch-wgb24400me-9/" TargetMode="External"/><Relationship Id="rId251" Type="http://schemas.openxmlformats.org/officeDocument/2006/relationships/hyperlink" Target="https://superi.ge/samsung-wf18t8000gv-lp/" TargetMode="External"/><Relationship Id="rId252" Type="http://schemas.openxmlformats.org/officeDocument/2006/relationships/hyperlink" Target="https://superi.ge/aux-asw-h24a4-qfr3di-inverter-75-80/" TargetMode="External"/><Relationship Id="rId253" Type="http://schemas.openxmlformats.org/officeDocument/2006/relationships/hyperlink" Target="https://superi.ge/bosch-kdn76xl30u-542l/" TargetMode="External"/><Relationship Id="rId254" Type="http://schemas.openxmlformats.org/officeDocument/2006/relationships/hyperlink" Target="https://superi.ge/samsung-qe65q60cauxru-2023-165/" TargetMode="External"/><Relationship Id="rId255" Type="http://schemas.openxmlformats.org/officeDocument/2006/relationships/hyperlink" Target="https://superi.ge/kettler-axos-nova-m-grey/" TargetMode="External"/><Relationship Id="rId256" Type="http://schemas.openxmlformats.org/officeDocument/2006/relationships/hyperlink" Target="https://superi.ge/mitsubishi-msz-dm35va-er1-muz-dm35va-er1/" TargetMode="External"/><Relationship Id="rId257" Type="http://schemas.openxmlformats.org/officeDocument/2006/relationships/hyperlink" Target="https://superi.ge/hyundai-ac-esaf-24hn8-g/" TargetMode="External"/><Relationship Id="rId258" Type="http://schemas.openxmlformats.org/officeDocument/2006/relationships/hyperlink" Target="https://superi.ge/bosch-kgn39xi30u/" TargetMode="External"/><Relationship Id="rId259" Type="http://schemas.openxmlformats.org/officeDocument/2006/relationships/hyperlink" Target="https://superi.ge/bosch-kgn49xw30u/" TargetMode="External"/><Relationship Id="rId260" Type="http://schemas.openxmlformats.org/officeDocument/2006/relationships/hyperlink" Target="https://superi.ge/samsung-wd12tp34dsh-lp/" TargetMode="External"/><Relationship Id="rId261" Type="http://schemas.openxmlformats.org/officeDocument/2006/relationships/hyperlink" Target="https://superi.ge/bosch-spv6emx76q/" TargetMode="External"/><Relationship Id="rId262" Type="http://schemas.openxmlformats.org/officeDocument/2006/relationships/hyperlink" Target="https://superi.ge/midea-gaia-18hrfn8-inverter-55-60/" TargetMode="External"/><Relationship Id="rId263" Type="http://schemas.openxmlformats.org/officeDocument/2006/relationships/hyperlink" Target="https://superi.ge/tolsen-tol1763-79992-5-5kw/" TargetMode="External"/><Relationship Id="rId264" Type="http://schemas.openxmlformats.org/officeDocument/2006/relationships/hyperlink" Target="https://superi.ge/hyundai-gm115fqe-7hp/" TargetMode="External"/><Relationship Id="rId265" Type="http://schemas.openxmlformats.org/officeDocument/2006/relationships/hyperlink" Target="https://superi.ge/samsung-rb50dg602es9-wt/" TargetMode="External"/><Relationship Id="rId266" Type="http://schemas.openxmlformats.org/officeDocument/2006/relationships/hyperlink" Target="https://superi.ge/konner-and-sohnen-ks-7000-5-5kw/" TargetMode="External"/><Relationship Id="rId267" Type="http://schemas.openxmlformats.org/officeDocument/2006/relationships/hyperlink" Target="https://superi.ge/gree-gwh24agd-k3nna1a-75-80/" TargetMode="External"/><Relationship Id="rId268" Type="http://schemas.openxmlformats.org/officeDocument/2006/relationships/hyperlink" Target="https://superi.ge/royal-turbo-rt177/" TargetMode="External"/><Relationship Id="rId269" Type="http://schemas.openxmlformats.org/officeDocument/2006/relationships/hyperlink" Target="https://superi.ge/panama-6/" TargetMode="External"/><Relationship Id="rId270" Type="http://schemas.openxmlformats.org/officeDocument/2006/relationships/hyperlink" Target="https://superi.ge/4-jha-1075/" TargetMode="External"/><Relationship Id="rId271" Type="http://schemas.openxmlformats.org/officeDocument/2006/relationships/hyperlink" Target="https://superi.ge/bosch-kgn39xw30u/" TargetMode="External"/><Relationship Id="rId272" Type="http://schemas.openxmlformats.org/officeDocument/2006/relationships/hyperlink" Target="https://superi.ge/samsung-rl4353ebasl-wt/" TargetMode="External"/><Relationship Id="rId273" Type="http://schemas.openxmlformats.org/officeDocument/2006/relationships/hyperlink" Target="https://superi.ge/epson-l14150-c11ch96404/" TargetMode="External"/><Relationship Id="rId274" Type="http://schemas.openxmlformats.org/officeDocument/2006/relationships/hyperlink" Target="https://superi.ge/product-8924/" TargetMode="External"/><Relationship Id="rId275" Type="http://schemas.openxmlformats.org/officeDocument/2006/relationships/hyperlink" Target="https://superi.ge/gree-gwh12aucxb-k6dna1a-inverter-35-40/" TargetMode="External"/><Relationship Id="rId276" Type="http://schemas.openxmlformats.org/officeDocument/2006/relationships/hyperlink" Target="https://superi.ge/beko-gno5322xpn-b300/" TargetMode="External"/><Relationship Id="rId277" Type="http://schemas.openxmlformats.org/officeDocument/2006/relationships/hyperlink" Target="https://superi.ge/toorx-516gawpp-ultra-compact-walkingpad-wp-p-candy-rose/" TargetMode="External"/><Relationship Id="rId278" Type="http://schemas.openxmlformats.org/officeDocument/2006/relationships/hyperlink" Target="https://superi.ge/gorenje-rea70-kc-inverter-75-80/" TargetMode="External"/><Relationship Id="rId279" Type="http://schemas.openxmlformats.org/officeDocument/2006/relationships/hyperlink" Target="https://superi.ge/midea-vp-12n8d6-inverter/" TargetMode="External"/><Relationship Id="rId280" Type="http://schemas.openxmlformats.org/officeDocument/2006/relationships/hyperlink" Target="https://superi.ge/midea-xt-18n8d6-black-55-60/" TargetMode="External"/><Relationship Id="rId281" Type="http://schemas.openxmlformats.org/officeDocument/2006/relationships/hyperlink" Target="https://superi.ge/beko-rcne560e40zxbrn/" TargetMode="External"/><Relationship Id="rId282" Type="http://schemas.openxmlformats.org/officeDocument/2006/relationships/hyperlink" Target="https://superi.ge/midea-mdrf692mie28-side-by-side/" TargetMode="External"/><Relationship Id="rId283" Type="http://schemas.openxmlformats.org/officeDocument/2006/relationships/hyperlink" Target="https://superi.ge/bosch-wga25400me-10/" TargetMode="External"/><Relationship Id="rId284" Type="http://schemas.openxmlformats.org/officeDocument/2006/relationships/hyperlink" Target="https://superi.ge/bosch-smi46ks00t/" TargetMode="External"/><Relationship Id="rId285" Type="http://schemas.openxmlformats.org/officeDocument/2006/relationships/hyperlink" Target="https://superi.ge/midea-xt-18n8d6-gold-55-60/" TargetMode="External"/><Relationship Id="rId286" Type="http://schemas.openxmlformats.org/officeDocument/2006/relationships/hyperlink" Target="https://superi.ge/midea-xt-18n8d6-silver-55-60/" TargetMode="External"/><Relationship Id="rId287" Type="http://schemas.openxmlformats.org/officeDocument/2006/relationships/hyperlink" Target="https://superi.ge/beko-rcne560e40zxpn-superia/" TargetMode="External"/><Relationship Id="rId288" Type="http://schemas.openxmlformats.org/officeDocument/2006/relationships/hyperlink" Target="https://superi.ge/midea-mdrs723myf28/" TargetMode="External"/><Relationship Id="rId289" Type="http://schemas.openxmlformats.org/officeDocument/2006/relationships/hyperlink" Target="https://superi.ge/midea-ag-18n8do-inverter-ioniser-black-55-60/" TargetMode="External"/><Relationship Id="rId290" Type="http://schemas.openxmlformats.org/officeDocument/2006/relationships/hyperlink" Target="https://superi.ge/samsung-ww12tp84dsx-lp/" TargetMode="External"/><Relationship Id="rId291" Type="http://schemas.openxmlformats.org/officeDocument/2006/relationships/hyperlink" Target="https://superi.ge/samsung-ue55au8000uxtk/" TargetMode="External"/><Relationship Id="rId292" Type="http://schemas.openxmlformats.org/officeDocument/2006/relationships/hyperlink" Target="https://superi.ge/gree-gwh12acc-k6dna1f-inverter-35-40/" TargetMode="External"/><Relationship Id="rId293" Type="http://schemas.openxmlformats.org/officeDocument/2006/relationships/hyperlink" Target="https://superi.ge/midea-gaia-09hrfn8/" TargetMode="External"/><Relationship Id="rId294" Type="http://schemas.openxmlformats.org/officeDocument/2006/relationships/hyperlink" Target="https://superi.ge/midea-mscb-18hrfn8-55-60-inventer/" TargetMode="External"/><Relationship Id="rId295" Type="http://schemas.openxmlformats.org/officeDocument/2006/relationships/hyperlink" Target="https://superi.ge/hisense-rq-51wcd/" TargetMode="External"/><Relationship Id="rId296" Type="http://schemas.openxmlformats.org/officeDocument/2006/relationships/hyperlink" Target="https://superi.ge/hitachi-r-vgx470puc9-gbk/" TargetMode="External"/><Relationship Id="rId297" Type="http://schemas.openxmlformats.org/officeDocument/2006/relationships/hyperlink" Target="https://superi.ge/lg-grfb587pqam-ahsqmea/" TargetMode="External"/><Relationship Id="rId298" Type="http://schemas.openxmlformats.org/officeDocument/2006/relationships/hyperlink" Target="https://superi.ge/treadmill-fortis-3-ultra/" TargetMode="External"/><Relationship Id="rId299" Type="http://schemas.openxmlformats.org/officeDocument/2006/relationships/hyperlink" Target="https://superi.ge/bosch-wga244a0me-9kg/" TargetMode="External"/><Relationship Id="rId300" Type="http://schemas.openxmlformats.org/officeDocument/2006/relationships/hyperlink" Target="https://superi.ge/bosch-wds28460me-8-5/" TargetMode="External"/><Relationship Id="rId301" Type="http://schemas.openxmlformats.org/officeDocument/2006/relationships/hyperlink" Target="https://superi.ge/lg-65ur81006lj-165/" TargetMode="External"/><Relationship Id="rId302" Type="http://schemas.openxmlformats.org/officeDocument/2006/relationships/hyperlink" Target="https://superi.ge/samsung-qe55q60cauxru-2023-140/" TargetMode="External"/><Relationship Id="rId303" Type="http://schemas.openxmlformats.org/officeDocument/2006/relationships/hyperlink" Target="https://superi.ge/vestel-rm700bf3el/" TargetMode="External"/><Relationship Id="rId304" Type="http://schemas.openxmlformats.org/officeDocument/2006/relationships/hyperlink" Target="https://superi.ge/cooper-and-hunter-s-18-ftxf-wi-fi-ng/" TargetMode="External"/><Relationship Id="rId305" Type="http://schemas.openxmlformats.org/officeDocument/2006/relationships/hyperlink" Target="https://superi.ge/bosch-kgn36xi30u/" TargetMode="External"/><Relationship Id="rId306" Type="http://schemas.openxmlformats.org/officeDocument/2006/relationships/hyperlink" Target="https://superi.ge/midea-l1pb36-c28wl/" TargetMode="External"/><Relationship Id="rId307" Type="http://schemas.openxmlformats.org/officeDocument/2006/relationships/hyperlink" Target="https://superi.ge/samsung-ww11bb744cge-lp/" TargetMode="External"/><Relationship Id="rId308" Type="http://schemas.openxmlformats.org/officeDocument/2006/relationships/hyperlink" Target="https://superi.ge/ingco-ge65006-6-5/" TargetMode="External"/><Relationship Id="rId309" Type="http://schemas.openxmlformats.org/officeDocument/2006/relationships/hyperlink" Target="https://superi.ge/2-jha-16010/" TargetMode="External"/><Relationship Id="rId310" Type="http://schemas.openxmlformats.org/officeDocument/2006/relationships/hyperlink" Target="https://superi.ge/gree-gwh09aucxb-k6dna1a-inverter-25-30/" TargetMode="External"/><Relationship Id="rId311" Type="http://schemas.openxmlformats.org/officeDocument/2006/relationships/hyperlink" Target="https://superi.ge/beko-rcne560e35zxb/" TargetMode="External"/><Relationship Id="rId312" Type="http://schemas.openxmlformats.org/officeDocument/2006/relationships/hyperlink" Target="https://superi.ge/bosch-ksv36vw31u/" TargetMode="External"/><Relationship Id="rId313" Type="http://schemas.openxmlformats.org/officeDocument/2006/relationships/hyperlink" Target="https://superi.ge/bosch-pry6a6b70q/" TargetMode="External"/><Relationship Id="rId314" Type="http://schemas.openxmlformats.org/officeDocument/2006/relationships/hyperlink" Target="https://superi.ge/bosch-spv4hmx55q/" TargetMode="External"/><Relationship Id="rId315" Type="http://schemas.openxmlformats.org/officeDocument/2006/relationships/hyperlink" Target="https://superi.ge/bosch-sms45dw10q/" TargetMode="External"/><Relationship Id="rId316" Type="http://schemas.openxmlformats.org/officeDocument/2006/relationships/hyperlink" Target="https://superi.ge/bosch-smv25cx10q/" TargetMode="External"/><Relationship Id="rId317" Type="http://schemas.openxmlformats.org/officeDocument/2006/relationships/hyperlink" Target="https://superi.ge/samsung-ue65cu7100uxru-165/" TargetMode="External"/><Relationship Id="rId318" Type="http://schemas.openxmlformats.org/officeDocument/2006/relationships/hyperlink" Target="https://superi.ge/bosch-kgn36xw30u/" TargetMode="External"/><Relationship Id="rId319" Type="http://schemas.openxmlformats.org/officeDocument/2006/relationships/hyperlink" Target="https://superi.ge/bosch-kgn39uw3/" TargetMode="External"/><Relationship Id="rId320" Type="http://schemas.openxmlformats.org/officeDocument/2006/relationships/hyperlink" Target="https://superi.ge/hyundai-gm105fqs-7hp/" TargetMode="External"/><Relationship Id="rId321" Type="http://schemas.openxmlformats.org/officeDocument/2006/relationships/hyperlink" Target="https://superi.ge/california-chaise-longue-grnw-cg-03-std/" TargetMode="External"/><Relationship Id="rId322" Type="http://schemas.openxmlformats.org/officeDocument/2006/relationships/hyperlink" Target="https://superi.ge/midea-ag-18n8do-ioniser/" TargetMode="External"/><Relationship Id="rId323" Type="http://schemas.openxmlformats.org/officeDocument/2006/relationships/hyperlink" Target="https://superi.ge/bosch-kgn36xl30u/" TargetMode="External"/><Relationship Id="rId324" Type="http://schemas.openxmlformats.org/officeDocument/2006/relationships/hyperlink" Target="https://superi.ge/hisense-rc-67ws-bi/" TargetMode="External"/><Relationship Id="rId325" Type="http://schemas.openxmlformats.org/officeDocument/2006/relationships/hyperlink" Target="https://superi.ge/hisense-rd-62wc-inox/" TargetMode="External"/><Relationship Id="rId326" Type="http://schemas.openxmlformats.org/officeDocument/2006/relationships/hyperlink" Target="https://superi.ge/ecoflow-river-2-pro/" TargetMode="External"/><Relationship Id="rId327" Type="http://schemas.openxmlformats.org/officeDocument/2006/relationships/hyperlink" Target="https://superi.ge/gorenje-bos67372cli/" TargetMode="External"/><Relationship Id="rId328" Type="http://schemas.openxmlformats.org/officeDocument/2006/relationships/hyperlink" Target="https://superi.ge/bosch-sms45di10q/" TargetMode="External"/><Relationship Id="rId329" Type="http://schemas.openxmlformats.org/officeDocument/2006/relationships/hyperlink" Target="https://superi.ge/product-8916/" TargetMode="External"/><Relationship Id="rId330" Type="http://schemas.openxmlformats.org/officeDocument/2006/relationships/hyperlink" Target="https://superi.ge/product-8917/" TargetMode="External"/><Relationship Id="rId331" Type="http://schemas.openxmlformats.org/officeDocument/2006/relationships/hyperlink" Target="https://superi.ge/gree-gwh18agc-k3nna1a-55-60/" TargetMode="External"/><Relationship Id="rId332" Type="http://schemas.openxmlformats.org/officeDocument/2006/relationships/hyperlink" Target="https://superi.ge/haier-tibio-inverter-24000-75-80/" TargetMode="External"/><Relationship Id="rId333" Type="http://schemas.openxmlformats.org/officeDocument/2006/relationships/hyperlink" Target="https://superi.ge/270-2223-270/" TargetMode="External"/><Relationship Id="rId334" Type="http://schemas.openxmlformats.org/officeDocument/2006/relationships/hyperlink" Target="https://superi.ge/bosch-bel554ms0/" TargetMode="External"/><Relationship Id="rId335" Type="http://schemas.openxmlformats.org/officeDocument/2006/relationships/hyperlink" Target="https://superi.ge/bosch-climate-3000i-inverter-12000-btu/" TargetMode="External"/><Relationship Id="rId336" Type="http://schemas.openxmlformats.org/officeDocument/2006/relationships/hyperlink" Target="https://superi.ge/gree-gwh09acc-k6dna1f-inverter-25-30/" TargetMode="External"/><Relationship Id="rId337" Type="http://schemas.openxmlformats.org/officeDocument/2006/relationships/hyperlink" Target="https://superi.ge/samsung-rt47cg6442s9wt/" TargetMode="External"/><Relationship Id="rId338" Type="http://schemas.openxmlformats.org/officeDocument/2006/relationships/hyperlink" Target="https://superi.ge/173x102x75-6-60x62x91-jm-ps-t726/" TargetMode="External"/><Relationship Id="rId339" Type="http://schemas.openxmlformats.org/officeDocument/2006/relationships/hyperlink" Target="https://superi.ge/dyson-sv28-v11-absolute-extra-nickel-red/" TargetMode="External"/><Relationship Id="rId340" Type="http://schemas.openxmlformats.org/officeDocument/2006/relationships/hyperlink" Target="https://superi.ge/dyson-v12-dt-slim-absolute-gray/" TargetMode="External"/><Relationship Id="rId341" Type="http://schemas.openxmlformats.org/officeDocument/2006/relationships/hyperlink" Target="https://superi.ge/all-in-one-acer-aspire-c22-1700-dq-bjpmc-002/" TargetMode="External"/><Relationship Id="rId342" Type="http://schemas.openxmlformats.org/officeDocument/2006/relationships/hyperlink" Target="https://superi.ge/bosch-dwk97hm61t/" TargetMode="External"/><Relationship Id="rId343" Type="http://schemas.openxmlformats.org/officeDocument/2006/relationships/hyperlink" Target="https://superi.ge/tcl-c521cdib-side-by-side-silver/" TargetMode="External"/><Relationship Id="rId344" Type="http://schemas.openxmlformats.org/officeDocument/2006/relationships/hyperlink" Target="https://superi.ge/bosch-wga244zrme-9/" TargetMode="External"/><Relationship Id="rId345" Type="http://schemas.openxmlformats.org/officeDocument/2006/relationships/hyperlink" Target="https://superi.ge/grundig-65-ggu-8960/" TargetMode="External"/><Relationship Id="rId346" Type="http://schemas.openxmlformats.org/officeDocument/2006/relationships/hyperlink" Target="https://superi.ge/hisense-70a6bg/" TargetMode="External"/><Relationship Id="rId347" Type="http://schemas.openxmlformats.org/officeDocument/2006/relationships/hyperlink" Target="https://superi.ge/bosch-hij517yb0r/" TargetMode="External"/><Relationship Id="rId348" Type="http://schemas.openxmlformats.org/officeDocument/2006/relationships/hyperlink" Target="https://superi.ge/midea-l1pb32-c28wl/" TargetMode="External"/><Relationship Id="rId349" Type="http://schemas.openxmlformats.org/officeDocument/2006/relationships/hyperlink" Target="https://superi.ge/6-sl-003/" TargetMode="External"/><Relationship Id="rId350" Type="http://schemas.openxmlformats.org/officeDocument/2006/relationships/hyperlink" Target="https://superi.ge/konner-and-sohnen-ksb-6500c-5500w/" TargetMode="External"/><Relationship Id="rId351" Type="http://schemas.openxmlformats.org/officeDocument/2006/relationships/hyperlink" Target="https://superi.ge/midea-mae-12n8d6-inverter/" TargetMode="External"/><Relationship Id="rId352" Type="http://schemas.openxmlformats.org/officeDocument/2006/relationships/hyperlink" Target="https://superi.ge/bosch-climate-2000-on-off-18000-btu/" TargetMode="External"/><Relationship Id="rId353" Type="http://schemas.openxmlformats.org/officeDocument/2006/relationships/hyperlink" Target="https://superi.ge/hoffmann-eiac-24k-75-80-inverter/" TargetMode="External"/><Relationship Id="rId354" Type="http://schemas.openxmlformats.org/officeDocument/2006/relationships/hyperlink" Target="https://superi.ge/lg-gbb62dshec/" TargetMode="External"/><Relationship Id="rId355" Type="http://schemas.openxmlformats.org/officeDocument/2006/relationships/hyperlink" Target="https://superi.ge/gorenje-fn619few5/" TargetMode="External"/><Relationship Id="rId356" Type="http://schemas.openxmlformats.org/officeDocument/2006/relationships/hyperlink" Target="https://superi.ge/samsung-ue55bu8072uxxh/" TargetMode="External"/><Relationship Id="rId357" Type="http://schemas.openxmlformats.org/officeDocument/2006/relationships/hyperlink" Target="https://superi.ge/remeza-sb4-s-100-av360-a/" TargetMode="External"/><Relationship Id="rId358" Type="http://schemas.openxmlformats.org/officeDocument/2006/relationships/hyperlink" Target="https://superi.ge/bosch-climate-3000i-inverter-9000-btu/" TargetMode="External"/><Relationship Id="rId359" Type="http://schemas.openxmlformats.org/officeDocument/2006/relationships/hyperlink" Target="https://superi.ge/bauma-premium-bm1000n-7-hp/" TargetMode="External"/><Relationship Id="rId360" Type="http://schemas.openxmlformats.org/officeDocument/2006/relationships/hyperlink" Target="https://superi.ge/royal-turbo-rt1000bg/" TargetMode="External"/><Relationship Id="rId361" Type="http://schemas.openxmlformats.org/officeDocument/2006/relationships/hyperlink" Target="https://superi.ge/bosch-dwk67cm60/" TargetMode="External"/><Relationship Id="rId362" Type="http://schemas.openxmlformats.org/officeDocument/2006/relationships/hyperlink" Target="https://superi.ge/midea-xt-09n8d6-inverter-black-25-30/" TargetMode="External"/><Relationship Id="rId363" Type="http://schemas.openxmlformats.org/officeDocument/2006/relationships/hyperlink" Target="https://superi.ge/midea-xt-12n8d6-inverter-gold-35-40/" TargetMode="External"/><Relationship Id="rId364" Type="http://schemas.openxmlformats.org/officeDocument/2006/relationships/hyperlink" Target="https://superi.ge/bosch-sms43d08me/" TargetMode="External"/><Relationship Id="rId365" Type="http://schemas.openxmlformats.org/officeDocument/2006/relationships/hyperlink" Target="https://superi.ge/bosch-smv25bx02r/" TargetMode="External"/><Relationship Id="rId366" Type="http://schemas.openxmlformats.org/officeDocument/2006/relationships/hyperlink" Target="https://superi.ge/remeza-sb4-s-100-lb30-a/" TargetMode="External"/><Relationship Id="rId367" Type="http://schemas.openxmlformats.org/officeDocument/2006/relationships/hyperlink" Target="https://superi.ge/samsung-qe50q60cauxxh-2023-127/" TargetMode="External"/><Relationship Id="rId368" Type="http://schemas.openxmlformats.org/officeDocument/2006/relationships/hyperlink" Target="https://superi.ge/midea-mdrs619fgf46/" TargetMode="External"/><Relationship Id="rId369" Type="http://schemas.openxmlformats.org/officeDocument/2006/relationships/hyperlink" Target="https://superi.ge/gree-gwh12agb-k6dna1a-inverter-35-40/" TargetMode="External"/><Relationship Id="rId370" Type="http://schemas.openxmlformats.org/officeDocument/2006/relationships/hyperlink" Target="https://superi.ge/hitachi-r-vx440puc9-bsl/" TargetMode="External"/><Relationship Id="rId371" Type="http://schemas.openxmlformats.org/officeDocument/2006/relationships/hyperlink" Target="https://superi.ge/midea-mdrs619fgf25/" TargetMode="External"/><Relationship Id="rId372" Type="http://schemas.openxmlformats.org/officeDocument/2006/relationships/hyperlink" Target="https://superi.ge/samsung-bespoke-nv7b5645tak/" TargetMode="External"/><Relationship Id="rId373" Type="http://schemas.openxmlformats.org/officeDocument/2006/relationships/hyperlink" Target="https://superi.ge/acer-mr-jtw11-001/" TargetMode="External"/><Relationship Id="rId374" Type="http://schemas.openxmlformats.org/officeDocument/2006/relationships/hyperlink" Target="https://superi.ge/aux-asw-h24a4-qcr1-75-80/" TargetMode="External"/><Relationship Id="rId375" Type="http://schemas.openxmlformats.org/officeDocument/2006/relationships/hyperlink" Target="https://superi.ge/beko-b3drcnk402hxbr/" TargetMode="External"/><Relationship Id="rId376" Type="http://schemas.openxmlformats.org/officeDocument/2006/relationships/hyperlink" Target="https://superi.ge/bosch-kdn43nw20u/" TargetMode="External"/><Relationship Id="rId377" Type="http://schemas.openxmlformats.org/officeDocument/2006/relationships/hyperlink" Target="https://superi.ge/lg-f2v5gg2s/" TargetMode="External"/><Relationship Id="rId378" Type="http://schemas.openxmlformats.org/officeDocument/2006/relationships/hyperlink" Target="https://superi.ge/tcl-65c655/" TargetMode="External"/><Relationship Id="rId379" Type="http://schemas.openxmlformats.org/officeDocument/2006/relationships/hyperlink" Target="https://superi.ge/bosch-hbg517es0r/" TargetMode="External"/><Relationship Id="rId380" Type="http://schemas.openxmlformats.org/officeDocument/2006/relationships/hyperlink" Target="https://superi.ge/gorenje-gv663d60/" TargetMode="External"/><Relationship Id="rId381" Type="http://schemas.openxmlformats.org/officeDocument/2006/relationships/hyperlink" Target="https://superi.ge/bosch-smi50d05tr/" TargetMode="External"/><Relationship Id="rId382" Type="http://schemas.openxmlformats.org/officeDocument/2006/relationships/hyperlink" Target="https://superi.ge/bosch-sms44dw01t/" TargetMode="External"/><Relationship Id="rId383" Type="http://schemas.openxmlformats.org/officeDocument/2006/relationships/hyperlink" Target="https://superi.ge/haier-tibio-inverter-18000-55-60/" TargetMode="External"/><Relationship Id="rId384" Type="http://schemas.openxmlformats.org/officeDocument/2006/relationships/hyperlink" Target="https://superi.ge/remeza-sb4-s-50-lb30-a/" TargetMode="External"/><Relationship Id="rId385" Type="http://schemas.openxmlformats.org/officeDocument/2006/relationships/hyperlink" Target="https://superi.ge/konner-and-sohnen-ks-3000e-3kw/" TargetMode="External"/><Relationship Id="rId386" Type="http://schemas.openxmlformats.org/officeDocument/2006/relationships/hyperlink" Target="https://superi.ge/hoffmann-eoac-24k-80/" TargetMode="External"/><Relationship Id="rId387" Type="http://schemas.openxmlformats.org/officeDocument/2006/relationships/hyperlink" Target="https://superi.ge/lg-gr-c639hlcl/" TargetMode="External"/><Relationship Id="rId388" Type="http://schemas.openxmlformats.org/officeDocument/2006/relationships/hyperlink" Target="https://superi.ge/lg-55up76703lb/" TargetMode="External"/><Relationship Id="rId389" Type="http://schemas.openxmlformats.org/officeDocument/2006/relationships/hyperlink" Target="https://superi.ge/intex-26790-400x200x122/" TargetMode="External"/><Relationship Id="rId390" Type="http://schemas.openxmlformats.org/officeDocument/2006/relationships/hyperlink" Target="https://superi.ge/intex-26726-457h122/" TargetMode="External"/><Relationship Id="rId391" Type="http://schemas.openxmlformats.org/officeDocument/2006/relationships/hyperlink" Target="https://superi.ge/bosch-dwf95aj60t/" TargetMode="External"/><Relationship Id="rId392" Type="http://schemas.openxmlformats.org/officeDocument/2006/relationships/hyperlink" Target="https://superi.ge/bosch-dwk67cm20/" TargetMode="External"/><Relationship Id="rId393" Type="http://schemas.openxmlformats.org/officeDocument/2006/relationships/hyperlink" Target="https://superi.ge/midea-mscb-12hrfn8-35-40-inventer/" TargetMode="External"/><Relationship Id="rId394" Type="http://schemas.openxmlformats.org/officeDocument/2006/relationships/hyperlink" Target="https://superi.ge/bosch-kgv39vw30u/" TargetMode="External"/><Relationship Id="rId395" Type="http://schemas.openxmlformats.org/officeDocument/2006/relationships/hyperlink" Target="https://superi.ge/hisense-rd-43wc4s-bg/" TargetMode="External"/><Relationship Id="rId396" Type="http://schemas.openxmlformats.org/officeDocument/2006/relationships/hyperlink" Target="https://superi.ge/lg-gn-b472pqmb-adsqmea/" TargetMode="External"/><Relationship Id="rId397" Type="http://schemas.openxmlformats.org/officeDocument/2006/relationships/hyperlink" Target="https://superi.ge/bosch-bel653mb3/" TargetMode="External"/><Relationship Id="rId398" Type="http://schemas.openxmlformats.org/officeDocument/2006/relationships/hyperlink" Target="https://superi.ge/lg-f4v5vs0w/" TargetMode="External"/><Relationship Id="rId399" Type="http://schemas.openxmlformats.org/officeDocument/2006/relationships/hyperlink" Target="https://superi.ge/samsung-ww11bga047aelp/" TargetMode="External"/><Relationship Id="rId400" Type="http://schemas.openxmlformats.org/officeDocument/2006/relationships/hyperlink" Target="https://superi.ge/toshiba-tw-bk110g4uz-wk/" TargetMode="External"/><Relationship Id="rId401" Type="http://schemas.openxmlformats.org/officeDocument/2006/relationships/hyperlink" Target="https://superi.ge/samsung-ue43au8072uxxh/" TargetMode="External"/><Relationship Id="rId402" Type="http://schemas.openxmlformats.org/officeDocument/2006/relationships/hyperlink" Target="https://superi.ge/bosch-hbg536hw0r/" TargetMode="External"/><Relationship Id="rId403" Type="http://schemas.openxmlformats.org/officeDocument/2006/relationships/hyperlink" Target="https://superi.ge/gorenje-bos6727syb/" TargetMode="External"/><Relationship Id="rId404" Type="http://schemas.openxmlformats.org/officeDocument/2006/relationships/hyperlink" Target="https://superi.ge/bosch-sms2htw72e/" TargetMode="External"/><Relationship Id="rId405" Type="http://schemas.openxmlformats.org/officeDocument/2006/relationships/hyperlink" Target="https://superi.ge/ingco-ac301008/" TargetMode="External"/><Relationship Id="rId406" Type="http://schemas.openxmlformats.org/officeDocument/2006/relationships/hyperlink" Target="https://superi.ge/lg-50nano783qa/" TargetMode="External"/><Relationship Id="rId407" Type="http://schemas.openxmlformats.org/officeDocument/2006/relationships/hyperlink" Target="https://superi.ge/samsung-ue55au7172uxxh/" TargetMode="External"/><Relationship Id="rId408" Type="http://schemas.openxmlformats.org/officeDocument/2006/relationships/hyperlink" Target="https://superi.ge/beko-b5df-t-510447-m/" TargetMode="External"/><Relationship Id="rId409" Type="http://schemas.openxmlformats.org/officeDocument/2006/relationships/hyperlink" Target="https://superi.ge/al-ko-2500-c-8041420/" TargetMode="External"/><Relationship Id="rId410" Type="http://schemas.openxmlformats.org/officeDocument/2006/relationships/hyperlink" Target="https://superi.ge/lg-lbb509eqyw-aepqmer/" TargetMode="External"/><Relationship Id="rId411" Type="http://schemas.openxmlformats.org/officeDocument/2006/relationships/hyperlink" Target="https://superi.ge/vestel-iacha-25fmdn/" TargetMode="External"/><Relationship Id="rId412" Type="http://schemas.openxmlformats.org/officeDocument/2006/relationships/hyperlink" Target="https://superi.ge/2-ka-3/" TargetMode="External"/><Relationship Id="rId413" Type="http://schemas.openxmlformats.org/officeDocument/2006/relationships/hyperlink" Target="https://superi.ge/gree-gwh09aga-k6dna1a-inverter-25-30/" TargetMode="External"/><Relationship Id="rId414" Type="http://schemas.openxmlformats.org/officeDocument/2006/relationships/hyperlink" Target="https://superi.ge/lg-gbp31dstzr/" TargetMode="External"/><Relationship Id="rId415" Type="http://schemas.openxmlformats.org/officeDocument/2006/relationships/hyperlink" Target="https://superi.ge/bosch-wan2420xme-8/" TargetMode="External"/><Relationship Id="rId416" Type="http://schemas.openxmlformats.org/officeDocument/2006/relationships/hyperlink" Target="https://superi.ge/toshiba-55c450ke-140/" TargetMode="External"/><Relationship Id="rId417" Type="http://schemas.openxmlformats.org/officeDocument/2006/relationships/hyperlink" Target="https://superi.ge/samsung-ue55tu7092uxxh/" TargetMode="External"/><Relationship Id="rId418" Type="http://schemas.openxmlformats.org/officeDocument/2006/relationships/hyperlink" Target="https://superi.ge/brother-modern-210e/" TargetMode="External"/><Relationship Id="rId419" Type="http://schemas.openxmlformats.org/officeDocument/2006/relationships/hyperlink" Target="https://superi.ge/lg-43up7550pvg/" TargetMode="External"/><Relationship Id="rId420" Type="http://schemas.openxmlformats.org/officeDocument/2006/relationships/hyperlink" Target="https://superi.ge/dyson-airwrap-multi-styler-complete-long-hs05-lb-copper-blue/" TargetMode="External"/><Relationship Id="rId421" Type="http://schemas.openxmlformats.org/officeDocument/2006/relationships/hyperlink" Target="https://superi.ge/midea-xt-09n8d6-inverter-silver-25-30/" TargetMode="External"/><Relationship Id="rId422" Type="http://schemas.openxmlformats.org/officeDocument/2006/relationships/hyperlink" Target="https://superi.ge/tcl-tac-18chsa-tpg11i-50-60-inventer/" TargetMode="External"/><Relationship Id="rId423" Type="http://schemas.openxmlformats.org/officeDocument/2006/relationships/hyperlink" Target="https://superi.ge/bosch-kdn30nw20u/" TargetMode="External"/><Relationship Id="rId424" Type="http://schemas.openxmlformats.org/officeDocument/2006/relationships/hyperlink" Target="https://superi.ge/bosch-kgn33nw21u/" TargetMode="External"/><Relationship Id="rId425" Type="http://schemas.openxmlformats.org/officeDocument/2006/relationships/hyperlink" Target="https://superi.ge/graetz-gtn43ns/" TargetMode="External"/><Relationship Id="rId426" Type="http://schemas.openxmlformats.org/officeDocument/2006/relationships/hyperlink" Target="https://superi.ge/hitachi-r-b410puc6-pwh/" TargetMode="External"/><Relationship Id="rId427" Type="http://schemas.openxmlformats.org/officeDocument/2006/relationships/hyperlink" Target="https://superi.ge/samsung-rt32k5132s8-wt/" TargetMode="External"/><Relationship Id="rId428" Type="http://schemas.openxmlformats.org/officeDocument/2006/relationships/hyperlink" Target="https://superi.ge/bosch-wan24200me-8/" TargetMode="External"/><Relationship Id="rId429" Type="http://schemas.openxmlformats.org/officeDocument/2006/relationships/hyperlink" Target="https://superi.ge/gorenje-wnei14as-10/" TargetMode="External"/><Relationship Id="rId430" Type="http://schemas.openxmlformats.org/officeDocument/2006/relationships/hyperlink" Target="https://superi.ge/lg-f4v5vs2s/" TargetMode="External"/><Relationship Id="rId431" Type="http://schemas.openxmlformats.org/officeDocument/2006/relationships/hyperlink" Target="https://superi.ge/toshiba-tw-bk100g4uz-sk/" TargetMode="External"/><Relationship Id="rId432" Type="http://schemas.openxmlformats.org/officeDocument/2006/relationships/hyperlink" Target="https://superi.ge/grundig-55-ggu-8960/" TargetMode="External"/><Relationship Id="rId433" Type="http://schemas.openxmlformats.org/officeDocument/2006/relationships/hyperlink" Target="https://superi.ge/gorenje-bos6747a01x/" TargetMode="External"/><Relationship Id="rId434" Type="http://schemas.openxmlformats.org/officeDocument/2006/relationships/hyperlink" Target="https://superi.ge/bosch-hbj558ys3q/" TargetMode="External"/><Relationship Id="rId435" Type="http://schemas.openxmlformats.org/officeDocument/2006/relationships/hyperlink" Target="https://superi.ge/bosch-sms43d02me/" TargetMode="External"/><Relationship Id="rId436" Type="http://schemas.openxmlformats.org/officeDocument/2006/relationships/hyperlink" Target="https://superi.ge/lg-f4x5eypy8-agwqme3-11/" TargetMode="External"/><Relationship Id="rId437" Type="http://schemas.openxmlformats.org/officeDocument/2006/relationships/hyperlink" Target="https://superi.ge/hagen-hrsbs1743x/" TargetMode="External"/><Relationship Id="rId438" Type="http://schemas.openxmlformats.org/officeDocument/2006/relationships/hyperlink" Target="https://superi.ge/philips-43pus8007-12/" TargetMode="External"/><Relationship Id="rId439" Type="http://schemas.openxmlformats.org/officeDocument/2006/relationships/hyperlink" Target="https://superi.ge/franko-fcf-400dw-400l/" TargetMode="External"/><Relationship Id="rId440" Type="http://schemas.openxmlformats.org/officeDocument/2006/relationships/hyperlink" Target="https://superi.ge/bosch-kgv36vwea/" TargetMode="External"/><Relationship Id="rId441" Type="http://schemas.openxmlformats.org/officeDocument/2006/relationships/hyperlink" Target="https://superi.ge/vox-nf-3735-ixf/" TargetMode="External"/><Relationship Id="rId442" Type="http://schemas.openxmlformats.org/officeDocument/2006/relationships/hyperlink" Target="https://superi.ge/bosch-bfl524mw0/" TargetMode="External"/><Relationship Id="rId443" Type="http://schemas.openxmlformats.org/officeDocument/2006/relationships/hyperlink" Target="https://superi.ge/rowenta-qu5030f0-48m/" TargetMode="External"/><Relationship Id="rId444" Type="http://schemas.openxmlformats.org/officeDocument/2006/relationships/hyperlink" Target="https://superi.ge/asus-rog-strix-z890-f-gaming-wifi/" TargetMode="External"/><Relationship Id="rId445" Type="http://schemas.openxmlformats.org/officeDocument/2006/relationships/hyperlink" Target="https://superi.ge/product-8935/" TargetMode="External"/><Relationship Id="rId446" Type="http://schemas.openxmlformats.org/officeDocument/2006/relationships/hyperlink" Target="https://superi.ge/bestway-56721/" TargetMode="External"/><Relationship Id="rId447" Type="http://schemas.openxmlformats.org/officeDocument/2006/relationships/hyperlink" Target="https://superi.ge/midea-l1pb24-c28wm/" TargetMode="External"/><Relationship Id="rId448" Type="http://schemas.openxmlformats.org/officeDocument/2006/relationships/hyperlink" Target="https://superi.ge/137x72x63-5-65x65x37-5/" TargetMode="External"/><Relationship Id="rId449" Type="http://schemas.openxmlformats.org/officeDocument/2006/relationships/hyperlink" Target="https://superi.ge/beko-fsm-62320-sac/" TargetMode="External"/><Relationship Id="rId450" Type="http://schemas.openxmlformats.org/officeDocument/2006/relationships/hyperlink" Target="https://superi.ge/bosch-dwk65ad30r/" TargetMode="External"/><Relationship Id="rId451" Type="http://schemas.openxmlformats.org/officeDocument/2006/relationships/hyperlink" Target="https://superi.ge/hoffmann-eiac-18k-55-60-inverter/" TargetMode="External"/><Relationship Id="rId452" Type="http://schemas.openxmlformats.org/officeDocument/2006/relationships/hyperlink" Target="https://superi.ge/midea-af-12n1c2/" TargetMode="External"/><Relationship Id="rId453" Type="http://schemas.openxmlformats.org/officeDocument/2006/relationships/hyperlink" Target="https://superi.ge/vox-sfe18-aa-set/" TargetMode="External"/><Relationship Id="rId454" Type="http://schemas.openxmlformats.org/officeDocument/2006/relationships/hyperlink" Target="https://superi.ge/beko-rdse500m20w-superia/" TargetMode="External"/><Relationship Id="rId455" Type="http://schemas.openxmlformats.org/officeDocument/2006/relationships/hyperlink" Target="https://superi.ge/samsung-ww70ta046ae-le/" TargetMode="External"/><Relationship Id="rId456" Type="http://schemas.openxmlformats.org/officeDocument/2006/relationships/hyperlink" Target="https://superi.ge/hitachi-bd-d802hvow/" TargetMode="External"/><Relationship Id="rId457" Type="http://schemas.openxmlformats.org/officeDocument/2006/relationships/hyperlink" Target="https://superi.ge/gorenje-d2hna92w-c/" TargetMode="External"/><Relationship Id="rId458" Type="http://schemas.openxmlformats.org/officeDocument/2006/relationships/hyperlink" Target="https://superi.ge/sharp-scf-k520h-wh3-380l/" TargetMode="External"/><Relationship Id="rId459" Type="http://schemas.openxmlformats.org/officeDocument/2006/relationships/hyperlink" Target="https://superi.ge/bosch-ppp6a6b10/" TargetMode="External"/><Relationship Id="rId460" Type="http://schemas.openxmlformats.org/officeDocument/2006/relationships/hyperlink" Target="https://superi.ge/bosch-hbf534ew0q/" TargetMode="External"/><Relationship Id="rId461" Type="http://schemas.openxmlformats.org/officeDocument/2006/relationships/hyperlink" Target="https://superi.ge/bosch-hbg517eb1r/" TargetMode="External"/><Relationship Id="rId462" Type="http://schemas.openxmlformats.org/officeDocument/2006/relationships/hyperlink" Target="https://superi.ge/gree-gwh12agb-k3nna1a-35-40/" TargetMode="External"/><Relationship Id="rId463" Type="http://schemas.openxmlformats.org/officeDocument/2006/relationships/hyperlink" Target="https://superi.ge/lg-lbb459eqyw-aepqmer/" TargetMode="External"/><Relationship Id="rId464" Type="http://schemas.openxmlformats.org/officeDocument/2006/relationships/hyperlink" Target="https://superi.ge/tcl-tac-24chsa-xa73-75-80/" TargetMode="External"/><Relationship Id="rId465" Type="http://schemas.openxmlformats.org/officeDocument/2006/relationships/hyperlink" Target="https://superi.ge/alneo-18chsa-xac1-55-60/" TargetMode="External"/><Relationship Id="rId466" Type="http://schemas.openxmlformats.org/officeDocument/2006/relationships/hyperlink" Target="https://superi.ge/epson-v11ha86340-co-wx02/" TargetMode="External"/><Relationship Id="rId467" Type="http://schemas.openxmlformats.org/officeDocument/2006/relationships/hyperlink" Target="https://superi.ge/royal-turbo-rt1000-170f-7hp/" TargetMode="External"/><Relationship Id="rId468" Type="http://schemas.openxmlformats.org/officeDocument/2006/relationships/hyperlink" Target="https://superi.ge/electrolux-lkk520211w/" TargetMode="External"/><Relationship Id="rId469" Type="http://schemas.openxmlformats.org/officeDocument/2006/relationships/hyperlink" Target="https://superi.ge/midea-mscb-09hrfn8-25-30-inventer/" TargetMode="External"/><Relationship Id="rId470" Type="http://schemas.openxmlformats.org/officeDocument/2006/relationships/hyperlink" Target="https://superi.ge/franko-fcf-350dw-347l/" TargetMode="External"/><Relationship Id="rId471" Type="http://schemas.openxmlformats.org/officeDocument/2006/relationships/hyperlink" Target="https://superi.ge/beko-fse-63330-dx-superia/" TargetMode="External"/><Relationship Id="rId472" Type="http://schemas.openxmlformats.org/officeDocument/2006/relationships/hyperlink" Target="https://superi.ge/philips-hd9870-20-white/" TargetMode="External"/><Relationship Id="rId473" Type="http://schemas.openxmlformats.org/officeDocument/2006/relationships/hyperlink" Target="https://superi.ge/refrigerator-promo-lbb389fldm-apyqmer/" TargetMode="External"/><Relationship Id="rId474" Type="http://schemas.openxmlformats.org/officeDocument/2006/relationships/hyperlink" Target="https://superi.ge/bestway-5612x/" TargetMode="External"/><Relationship Id="rId475" Type="http://schemas.openxmlformats.org/officeDocument/2006/relationships/hyperlink" Target="https://superi.ge/bosch-pnh6b6o92r/" TargetMode="External"/><Relationship Id="rId476" Type="http://schemas.openxmlformats.org/officeDocument/2006/relationships/hyperlink" Target="https://superi.ge/130x90/" TargetMode="External"/><Relationship Id="rId477" Type="http://schemas.openxmlformats.org/officeDocument/2006/relationships/hyperlink" Target="https://superi.ge/beko-fsm-62330-dxs-b300/" TargetMode="External"/><Relationship Id="rId478" Type="http://schemas.openxmlformats.org/officeDocument/2006/relationships/hyperlink" Target="https://superi.ge/hoffmann-eoac-18k-55-60/" TargetMode="External"/><Relationship Id="rId479" Type="http://schemas.openxmlformats.org/officeDocument/2006/relationships/hyperlink" Target="https://superi.ge/midea-af-09n1c2/" TargetMode="External"/><Relationship Id="rId480" Type="http://schemas.openxmlformats.org/officeDocument/2006/relationships/hyperlink" Target="https://superi.ge/ardesto-dnf-m378gl200/" TargetMode="External"/><Relationship Id="rId481" Type="http://schemas.openxmlformats.org/officeDocument/2006/relationships/hyperlink" Target="https://superi.ge/beko-rcnk270k20w/" TargetMode="External"/><Relationship Id="rId482" Type="http://schemas.openxmlformats.org/officeDocument/2006/relationships/hyperlink" Target="https://superi.ge/hitachi-r-h330puc7-bsl/" TargetMode="External"/><Relationship Id="rId483" Type="http://schemas.openxmlformats.org/officeDocument/2006/relationships/hyperlink" Target="https://superi.ge/bosch-bcs712xxl/" TargetMode="External"/><Relationship Id="rId484" Type="http://schemas.openxmlformats.org/officeDocument/2006/relationships/hyperlink" Target="https://superi.ge/ecoflow-river-2-max/" TargetMode="External"/><Relationship Id="rId485" Type="http://schemas.openxmlformats.org/officeDocument/2006/relationships/hyperlink" Target="https://superi.ge/acer-x1226ah-mr-juj11-001/" TargetMode="External"/><Relationship Id="rId486" Type="http://schemas.openxmlformats.org/officeDocument/2006/relationships/hyperlink" Target="https://superi.ge/beko-htv-7736-xsht-b300/" TargetMode="External"/><Relationship Id="rId487" Type="http://schemas.openxmlformats.org/officeDocument/2006/relationships/hyperlink" Target="https://superi.ge/graetz-wd8614w-8/" TargetMode="External"/><Relationship Id="rId488" Type="http://schemas.openxmlformats.org/officeDocument/2006/relationships/hyperlink" Target="https://superi.ge/lg-f2v9gw9p/" TargetMode="External"/><Relationship Id="rId489" Type="http://schemas.openxmlformats.org/officeDocument/2006/relationships/hyperlink" Target="https://superi.ge/gorenje-fh50bpw-500l/" TargetMode="External"/><Relationship Id="rId490" Type="http://schemas.openxmlformats.org/officeDocument/2006/relationships/hyperlink" Target="https://superi.ge/sharp-scf-k440h-wh3-316l/" TargetMode="External"/><Relationship Id="rId491" Type="http://schemas.openxmlformats.org/officeDocument/2006/relationships/hyperlink" Target="https://superi.ge/samsung-ue50cu7100uxru-127/" TargetMode="External"/><Relationship Id="rId492" Type="http://schemas.openxmlformats.org/officeDocument/2006/relationships/hyperlink" Target="https://superi.ge/midea-mdre306fzf01-212-l/" TargetMode="External"/><Relationship Id="rId493" Type="http://schemas.openxmlformats.org/officeDocument/2006/relationships/hyperlink" Target="https://superi.ge/bosch-hbf534eb0q/" TargetMode="External"/><Relationship Id="rId494" Type="http://schemas.openxmlformats.org/officeDocument/2006/relationships/hyperlink" Target="https://superi.ge/gorenje-bosb6737e03x/" TargetMode="External"/><Relationship Id="rId495" Type="http://schemas.openxmlformats.org/officeDocument/2006/relationships/hyperlink" Target="https://superi.ge/4-slx-5/" TargetMode="External"/><Relationship Id="rId496" Type="http://schemas.openxmlformats.org/officeDocument/2006/relationships/hyperlink" Target="https://superi.ge/lg-43up78003lb/" TargetMode="External"/><Relationship Id="rId497" Type="http://schemas.openxmlformats.org/officeDocument/2006/relationships/hyperlink" Target="https://superi.ge/aeg-l6se47sre/" TargetMode="External"/><Relationship Id="rId498" Type="http://schemas.openxmlformats.org/officeDocument/2006/relationships/hyperlink" Target="https://superi.ge/bosch-dwk65aj80r/" TargetMode="External"/><Relationship Id="rId499" Type="http://schemas.openxmlformats.org/officeDocument/2006/relationships/hyperlink" Target="https://superi.ge/bosch-bgs7pow1/" TargetMode="External"/><Relationship Id="rId500" Type="http://schemas.openxmlformats.org/officeDocument/2006/relationships/hyperlink" Target="https://superi.ge/toshiba-tw-bk90g4uz-wk/" TargetMode="External"/><Relationship Id="rId501" Type="http://schemas.openxmlformats.org/officeDocument/2006/relationships/hyperlink" Target="https://superi.ge/toshiba-tw-bl100a4uz-wk/" TargetMode="External"/><Relationship Id="rId502" Type="http://schemas.openxmlformats.org/officeDocument/2006/relationships/hyperlink" Target="https://superi.ge/vestel-rn270fr3ei-w/" TargetMode="External"/><Relationship Id="rId503" Type="http://schemas.openxmlformats.org/officeDocument/2006/relationships/hyperlink" Target="https://superi.ge/beko-b55m-d-790-b-55/" TargetMode="External"/><Relationship Id="rId504" Type="http://schemas.openxmlformats.org/officeDocument/2006/relationships/hyperlink" Target="https://superi.ge/toshiba-gr-rt559we-pmj-06/" TargetMode="External"/><Relationship Id="rId505" Type="http://schemas.openxmlformats.org/officeDocument/2006/relationships/hyperlink" Target="https://superi.ge/indesit-its-4200-w/" TargetMode="External"/><Relationship Id="rId506" Type="http://schemas.openxmlformats.org/officeDocument/2006/relationships/hyperlink" Target="https://superi.ge/beko-wtv-9612-xs-nova/" TargetMode="External"/><Relationship Id="rId507" Type="http://schemas.openxmlformats.org/officeDocument/2006/relationships/hyperlink" Target="https://superi.ge/lg-43up76703lb/" TargetMode="External"/><Relationship Id="rId508" Type="http://schemas.openxmlformats.org/officeDocument/2006/relationships/hyperlink" Target="https://superi.ge/samsung-ue43tu7092uxxh/" TargetMode="External"/><Relationship Id="rId509" Type="http://schemas.openxmlformats.org/officeDocument/2006/relationships/hyperlink" Target="https://superi.ge/bauma-premium-bm3500e-m/" TargetMode="External"/><Relationship Id="rId510" Type="http://schemas.openxmlformats.org/officeDocument/2006/relationships/hyperlink" Target="https://superi.ge/cooper-and-hunter-ch-s12-xz3-universal-pro/" TargetMode="External"/><Relationship Id="rId511" Type="http://schemas.openxmlformats.org/officeDocument/2006/relationships/hyperlink" Target="https://superi.ge/bestway-56950/" TargetMode="External"/><Relationship Id="rId512" Type="http://schemas.openxmlformats.org/officeDocument/2006/relationships/hyperlink" Target="https://superi.ge/bosch-dwf65aj60t-649/" TargetMode="External"/><Relationship Id="rId513" Type="http://schemas.openxmlformats.org/officeDocument/2006/relationships/hyperlink" Target="https://superi.ge/bosch-dwk65aj90r/" TargetMode="External"/><Relationship Id="rId514" Type="http://schemas.openxmlformats.org/officeDocument/2006/relationships/hyperlink" Target="https://superi.ge/midea-mppd-12crn7/" TargetMode="External"/><Relationship Id="rId515" Type="http://schemas.openxmlformats.org/officeDocument/2006/relationships/hyperlink" Target="https://superi.ge/beko-rdne43w-superia/" TargetMode="External"/><Relationship Id="rId516" Type="http://schemas.openxmlformats.org/officeDocument/2006/relationships/hyperlink" Target="https://superi.ge/bosch-bcs711xxl/" TargetMode="External"/><Relationship Id="rId517" Type="http://schemas.openxmlformats.org/officeDocument/2006/relationships/hyperlink" Target="https://superi.ge/gorenje-wnei84sds/" TargetMode="External"/><Relationship Id="rId518" Type="http://schemas.openxmlformats.org/officeDocument/2006/relationships/hyperlink" Target="https://superi.ge/lg-f2t2tym1s/" TargetMode="External"/><Relationship Id="rId519" Type="http://schemas.openxmlformats.org/officeDocument/2006/relationships/hyperlink" Target="https://superi.ge/bosch-pci6b1b90r/" TargetMode="External"/><Relationship Id="rId520" Type="http://schemas.openxmlformats.org/officeDocument/2006/relationships/hyperlink" Target="https://superi.ge/midea-mo82170gb/" TargetMode="External"/><Relationship Id="rId521" Type="http://schemas.openxmlformats.org/officeDocument/2006/relationships/hyperlink" Target="https://superi.ge/electrolux-eea913100l/" TargetMode="External"/><Relationship Id="rId522" Type="http://schemas.openxmlformats.org/officeDocument/2006/relationships/hyperlink" Target="https://superi.ge/gorenje-gv561d10/" TargetMode="External"/><Relationship Id="rId523" Type="http://schemas.openxmlformats.org/officeDocument/2006/relationships/hyperlink" Target="https://superi.ge/gorenje-gs541d10x/" TargetMode="External"/><Relationship Id="rId524" Type="http://schemas.openxmlformats.org/officeDocument/2006/relationships/hyperlink" Target="https://superi.ge/bosch-bel653mw3/" TargetMode="External"/><Relationship Id="rId525" Type="http://schemas.openxmlformats.org/officeDocument/2006/relationships/hyperlink" Target="https://superi.ge/vestel-rm-400tfzm-bg/" TargetMode="External"/><Relationship Id="rId526" Type="http://schemas.openxmlformats.org/officeDocument/2006/relationships/hyperlink" Target="https://superi.ge/gree-gwh09aga-k3nna1a-25-30/" TargetMode="External"/><Relationship Id="rId527" Type="http://schemas.openxmlformats.org/officeDocument/2006/relationships/hyperlink" Target="https://superi.ge/beko-wspe7612a/" TargetMode="External"/><Relationship Id="rId528" Type="http://schemas.openxmlformats.org/officeDocument/2006/relationships/hyperlink" Target="https://superi.ge/dingqi-10080105/" TargetMode="External"/><Relationship Id="rId529" Type="http://schemas.openxmlformats.org/officeDocument/2006/relationships/hyperlink" Target="https://superi.ge/indesit-its-4180-w/" TargetMode="External"/><Relationship Id="rId530" Type="http://schemas.openxmlformats.org/officeDocument/2006/relationships/hyperlink" Target="https://superi.ge/midea-m6/" TargetMode="External"/><Relationship Id="rId531" Type="http://schemas.openxmlformats.org/officeDocument/2006/relationships/hyperlink" Target="https://superi.ge/beko-fse-62320-dx-b300/" TargetMode="External"/><Relationship Id="rId532" Type="http://schemas.openxmlformats.org/officeDocument/2006/relationships/hyperlink" Target="https://superi.ge/ninja-oo101eu-8in1/" TargetMode="External"/><Relationship Id="rId533" Type="http://schemas.openxmlformats.org/officeDocument/2006/relationships/hyperlink" Target="https://superi.ge/dixi-mg-12b-inverter-35-40/" TargetMode="External"/><Relationship Id="rId534" Type="http://schemas.openxmlformats.org/officeDocument/2006/relationships/hyperlink" Target="https://superi.ge/zellmer-tac-12chsd-xa/" TargetMode="External"/><Relationship Id="rId535" Type="http://schemas.openxmlformats.org/officeDocument/2006/relationships/hyperlink" Target="https://superi.ge/graetz-gtn36ndxw/" TargetMode="External"/><Relationship Id="rId536" Type="http://schemas.openxmlformats.org/officeDocument/2006/relationships/hyperlink" Target="https://superi.ge/electrolux-ew6f4r28b/" TargetMode="External"/><Relationship Id="rId537" Type="http://schemas.openxmlformats.org/officeDocument/2006/relationships/hyperlink" Target="https://superi.ge/oz-obig90x60b5e/" TargetMode="External"/><Relationship Id="rId538" Type="http://schemas.openxmlformats.org/officeDocument/2006/relationships/hyperlink" Target="https://superi.ge/bosch-hbf113br0q/" TargetMode="External"/><Relationship Id="rId539" Type="http://schemas.openxmlformats.org/officeDocument/2006/relationships/hyperlink" Target="https://superi.ge/midea-mo58100rgb-b/" TargetMode="External"/><Relationship Id="rId540" Type="http://schemas.openxmlformats.org/officeDocument/2006/relationships/hyperlink" Target="https://superi.ge/gorenje-gv531e10/" TargetMode="External"/><Relationship Id="rId541" Type="http://schemas.openxmlformats.org/officeDocument/2006/relationships/hyperlink" Target="https://superi.ge/6-hy-009/" TargetMode="External"/><Relationship Id="rId542" Type="http://schemas.openxmlformats.org/officeDocument/2006/relationships/hyperlink" Target="https://superi.ge/canon-eos-4000d-blacklens-ef-s-18-55-dc-iii-3011c004aa/" TargetMode="External"/><Relationship Id="rId543" Type="http://schemas.openxmlformats.org/officeDocument/2006/relationships/hyperlink" Target="https://superi.ge/beko-rspe78612s/" TargetMode="External"/><Relationship Id="rId544" Type="http://schemas.openxmlformats.org/officeDocument/2006/relationships/hyperlink" Target="https://superi.ge/samsung-ww65ag4s20cxlp/" TargetMode="External"/><Relationship Id="rId545" Type="http://schemas.openxmlformats.org/officeDocument/2006/relationships/hyperlink" Target="https://superi.ge/vestel-w9b12tb/" TargetMode="External"/><Relationship Id="rId546" Type="http://schemas.openxmlformats.org/officeDocument/2006/relationships/hyperlink" Target="https://superi.ge/bosch-bch86hyg1/" TargetMode="External"/><Relationship Id="rId547" Type="http://schemas.openxmlformats.org/officeDocument/2006/relationships/hyperlink" Target="https://superi.ge/bosch-bwd421pet/" TargetMode="External"/><Relationship Id="rId548" Type="http://schemas.openxmlformats.org/officeDocument/2006/relationships/hyperlink" Target="https://superi.ge/samsung-ar09bqhqasiner/" TargetMode="External"/><Relationship Id="rId549" Type="http://schemas.openxmlformats.org/officeDocument/2006/relationships/hyperlink" Target="https://superi.ge/samsung-ww70agas25axlp-7kg/" TargetMode="External"/><Relationship Id="rId550" Type="http://schemas.openxmlformats.org/officeDocument/2006/relationships/hyperlink" Target="https://superi.ge/gorenje-whi6syb/" TargetMode="External"/><Relationship Id="rId551" Type="http://schemas.openxmlformats.org/officeDocument/2006/relationships/hyperlink" Target="https://superi.ge/gorenje-kam26-php/" TargetMode="External"/><Relationship Id="rId552" Type="http://schemas.openxmlformats.org/officeDocument/2006/relationships/hyperlink" Target="https://superi.ge/gorenje-rea26-kc-inverter-25-30/" TargetMode="External"/><Relationship Id="rId553" Type="http://schemas.openxmlformats.org/officeDocument/2006/relationships/hyperlink" Target="https://superi.ge/midea-msaf-12hrn8-w/" TargetMode="External"/><Relationship Id="rId554" Type="http://schemas.openxmlformats.org/officeDocument/2006/relationships/hyperlink" Target="https://superi.ge/graetz-gtn36nw/" TargetMode="External"/><Relationship Id="rId555" Type="http://schemas.openxmlformats.org/officeDocument/2006/relationships/hyperlink" Target="https://superi.ge/bosch-bgs7pet/" TargetMode="External"/><Relationship Id="rId556" Type="http://schemas.openxmlformats.org/officeDocument/2006/relationships/hyperlink" Target="https://superi.ge/fitnes/" TargetMode="External"/><Relationship Id="rId557" Type="http://schemas.openxmlformats.org/officeDocument/2006/relationships/hyperlink" Target="https://superi.ge/gorenje-w2nhai94aps-c/" TargetMode="External"/><Relationship Id="rId558" Type="http://schemas.openxmlformats.org/officeDocument/2006/relationships/hyperlink" Target="https://superi.ge/gorenje-wnei72sb-7/" TargetMode="External"/><Relationship Id="rId559" Type="http://schemas.openxmlformats.org/officeDocument/2006/relationships/hyperlink" Target="https://superi.ge/gorenje-wnhai1x4aps-c-10-5/" TargetMode="External"/><Relationship Id="rId560" Type="http://schemas.openxmlformats.org/officeDocument/2006/relationships/hyperlink" Target="https://superi.ge/lg-f-2j3ns0w/" TargetMode="External"/><Relationship Id="rId561" Type="http://schemas.openxmlformats.org/officeDocument/2006/relationships/hyperlink" Target="https://superi.ge/gorenje-w1d2a854adps-8-5/" TargetMode="External"/><Relationship Id="rId562" Type="http://schemas.openxmlformats.org/officeDocument/2006/relationships/hyperlink" Target="https://superi.ge/samsung-ue43au7172uxxh/" TargetMode="External"/><Relationship Id="rId563" Type="http://schemas.openxmlformats.org/officeDocument/2006/relationships/hyperlink" Target="https://superi.ge/samsung-ue43cu7100uxru-109/" TargetMode="External"/><Relationship Id="rId564" Type="http://schemas.openxmlformats.org/officeDocument/2006/relationships/hyperlink" Target="https://superi.ge/gorenje-gce691bsc/" TargetMode="External"/><Relationship Id="rId565" Type="http://schemas.openxmlformats.org/officeDocument/2006/relationships/hyperlink" Target="https://superi.ge/bosch-hbf113ba0q/" TargetMode="External"/><Relationship Id="rId566" Type="http://schemas.openxmlformats.org/officeDocument/2006/relationships/hyperlink" Target="https://superi.ge/gorenje-gv62040/" TargetMode="External"/><Relationship Id="rId567" Type="http://schemas.openxmlformats.org/officeDocument/2006/relationships/hyperlink" Target="https://superi.ge/vox-nf-3830-ixf/" TargetMode="External"/><Relationship Id="rId568" Type="http://schemas.openxmlformats.org/officeDocument/2006/relationships/hyperlink" Target="https://superi.ge/franko-fcf-294dw-295/" TargetMode="External"/><Relationship Id="rId569" Type="http://schemas.openxmlformats.org/officeDocument/2006/relationships/hyperlink" Target="https://superi.ge/tcl-p315bf-silver/" TargetMode="External"/><Relationship Id="rId570" Type="http://schemas.openxmlformats.org/officeDocument/2006/relationships/hyperlink" Target="https://superi.ge/beko-wtv-8712-xw-b100/" TargetMode="External"/><Relationship Id="rId571" Type="http://schemas.openxmlformats.org/officeDocument/2006/relationships/hyperlink" Target="https://superi.ge/toshiba-tw-bl90a4uz-wk/" TargetMode="External"/><Relationship Id="rId572" Type="http://schemas.openxmlformats.org/officeDocument/2006/relationships/hyperlink" Target="https://superi.ge/janome-718a/" TargetMode="External"/><Relationship Id="rId573" Type="http://schemas.openxmlformats.org/officeDocument/2006/relationships/hyperlink" Target="https://superi.ge/vestfrost-gt-n3664mgks-a-ix/" TargetMode="External"/><Relationship Id="rId574" Type="http://schemas.openxmlformats.org/officeDocument/2006/relationships/hyperlink" Target="https://superi.ge/haier-tibio-inverter-12000-35-40/" TargetMode="External"/><Relationship Id="rId575" Type="http://schemas.openxmlformats.org/officeDocument/2006/relationships/hyperlink" Target="https://superi.ge/samsung-ww80t3040bs-lp/" TargetMode="External"/><Relationship Id="rId576" Type="http://schemas.openxmlformats.org/officeDocument/2006/relationships/hyperlink" Target="https://superi.ge/beko-fse-63320-dx/" TargetMode="External"/><Relationship Id="rId577" Type="http://schemas.openxmlformats.org/officeDocument/2006/relationships/hyperlink" Target="https://superi.ge/beko-fsgt-62110-dxo-b100/" TargetMode="External"/><Relationship Id="rId578" Type="http://schemas.openxmlformats.org/officeDocument/2006/relationships/hyperlink" Target="https://superi.ge/ingco-ge35006-3-5/" TargetMode="External"/><Relationship Id="rId579" Type="http://schemas.openxmlformats.org/officeDocument/2006/relationships/hyperlink" Target="https://superi.ge/lenovo-ideacentre-aio-3-22itl6-f0g500alrk-white/" TargetMode="External"/><Relationship Id="rId580" Type="http://schemas.openxmlformats.org/officeDocument/2006/relationships/hyperlink" Target="https://superi.ge/canon-i-sensys-mf264dw-ii-5938c017aa/" TargetMode="External"/><Relationship Id="rId581" Type="http://schemas.openxmlformats.org/officeDocument/2006/relationships/hyperlink" Target="https://superi.ge/bosch-bgs412234a/" TargetMode="External"/><Relationship Id="rId582" Type="http://schemas.openxmlformats.org/officeDocument/2006/relationships/hyperlink" Target="https://superi.ge/canon-maxify-gx5040-5550c009aa5550c009ab/" TargetMode="External"/><Relationship Id="rId583" Type="http://schemas.openxmlformats.org/officeDocument/2006/relationships/hyperlink" Target="https://superi.ge/daewoo-wm914t3wb0ge-9/" TargetMode="External"/><Relationship Id="rId584" Type="http://schemas.openxmlformats.org/officeDocument/2006/relationships/hyperlink" Target="https://superi.ge/vox-wm1410-sat15abldc/" TargetMode="External"/><Relationship Id="rId585" Type="http://schemas.openxmlformats.org/officeDocument/2006/relationships/hyperlink" Target="https://superi.ge/tcl-tac-18chsa-xa73-55-60/" TargetMode="External"/><Relationship Id="rId586" Type="http://schemas.openxmlformats.org/officeDocument/2006/relationships/hyperlink" Target="https://superi.ge/samsung-ar07bqhqasiner/" TargetMode="External"/><Relationship Id="rId587" Type="http://schemas.openxmlformats.org/officeDocument/2006/relationships/hyperlink" Target="https://superi.ge/beko-dvn05320s/" TargetMode="External"/><Relationship Id="rId588" Type="http://schemas.openxmlformats.org/officeDocument/2006/relationships/hyperlink" Target="https://superi.ge/janome-dc3900/" TargetMode="External"/><Relationship Id="rId589" Type="http://schemas.openxmlformats.org/officeDocument/2006/relationships/hyperlink" Target="https://superi.ge/asus-tuf-gaming-z890-pro-wifi-intel-z890-ddr5-eatx/" TargetMode="External"/><Relationship Id="rId590" Type="http://schemas.openxmlformats.org/officeDocument/2006/relationships/hyperlink" Target="https://superi.ge/trinx-n600-nana/" TargetMode="External"/><Relationship Id="rId591" Type="http://schemas.openxmlformats.org/officeDocument/2006/relationships/hyperlink" Target="https://superi.ge/beko-fset-62111-gss-superia/" TargetMode="External"/><Relationship Id="rId592" Type="http://schemas.openxmlformats.org/officeDocument/2006/relationships/hyperlink" Target="https://superi.ge/aston-martin-5db11/" TargetMode="External"/><Relationship Id="rId593" Type="http://schemas.openxmlformats.org/officeDocument/2006/relationships/hyperlink" Target="https://superi.ge/aux-asw-h12a4-qcr1-35-40/" TargetMode="External"/><Relationship Id="rId594" Type="http://schemas.openxmlformats.org/officeDocument/2006/relationships/hyperlink" Target="https://superi.ge/vox-iva1-9ir-inv-set/" TargetMode="External"/><Relationship Id="rId595" Type="http://schemas.openxmlformats.org/officeDocument/2006/relationships/hyperlink" Target="https://superi.ge/hagen-hrbf1828x-silver/" TargetMode="External"/><Relationship Id="rId596" Type="http://schemas.openxmlformats.org/officeDocument/2006/relationships/hyperlink" Target="https://superi.ge/hisense-rd-32wrn/" TargetMode="External"/><Relationship Id="rId597" Type="http://schemas.openxmlformats.org/officeDocument/2006/relationships/hyperlink" Target="https://superi.ge/vestel-rs-390-silver/" TargetMode="External"/><Relationship Id="rId598" Type="http://schemas.openxmlformats.org/officeDocument/2006/relationships/hyperlink" Target="https://superi.ge/vox-pmf12ch/" TargetMode="External"/><Relationship Id="rId599" Type="http://schemas.openxmlformats.org/officeDocument/2006/relationships/hyperlink" Target="https://superi.ge/canon-ink-maxify-mb5140-0960c007aa/" TargetMode="External"/><Relationship Id="rId600" Type="http://schemas.openxmlformats.org/officeDocument/2006/relationships/hyperlink" Target="https://superi.ge/lg-f2j3hs2w/" TargetMode="External"/><Relationship Id="rId601" Type="http://schemas.openxmlformats.org/officeDocument/2006/relationships/hyperlink" Target="https://superi.ge/toshiba-tw-bl80a2uz-wk/" TargetMode="External"/><Relationship Id="rId602" Type="http://schemas.openxmlformats.org/officeDocument/2006/relationships/hyperlink" Target="https://superi.ge/vox-wm1288-sat2t15d/" TargetMode="External"/><Relationship Id="rId603" Type="http://schemas.openxmlformats.org/officeDocument/2006/relationships/hyperlink" Target="https://superi.ge/sharp-scf-k350h-wh3-251l/" TargetMode="External"/><Relationship Id="rId604" Type="http://schemas.openxmlformats.org/officeDocument/2006/relationships/hyperlink" Target="https://superi.ge/blaupunkt-55ugc6000-139/" TargetMode="External"/><Relationship Id="rId605" Type="http://schemas.openxmlformats.org/officeDocument/2006/relationships/hyperlink" Target="https://superi.ge/lg-43ur78006lk-109/" TargetMode="External"/><Relationship Id="rId606" Type="http://schemas.openxmlformats.org/officeDocument/2006/relationships/hyperlink" Target="https://superi.ge/beko-dvn05321b/" TargetMode="External"/><Relationship Id="rId607" Type="http://schemas.openxmlformats.org/officeDocument/2006/relationships/hyperlink" Target="https://superi.ge/gorenje-gs62040w/" TargetMode="External"/><Relationship Id="rId608" Type="http://schemas.openxmlformats.org/officeDocument/2006/relationships/hyperlink" Target="https://superi.ge/toshiba-dw-14f1cis-w/" TargetMode="External"/><Relationship Id="rId609" Type="http://schemas.openxmlformats.org/officeDocument/2006/relationships/hyperlink" Target="https://superi.ge/remeza-sb4-c-50-j1048b/" TargetMode="External"/><Relationship Id="rId610" Type="http://schemas.openxmlformats.org/officeDocument/2006/relationships/hyperlink" Target="https://superi.ge/bosch-bch86sil1/" TargetMode="External"/><Relationship Id="rId611" Type="http://schemas.openxmlformats.org/officeDocument/2006/relationships/hyperlink" Target="https://superi.ge/remeza-sb4-c-50-j1047b/" TargetMode="External"/><Relationship Id="rId612" Type="http://schemas.openxmlformats.org/officeDocument/2006/relationships/hyperlink" Target="https://superi.ge/franko-fcf-249dw-245/" TargetMode="External"/><Relationship Id="rId613" Type="http://schemas.openxmlformats.org/officeDocument/2006/relationships/hyperlink" Target="https://superi.ge/hecht-752/" TargetMode="External"/><Relationship Id="rId614" Type="http://schemas.openxmlformats.org/officeDocument/2006/relationships/hyperlink" Target="https://superi.ge/akog-100-sp-110-grafite-sit/" TargetMode="External"/><Relationship Id="rId615" Type="http://schemas.openxmlformats.org/officeDocument/2006/relationships/hyperlink" Target="https://superi.ge/vox-50a11u314b/" TargetMode="External"/><Relationship Id="rId616" Type="http://schemas.openxmlformats.org/officeDocument/2006/relationships/hyperlink" Target="https://superi.ge/vox-50adwd1b/" TargetMode="External"/><Relationship Id="rId617" Type="http://schemas.openxmlformats.org/officeDocument/2006/relationships/hyperlink" Target="https://superi.ge/trinx-majestic-m600-elite/" TargetMode="External"/><Relationship Id="rId618" Type="http://schemas.openxmlformats.org/officeDocument/2006/relationships/hyperlink" Target="https://superi.ge/270-2355-210/" TargetMode="External"/><Relationship Id="rId619" Type="http://schemas.openxmlformats.org/officeDocument/2006/relationships/hyperlink" Target="https://superi.ge/vox-wm1490-sat2t15d/" TargetMode="External"/><Relationship Id="rId620" Type="http://schemas.openxmlformats.org/officeDocument/2006/relationships/hyperlink" Target="https://superi.ge/brother-st55e/" TargetMode="External"/><Relationship Id="rId621" Type="http://schemas.openxmlformats.org/officeDocument/2006/relationships/hyperlink" Target="https://superi.ge/vestfrost-tm343w/" TargetMode="External"/><Relationship Id="rId622" Type="http://schemas.openxmlformats.org/officeDocument/2006/relationships/hyperlink" Target="https://superi.ge/dixi-mg-09b-inverter-25-30/" TargetMode="External"/><Relationship Id="rId623" Type="http://schemas.openxmlformats.org/officeDocument/2006/relationships/hyperlink" Target="https://superi.ge/hagen-hrbf1828w-no-frost/" TargetMode="External"/><Relationship Id="rId624" Type="http://schemas.openxmlformats.org/officeDocument/2006/relationships/hyperlink" Target="https://superi.ge/bosch-bch85n/" TargetMode="External"/><Relationship Id="rId625" Type="http://schemas.openxmlformats.org/officeDocument/2006/relationships/hyperlink" Target="https://superi.ge/electrolux-ew6s5r06w/" TargetMode="External"/><Relationship Id="rId626" Type="http://schemas.openxmlformats.org/officeDocument/2006/relationships/hyperlink" Target="https://superi.ge/gorenje-wnhei84as-r-8/" TargetMode="External"/><Relationship Id="rId627" Type="http://schemas.openxmlformats.org/officeDocument/2006/relationships/hyperlink" Target="https://superi.ge/samsung-ww60ag4s00celp/" TargetMode="External"/><Relationship Id="rId628" Type="http://schemas.openxmlformats.org/officeDocument/2006/relationships/hyperlink" Target="https://superi.ge/vox-wm1280-sat2t15d/" TargetMode="External"/><Relationship Id="rId629" Type="http://schemas.openxmlformats.org/officeDocument/2006/relationships/hyperlink" Target="https://superi.ge/samsung-ue43t5300auxce/" TargetMode="External"/><Relationship Id="rId630" Type="http://schemas.openxmlformats.org/officeDocument/2006/relationships/hyperlink" Target="https://superi.ge/midea-mo69110gb/" TargetMode="External"/><Relationship Id="rId631" Type="http://schemas.openxmlformats.org/officeDocument/2006/relationships/hyperlink" Target="https://superi.ge/gorenje-gs541d10w/" TargetMode="External"/><Relationship Id="rId632" Type="http://schemas.openxmlformats.org/officeDocument/2006/relationships/hyperlink" Target="https://superi.ge/lego-city-rocket-launch-center/" TargetMode="External"/><Relationship Id="rId633" Type="http://schemas.openxmlformats.org/officeDocument/2006/relationships/hyperlink" Target="https://superi.ge/cooper-and-hunter-ch-s09-xz3-universal-pro/" TargetMode="External"/><Relationship Id="rId634" Type="http://schemas.openxmlformats.org/officeDocument/2006/relationships/hyperlink" Target="https://superi.ge/vestel-rs455tf3m-w/" TargetMode="External"/><Relationship Id="rId635" Type="http://schemas.openxmlformats.org/officeDocument/2006/relationships/hyperlink" Target="https://superi.ge/beko-dvn05320w/" TargetMode="External"/><Relationship Id="rId636" Type="http://schemas.openxmlformats.org/officeDocument/2006/relationships/hyperlink" Target="https://superi.ge/janome-clio-325/" TargetMode="External"/><Relationship Id="rId637" Type="http://schemas.openxmlformats.org/officeDocument/2006/relationships/hyperlink" Target="https://superi.ge/midea-mo78101cgw/" TargetMode="External"/><Relationship Id="rId638" Type="http://schemas.openxmlformats.org/officeDocument/2006/relationships/hyperlink" Target="https://superi.ge/vestel-bo-8786b/" TargetMode="External"/><Relationship Id="rId639" Type="http://schemas.openxmlformats.org/officeDocument/2006/relationships/hyperlink" Target="https://superi.ge/janome-hd6130/" TargetMode="External"/><Relationship Id="rId640" Type="http://schemas.openxmlformats.org/officeDocument/2006/relationships/hyperlink" Target="https://superi.ge/hyperx-367522-ruby/" TargetMode="External"/><Relationship Id="rId641" Type="http://schemas.openxmlformats.org/officeDocument/2006/relationships/hyperlink" Target="https://superi.ge/trinx-m500-pro-17-2020/" TargetMode="External"/><Relationship Id="rId642" Type="http://schemas.openxmlformats.org/officeDocument/2006/relationships/hyperlink" Target="https://superi.ge/haier-tibio-inverter-9000-25-30/" TargetMode="External"/><Relationship Id="rId643" Type="http://schemas.openxmlformats.org/officeDocument/2006/relationships/hyperlink" Target="https://superi.ge/brother-elite-45/" TargetMode="External"/><Relationship Id="rId644" Type="http://schemas.openxmlformats.org/officeDocument/2006/relationships/hyperlink" Target="https://superi.ge/bosch-dwk66pj20t/" TargetMode="External"/><Relationship Id="rId645" Type="http://schemas.openxmlformats.org/officeDocument/2006/relationships/hyperlink" Target="https://superi.ge/vox-wm1495-t14qd/" TargetMode="External"/><Relationship Id="rId646" Type="http://schemas.openxmlformats.org/officeDocument/2006/relationships/hyperlink" Target="https://superi.ge/grundig-43-gfu-7800b/" TargetMode="External"/><Relationship Id="rId647" Type="http://schemas.openxmlformats.org/officeDocument/2006/relationships/hyperlink" Target="https://superi.ge/bosch-mmbh6p6b/" TargetMode="External"/><Relationship Id="rId648" Type="http://schemas.openxmlformats.org/officeDocument/2006/relationships/hyperlink" Target="https://superi.ge/vestel-dwa1b3bow/" TargetMode="External"/><Relationship Id="rId649" Type="http://schemas.openxmlformats.org/officeDocument/2006/relationships/hyperlink" Target="https://superi.ge/2e-55a06l-140/" TargetMode="External"/><Relationship Id="rId650" Type="http://schemas.openxmlformats.org/officeDocument/2006/relationships/hyperlink" Target="https://superi.ge/106-6x74-4-73-5x59-8x108-jm-ps-t720/" TargetMode="External"/><Relationship Id="rId651" Type="http://schemas.openxmlformats.org/officeDocument/2006/relationships/hyperlink" Target="https://superi.ge/alneo-12chsa-xac1-35-40/" TargetMode="External"/><Relationship Id="rId652" Type="http://schemas.openxmlformats.org/officeDocument/2006/relationships/hyperlink" Target="https://superi.ge/midea-mppd-09crn7/" TargetMode="External"/><Relationship Id="rId653" Type="http://schemas.openxmlformats.org/officeDocument/2006/relationships/hyperlink" Target="https://superi.ge/midea-msaf-09hrn8-w/" TargetMode="External"/><Relationship Id="rId654" Type="http://schemas.openxmlformats.org/officeDocument/2006/relationships/hyperlink" Target="https://superi.ge/vox-kg-3330-f/" TargetMode="External"/><Relationship Id="rId655" Type="http://schemas.openxmlformats.org/officeDocument/2006/relationships/hyperlink" Target="https://superi.ge/vox-kk-3600-f/" TargetMode="External"/><Relationship Id="rId656" Type="http://schemas.openxmlformats.org/officeDocument/2006/relationships/hyperlink" Target="https://superi.ge/samsung-ww70t3020bw-lp/" TargetMode="External"/><Relationship Id="rId657" Type="http://schemas.openxmlformats.org/officeDocument/2006/relationships/hyperlink" Target="https://superi.ge/daewoo-50dm72ua-127/" TargetMode="External"/><Relationship Id="rId658" Type="http://schemas.openxmlformats.org/officeDocument/2006/relationships/hyperlink" Target="https://superi.ge/samsung-ue32t5300auxua/" TargetMode="External"/><Relationship Id="rId659" Type="http://schemas.openxmlformats.org/officeDocument/2006/relationships/hyperlink" Target="https://superi.ge/electrolux-ege6182nok/" TargetMode="External"/><Relationship Id="rId660" Type="http://schemas.openxmlformats.org/officeDocument/2006/relationships/hyperlink" Target="https://superi.ge/beko-oim-27201-a/" TargetMode="External"/><Relationship Id="rId661" Type="http://schemas.openxmlformats.org/officeDocument/2006/relationships/hyperlink" Target="https://superi.ge/bosch-hbf011br0q/" TargetMode="External"/><Relationship Id="rId662" Type="http://schemas.openxmlformats.org/officeDocument/2006/relationships/hyperlink" Target="https://superi.ge/bosch-hbf011bv0q/" TargetMode="External"/><Relationship Id="rId663" Type="http://schemas.openxmlformats.org/officeDocument/2006/relationships/hyperlink" Target="https://superi.ge/graetz-bo6504s01/" TargetMode="External"/><Relationship Id="rId664" Type="http://schemas.openxmlformats.org/officeDocument/2006/relationships/hyperlink" Target="https://superi.ge/beko-wsre7512prw/" TargetMode="External"/><Relationship Id="rId665" Type="http://schemas.openxmlformats.org/officeDocument/2006/relationships/hyperlink" Target="https://superi.ge/janome-clio-320/" TargetMode="External"/><Relationship Id="rId666" Type="http://schemas.openxmlformats.org/officeDocument/2006/relationships/hyperlink" Target="https://superi.ge/mayer-esaf-12mn1-35-40/" TargetMode="External"/><Relationship Id="rId667" Type="http://schemas.openxmlformats.org/officeDocument/2006/relationships/hyperlink" Target="https://superi.ge/chigo-cfd285-230/" TargetMode="External"/><Relationship Id="rId668" Type="http://schemas.openxmlformats.org/officeDocument/2006/relationships/hyperlink" Target="https://superi.ge/beko-rdsa240k30wn/" TargetMode="External"/><Relationship Id="rId669" Type="http://schemas.openxmlformats.org/officeDocument/2006/relationships/hyperlink" Target="https://superi.ge/indesit-bwse-81293x-wsv-ru/" TargetMode="External"/><Relationship Id="rId670" Type="http://schemas.openxmlformats.org/officeDocument/2006/relationships/hyperlink" Target="https://superi.ge/ardesto-frm-250ecm-249/" TargetMode="External"/><Relationship Id="rId671" Type="http://schemas.openxmlformats.org/officeDocument/2006/relationships/hyperlink" Target="https://superi.ge/tcl-tac-09chsa-tpg11i-25-30/" TargetMode="External"/><Relationship Id="rId672" Type="http://schemas.openxmlformats.org/officeDocument/2006/relationships/hyperlink" Target="https://superi.ge/vox-sfe09-aa-set/" TargetMode="External"/><Relationship Id="rId673" Type="http://schemas.openxmlformats.org/officeDocument/2006/relationships/hyperlink" Target="https://superi.ge/ardesto-swmg-7121w/" TargetMode="External"/><Relationship Id="rId674" Type="http://schemas.openxmlformats.org/officeDocument/2006/relationships/hyperlink" Target="https://superi.ge/philips-32pfs6805-12/" TargetMode="External"/><Relationship Id="rId675" Type="http://schemas.openxmlformats.org/officeDocument/2006/relationships/hyperlink" Target="https://superi.ge/beko-fse-62110-dw-superia/" TargetMode="External"/><Relationship Id="rId676" Type="http://schemas.openxmlformats.org/officeDocument/2006/relationships/hyperlink" Target="https://superi.ge/hoffmann-eoac-12k-35-40/" TargetMode="External"/><Relationship Id="rId677" Type="http://schemas.openxmlformats.org/officeDocument/2006/relationships/hyperlink" Target="https://superi.ge/vox-vsa7-9be-set/" TargetMode="External"/><Relationship Id="rId678" Type="http://schemas.openxmlformats.org/officeDocument/2006/relationships/hyperlink" Target="https://superi.ge/skytech-stv50n9100/" TargetMode="External"/><Relationship Id="rId679" Type="http://schemas.openxmlformats.org/officeDocument/2006/relationships/hyperlink" Target="https://superi.ge/vox-55a11u314b/" TargetMode="External"/><Relationship Id="rId680" Type="http://schemas.openxmlformats.org/officeDocument/2006/relationships/hyperlink" Target="https://superi.ge/vox-wm1290-t14d/" TargetMode="External"/><Relationship Id="rId681" Type="http://schemas.openxmlformats.org/officeDocument/2006/relationships/hyperlink" Target="https://superi.ge/sharp-scf-k270h-wh3-200l/" TargetMode="External"/><Relationship Id="rId682" Type="http://schemas.openxmlformats.org/officeDocument/2006/relationships/hyperlink" Target="https://superi.ge/indesit-bwsd-61051-wwv-ru/" TargetMode="External"/><Relationship Id="rId683" Type="http://schemas.openxmlformats.org/officeDocument/2006/relationships/hyperlink" Target="https://superi.ge/electrolux-gpe363nk/" TargetMode="External"/><Relationship Id="rId684" Type="http://schemas.openxmlformats.org/officeDocument/2006/relationships/hyperlink" Target="https://superi.ge/brother-elite-55/" TargetMode="External"/><Relationship Id="rId685" Type="http://schemas.openxmlformats.org/officeDocument/2006/relationships/hyperlink" Target="https://superi.ge/lg-32lm6370pla/" TargetMode="External"/><Relationship Id="rId686" Type="http://schemas.openxmlformats.org/officeDocument/2006/relationships/hyperlink" Target="https://superi.ge/210-22sn1323-210/" TargetMode="External"/><Relationship Id="rId687" Type="http://schemas.openxmlformats.org/officeDocument/2006/relationships/hyperlink" Target="https://superi.ge/dell-lcd-p2722he-210-azzb/" TargetMode="External"/><Relationship Id="rId688" Type="http://schemas.openxmlformats.org/officeDocument/2006/relationships/hyperlink" Target="https://superi.ge/gorenje-whe72sfs-7/" TargetMode="External"/><Relationship Id="rId689" Type="http://schemas.openxmlformats.org/officeDocument/2006/relationships/hyperlink" Target="https://superi.ge/franko-fih-1180/" TargetMode="External"/><Relationship Id="rId690" Type="http://schemas.openxmlformats.org/officeDocument/2006/relationships/hyperlink" Target="https://superi.ge/aux-asw-h09a4-qcr1-25-30/" TargetMode="External"/><Relationship Id="rId691" Type="http://schemas.openxmlformats.org/officeDocument/2006/relationships/hyperlink" Target="https://superi.ge/beko-bbfda-070-071/" TargetMode="External"/><Relationship Id="rId692" Type="http://schemas.openxmlformats.org/officeDocument/2006/relationships/hyperlink" Target="https://superi.ge/tcl-tac-12chsa-xa73-35-40/" TargetMode="External"/><Relationship Id="rId693" Type="http://schemas.openxmlformats.org/officeDocument/2006/relationships/hyperlink" Target="https://superi.ge/bosch-fel053ms2/" TargetMode="External"/><Relationship Id="rId694" Type="http://schemas.openxmlformats.org/officeDocument/2006/relationships/hyperlink" Target="https://superi.ge/beko-wsre-6512-prs/" TargetMode="External"/><Relationship Id="rId695" Type="http://schemas.openxmlformats.org/officeDocument/2006/relationships/hyperlink" Target="https://superi.ge/vestfrost-vw810ff4s-8/" TargetMode="External"/><Relationship Id="rId696" Type="http://schemas.openxmlformats.org/officeDocument/2006/relationships/hyperlink" Target="https://superi.ge/ninja-c35000eu-5-pcs/" TargetMode="External"/><Relationship Id="rId697" Type="http://schemas.openxmlformats.org/officeDocument/2006/relationships/hyperlink" Target="https://superi.ge/zilan-zln4681/" TargetMode="External"/><Relationship Id="rId698" Type="http://schemas.openxmlformats.org/officeDocument/2006/relationships/hyperlink" Target="https://superi.ge/beko-bbim13300xm-superia/" TargetMode="External"/><Relationship Id="rId699" Type="http://schemas.openxmlformats.org/officeDocument/2006/relationships/hyperlink" Target="https://superi.ge/vestfrost-vfa2wfs60sd6/" TargetMode="External"/><Relationship Id="rId700" Type="http://schemas.openxmlformats.org/officeDocument/2006/relationships/hyperlink" Target="https://superi.ge/2-xb-4/" TargetMode="External"/><Relationship Id="rId701" Type="http://schemas.openxmlformats.org/officeDocument/2006/relationships/hyperlink" Target="https://superi.ge/trinx-m116-pro/" TargetMode="External"/><Relationship Id="rId702" Type="http://schemas.openxmlformats.org/officeDocument/2006/relationships/hyperlink" Target="https://superi.ge/janome-se-7519/" TargetMode="External"/><Relationship Id="rId703" Type="http://schemas.openxmlformats.org/officeDocument/2006/relationships/hyperlink" Target="https://superi.ge/ersel-ehs1200ks/" TargetMode="External"/><Relationship Id="rId704" Type="http://schemas.openxmlformats.org/officeDocument/2006/relationships/hyperlink" Target="https://superi.ge/byintek-moon-k25-basic/" TargetMode="External"/><Relationship Id="rId705" Type="http://schemas.openxmlformats.org/officeDocument/2006/relationships/hyperlink" Target="https://superi.ge/janome-1522dg/" TargetMode="External"/><Relationship Id="rId706" Type="http://schemas.openxmlformats.org/officeDocument/2006/relationships/hyperlink" Target="https://superi.ge/janome-1522pg/" TargetMode="External"/><Relationship Id="rId707" Type="http://schemas.openxmlformats.org/officeDocument/2006/relationships/hyperlink" Target="https://superi.ge/chigo-cs-25h3a-b150ay8d-25-30/" TargetMode="External"/><Relationship Id="rId708" Type="http://schemas.openxmlformats.org/officeDocument/2006/relationships/hyperlink" Target="https://superi.ge/bosch-bgs41hyg1/" TargetMode="External"/><Relationship Id="rId709" Type="http://schemas.openxmlformats.org/officeDocument/2006/relationships/hyperlink" Target="https://superi.ge/samsung-curved-gaming-odyssey-g5-ls32cg550eixci-32/" TargetMode="External"/><Relationship Id="rId710" Type="http://schemas.openxmlformats.org/officeDocument/2006/relationships/hyperlink" Target="https://superi.ge/beko-bbim12300xm/" TargetMode="External"/><Relationship Id="rId711" Type="http://schemas.openxmlformats.org/officeDocument/2006/relationships/hyperlink" Target="https://superi.ge/hosseven-hdu-10-100-black/" TargetMode="External"/><Relationship Id="rId712" Type="http://schemas.openxmlformats.org/officeDocument/2006/relationships/hyperlink" Target="https://superi.ge/hosseven-hdu-10-100-beige/" TargetMode="External"/><Relationship Id="rId713" Type="http://schemas.openxmlformats.org/officeDocument/2006/relationships/hyperlink" Target="https://superi.ge/hyundai-hcb-c4205-1800w/" TargetMode="External"/><Relationship Id="rId714" Type="http://schemas.openxmlformats.org/officeDocument/2006/relationships/hyperlink" Target="https://superi.ge/bestway-56418/" TargetMode="External"/><Relationship Id="rId715" Type="http://schemas.openxmlformats.org/officeDocument/2006/relationships/hyperlink" Target="https://superi.ge/intex-26716/" TargetMode="External"/><Relationship Id="rId716" Type="http://schemas.openxmlformats.org/officeDocument/2006/relationships/hyperlink" Target="https://superi.ge/ninja-af400eu/" TargetMode="External"/><Relationship Id="rId717" Type="http://schemas.openxmlformats.org/officeDocument/2006/relationships/hyperlink" Target="https://superi.ge/ninja-ag551eu-2in1/" TargetMode="External"/><Relationship Id="rId718" Type="http://schemas.openxmlformats.org/officeDocument/2006/relationships/hyperlink" Target="https://superi.ge/hagen-hrbf1825w/" TargetMode="External"/><Relationship Id="rId719" Type="http://schemas.openxmlformats.org/officeDocument/2006/relationships/hyperlink" Target="https://superi.ge/dell-s2721hgf-curved/" TargetMode="External"/><Relationship Id="rId720" Type="http://schemas.openxmlformats.org/officeDocument/2006/relationships/hyperlink" Target="https://superi.ge/lg-a9n-prime-bbwqcis/" TargetMode="External"/><Relationship Id="rId721" Type="http://schemas.openxmlformats.org/officeDocument/2006/relationships/hyperlink" Target="https://superi.ge/midea-m3s/" TargetMode="External"/><Relationship Id="rId722" Type="http://schemas.openxmlformats.org/officeDocument/2006/relationships/hyperlink" Target="https://superi.ge/gorenje-gs520e15w/" TargetMode="External"/><Relationship Id="rId723" Type="http://schemas.openxmlformats.org/officeDocument/2006/relationships/hyperlink" Target="https://superi.ge/gorenje-whe60sfs/" TargetMode="External"/><Relationship Id="rId724" Type="http://schemas.openxmlformats.org/officeDocument/2006/relationships/hyperlink" Target="https://superi.ge/sharp-scf-k200hl-wh3-145l/" TargetMode="External"/><Relationship Id="rId725" Type="http://schemas.openxmlformats.org/officeDocument/2006/relationships/hyperlink" Target="https://superi.ge/tcl-43p745/" TargetMode="External"/><Relationship Id="rId726" Type="http://schemas.openxmlformats.org/officeDocument/2006/relationships/hyperlink" Target="https://superi.ge/hosseven-hhs-9-80/" TargetMode="External"/><Relationship Id="rId727" Type="http://schemas.openxmlformats.org/officeDocument/2006/relationships/hyperlink" Target="https://superi.ge/chigo-cwf704g-7/" TargetMode="External"/><Relationship Id="rId728" Type="http://schemas.openxmlformats.org/officeDocument/2006/relationships/hyperlink" Target="https://superi.ge/ninja-af451eu-9-5-l/" TargetMode="External"/><Relationship Id="rId729" Type="http://schemas.openxmlformats.org/officeDocument/2006/relationships/hyperlink" Target="https://superi.ge/akog-4-sp-45-graphit/" TargetMode="External"/><Relationship Id="rId730" Type="http://schemas.openxmlformats.org/officeDocument/2006/relationships/hyperlink" Target="https://superi.ge/vestel-sd220w/" TargetMode="External"/><Relationship Id="rId731" Type="http://schemas.openxmlformats.org/officeDocument/2006/relationships/hyperlink" Target="https://superi.ge/brother-artwork-37a/" TargetMode="External"/><Relationship Id="rId732" Type="http://schemas.openxmlformats.org/officeDocument/2006/relationships/hyperlink" Target="https://superi.ge/bestway-15428/" TargetMode="External"/><Relationship Id="rId733" Type="http://schemas.openxmlformats.org/officeDocument/2006/relationships/hyperlink" Target="https://superi.ge/hyperx-367502-blast/" TargetMode="External"/><Relationship Id="rId734" Type="http://schemas.openxmlformats.org/officeDocument/2006/relationships/hyperlink" Target="https://superi.ge/bosch-dwb64bc52/" TargetMode="External"/><Relationship Id="rId735" Type="http://schemas.openxmlformats.org/officeDocument/2006/relationships/hyperlink" Target="https://superi.ge/product-12106/" TargetMode="External"/><Relationship Id="rId736" Type="http://schemas.openxmlformats.org/officeDocument/2006/relationships/hyperlink" Target="https://superi.ge/bmw-5ft-968/" TargetMode="External"/><Relationship Id="rId737" Type="http://schemas.openxmlformats.org/officeDocument/2006/relationships/hyperlink" Target="https://superi.ge/totem-bernard-27-5/" TargetMode="External"/><Relationship Id="rId738" Type="http://schemas.openxmlformats.org/officeDocument/2006/relationships/hyperlink" Target="https://superi.ge/alneo-09chsa-xac1-25-30/" TargetMode="External"/><Relationship Id="rId739" Type="http://schemas.openxmlformats.org/officeDocument/2006/relationships/hyperlink" Target="https://superi.ge/midea-gmcc-mwf-09crn8-25-30/" TargetMode="External"/><Relationship Id="rId740" Type="http://schemas.openxmlformats.org/officeDocument/2006/relationships/hyperlink" Target="https://superi.ge/samsung-mc32db7746kcbw/" TargetMode="External"/><Relationship Id="rId741" Type="http://schemas.openxmlformats.org/officeDocument/2006/relationships/hyperlink" Target="https://superi.ge/bosch-bgs21pow2/" TargetMode="External"/><Relationship Id="rId742" Type="http://schemas.openxmlformats.org/officeDocument/2006/relationships/hyperlink" Target="https://superi.ge/indesit-win610s-6kg/" TargetMode="External"/><Relationship Id="rId743" Type="http://schemas.openxmlformats.org/officeDocument/2006/relationships/hyperlink" Target="https://superi.ge/regal-regal-ty7454w-7/" TargetMode="External"/><Relationship Id="rId744" Type="http://schemas.openxmlformats.org/officeDocument/2006/relationships/hyperlink" Target="https://superi.ge/toshiba-tw-bl70a2uz-ss-6/" TargetMode="External"/><Relationship Id="rId745" Type="http://schemas.openxmlformats.org/officeDocument/2006/relationships/hyperlink" Target="https://superi.ge/vestfrost-vw712ft2w/" TargetMode="External"/><Relationship Id="rId746" Type="http://schemas.openxmlformats.org/officeDocument/2006/relationships/hyperlink" Target="https://superi.ge/hisense-fc-26dd4sa/" TargetMode="External"/><Relationship Id="rId747" Type="http://schemas.openxmlformats.org/officeDocument/2006/relationships/hyperlink" Target="https://superi.ge/midea-mo-37001-gb/" TargetMode="External"/><Relationship Id="rId748" Type="http://schemas.openxmlformats.org/officeDocument/2006/relationships/hyperlink" Target="https://superi.ge/dingqi-108010/" TargetMode="External"/><Relationship Id="rId749" Type="http://schemas.openxmlformats.org/officeDocument/2006/relationships/hyperlink" Target="https://superi.ge/bestway-56424/" TargetMode="External"/><Relationship Id="rId750" Type="http://schemas.openxmlformats.org/officeDocument/2006/relationships/hyperlink" Target="https://superi.ge/evii-rk-1237-retro-black/" TargetMode="External"/><Relationship Id="rId751" Type="http://schemas.openxmlformats.org/officeDocument/2006/relationships/hyperlink" Target="https://superi.ge/samsung-sm-a085f-galaxy-a08-6gb-128gb-lte-duos-dark-blue/" TargetMode="External"/><Relationship Id="rId752" Type="http://schemas.openxmlformats.org/officeDocument/2006/relationships/hyperlink" Target="https://superi.ge/product-8896/" TargetMode="External"/><Relationship Id="rId753" Type="http://schemas.openxmlformats.org/officeDocument/2006/relationships/hyperlink" Target="https://superi.ge/vestel-w610t2ds/" TargetMode="External"/><Relationship Id="rId754" Type="http://schemas.openxmlformats.org/officeDocument/2006/relationships/hyperlink" Target="https://superi.ge/tcl-43s5400a-2023-109/" TargetMode="External"/><Relationship Id="rId755" Type="http://schemas.openxmlformats.org/officeDocument/2006/relationships/hyperlink" Target="https://superi.ge/smeg-tsf01bleu-black/" TargetMode="External"/><Relationship Id="rId756" Type="http://schemas.openxmlformats.org/officeDocument/2006/relationships/hyperlink" Target="https://superi.ge/guswing-17051234/" TargetMode="External"/><Relationship Id="rId757" Type="http://schemas.openxmlformats.org/officeDocument/2006/relationships/hyperlink" Target="https://superi.ge/vox-kg-2500-bf/" TargetMode="External"/><Relationship Id="rId758" Type="http://schemas.openxmlformats.org/officeDocument/2006/relationships/hyperlink" Target="https://superi.ge/vestfrost-vw510ff4w/" TargetMode="External"/><Relationship Id="rId759" Type="http://schemas.openxmlformats.org/officeDocument/2006/relationships/hyperlink" Target="https://superi.ge/brother-artwork-33a/" TargetMode="External"/><Relationship Id="rId760" Type="http://schemas.openxmlformats.org/officeDocument/2006/relationships/hyperlink" Target="https://superi.ge/brother-vitrage-m77/" TargetMode="External"/><Relationship Id="rId761" Type="http://schemas.openxmlformats.org/officeDocument/2006/relationships/hyperlink" Target="https://superi.ge/hecht-2026/" TargetMode="External"/><Relationship Id="rId762" Type="http://schemas.openxmlformats.org/officeDocument/2006/relationships/hyperlink" Target="https://superi.ge/akog-4-sp-40-black/" TargetMode="External"/><Relationship Id="rId763" Type="http://schemas.openxmlformats.org/officeDocument/2006/relationships/hyperlink" Target="https://superi.ge/trenton-balcony-capc-nw-oat-008-std/" TargetMode="External"/><Relationship Id="rId764" Type="http://schemas.openxmlformats.org/officeDocument/2006/relationships/hyperlink" Target="https://superi.ge/akog-3-sp-35-beige/" TargetMode="External"/><Relationship Id="rId765" Type="http://schemas.openxmlformats.org/officeDocument/2006/relationships/hyperlink" Target="https://superi.ge/akog-3-sp-35-graphite/" TargetMode="External"/><Relationship Id="rId766" Type="http://schemas.openxmlformats.org/officeDocument/2006/relationships/hyperlink" Target="https://superi.ge/akog-5-h-60-beige/" TargetMode="External"/><Relationship Id="rId767" Type="http://schemas.openxmlformats.org/officeDocument/2006/relationships/hyperlink" Target="https://superi.ge/intex-28273/" TargetMode="External"/><Relationship Id="rId768" Type="http://schemas.openxmlformats.org/officeDocument/2006/relationships/hyperlink" Target="https://superi.ge/ronix-rc-5010/" TargetMode="External"/><Relationship Id="rId769" Type="http://schemas.openxmlformats.org/officeDocument/2006/relationships/hyperlink" Target="https://superi.ge/hoffmann-eoac-9k-20-30/" TargetMode="External"/><Relationship Id="rId770" Type="http://schemas.openxmlformats.org/officeDocument/2006/relationships/hyperlink" Target="https://superi.ge/samsung-ms23a7118aw-bw/" TargetMode="External"/><Relationship Id="rId771" Type="http://schemas.openxmlformats.org/officeDocument/2006/relationships/hyperlink" Target="https://superi.ge/super-270-vc-270/" TargetMode="External"/><Relationship Id="rId772" Type="http://schemas.openxmlformats.org/officeDocument/2006/relationships/hyperlink" Target="https://superi.ge/daewoo-wm610t1wu0ge-6/" TargetMode="External"/><Relationship Id="rId773" Type="http://schemas.openxmlformats.org/officeDocument/2006/relationships/hyperlink" Target="https://superi.ge/vestel-w508t1/" TargetMode="External"/><Relationship Id="rId774" Type="http://schemas.openxmlformats.org/officeDocument/2006/relationships/hyperlink" Target="https://superi.ge/patio-tora-h031-05pb-17050907/" TargetMode="External"/><Relationship Id="rId775" Type="http://schemas.openxmlformats.org/officeDocument/2006/relationships/hyperlink" Target="https://superi.ge/midea-mg631gab/" TargetMode="External"/><Relationship Id="rId776" Type="http://schemas.openxmlformats.org/officeDocument/2006/relationships/hyperlink" Target="https://superi.ge/vox-ebb6505/" TargetMode="External"/><Relationship Id="rId777" Type="http://schemas.openxmlformats.org/officeDocument/2006/relationships/hyperlink" Target="https://superi.ge/vestfrost-vw48ff2w/" TargetMode="External"/><Relationship Id="rId778" Type="http://schemas.openxmlformats.org/officeDocument/2006/relationships/hyperlink" Target="https://superi.ge/ersel-ehs-5000-ks-60-80-black/" TargetMode="External"/><Relationship Id="rId779" Type="http://schemas.openxmlformats.org/officeDocument/2006/relationships/hyperlink" Target="https://superi.ge/beko-cwb-6410-cr/" TargetMode="External"/><Relationship Id="rId780" Type="http://schemas.openxmlformats.org/officeDocument/2006/relationships/hyperlink" Target="https://superi.ge/smeg-klf03bleu-black/" TargetMode="External"/><Relationship Id="rId781" Type="http://schemas.openxmlformats.org/officeDocument/2006/relationships/hyperlink" Target="https://superi.ge/bosch-bgc21hyg1/" TargetMode="External"/><Relationship Id="rId782" Type="http://schemas.openxmlformats.org/officeDocument/2006/relationships/hyperlink" Target="https://superi.ge/marazzi-wm701fl22-s-dg/" TargetMode="External"/><Relationship Id="rId783" Type="http://schemas.openxmlformats.org/officeDocument/2006/relationships/hyperlink" Target="https://superi.ge/ardesto-frm-200ecm-195/" TargetMode="External"/><Relationship Id="rId784" Type="http://schemas.openxmlformats.org/officeDocument/2006/relationships/hyperlink" Target="https://superi.ge/smeg-tsf01pgeu-pastel-green/" TargetMode="External"/><Relationship Id="rId785" Type="http://schemas.openxmlformats.org/officeDocument/2006/relationships/hyperlink" Target="https://superi.ge/beko-hinw-64229-s/" TargetMode="External"/><Relationship Id="rId786" Type="http://schemas.openxmlformats.org/officeDocument/2006/relationships/hyperlink" Target="https://superi.ge/trinx-junior-3-0/" TargetMode="External"/><Relationship Id="rId787" Type="http://schemas.openxmlformats.org/officeDocument/2006/relationships/hyperlink" Target="https://superi.ge/janome-1547/" TargetMode="External"/><Relationship Id="rId788" Type="http://schemas.openxmlformats.org/officeDocument/2006/relationships/hyperlink" Target="https://superi.ge/akog-2-sp-25-beige/" TargetMode="External"/><Relationship Id="rId789" Type="http://schemas.openxmlformats.org/officeDocument/2006/relationships/hyperlink" Target="https://superi.ge/akog-2sp-25-black/" TargetMode="External"/><Relationship Id="rId790" Type="http://schemas.openxmlformats.org/officeDocument/2006/relationships/hyperlink" Target="https://superi.ge/millen-ft6400gbzb/" TargetMode="External"/><Relationship Id="rId791" Type="http://schemas.openxmlformats.org/officeDocument/2006/relationships/hyperlink" Target="https://superi.ge/vox-gtr-6400w/" TargetMode="External"/><Relationship Id="rId792" Type="http://schemas.openxmlformats.org/officeDocument/2006/relationships/hyperlink" Target="https://superi.ge/electrolux-egs6436sx/" TargetMode="External"/><Relationship Id="rId793" Type="http://schemas.openxmlformats.org/officeDocument/2006/relationships/hyperlink" Target="https://superi.ge/hp-laser-mfp-137fnw-4zb84a/" TargetMode="External"/><Relationship Id="rId794" Type="http://schemas.openxmlformats.org/officeDocument/2006/relationships/hyperlink" Target="https://superi.ge/singer-standard-smc-8280-00/" TargetMode="External"/><Relationship Id="rId795" Type="http://schemas.openxmlformats.org/officeDocument/2006/relationships/hyperlink" Target="https://superi.ge/franko-fig-9002/" TargetMode="External"/><Relationship Id="rId796" Type="http://schemas.openxmlformats.org/officeDocument/2006/relationships/hyperlink" Target="https://superi.ge/philips-hd9252-90-4-1-l/" TargetMode="External"/><Relationship Id="rId797" Type="http://schemas.openxmlformats.org/officeDocument/2006/relationships/hyperlink" Target="https://superi.ge/tefal-ey501d15-4-2/" TargetMode="External"/><Relationship Id="rId798" Type="http://schemas.openxmlformats.org/officeDocument/2006/relationships/hyperlink" Target="https://superi.ge/beko-adv-5160-ran/" TargetMode="External"/><Relationship Id="rId799" Type="http://schemas.openxmlformats.org/officeDocument/2006/relationships/hyperlink" Target="https://superi.ge/bosch-dwp64cc20t/" TargetMode="External"/><Relationship Id="rId800" Type="http://schemas.openxmlformats.org/officeDocument/2006/relationships/hyperlink" Target="https://superi.ge/millen-mac-09k-25-30/" TargetMode="External"/><Relationship Id="rId801" Type="http://schemas.openxmlformats.org/officeDocument/2006/relationships/hyperlink" Target="https://superi.ge/gorenje-rb491pw/" TargetMode="External"/><Relationship Id="rId802" Type="http://schemas.openxmlformats.org/officeDocument/2006/relationships/hyperlink" Target="https://superi.ge/ecoflow-river-2/" TargetMode="External"/><Relationship Id="rId803" Type="http://schemas.openxmlformats.org/officeDocument/2006/relationships/hyperlink" Target="https://superi.ge/skytech-stv43n9100/" TargetMode="External"/><Relationship Id="rId804" Type="http://schemas.openxmlformats.org/officeDocument/2006/relationships/hyperlink" Target="https://superi.ge/midea-mg684tgw/" TargetMode="External"/><Relationship Id="rId805" Type="http://schemas.openxmlformats.org/officeDocument/2006/relationships/hyperlink" Target="https://superi.ge/midea-mg696tgb/" TargetMode="External"/><Relationship Id="rId806" Type="http://schemas.openxmlformats.org/officeDocument/2006/relationships/hyperlink" Target="https://superi.ge/ardesto-frm-145ecm-142/" TargetMode="External"/><Relationship Id="rId807" Type="http://schemas.openxmlformats.org/officeDocument/2006/relationships/hyperlink" Target="https://superi.ge/hisense-dt27dr4-silver/" TargetMode="External"/><Relationship Id="rId808" Type="http://schemas.openxmlformats.org/officeDocument/2006/relationships/hyperlink" Target="https://superi.ge/ersel-ehs-4000-ks-40-60-black/" TargetMode="External"/><Relationship Id="rId809" Type="http://schemas.openxmlformats.org/officeDocument/2006/relationships/hyperlink" Target="https://superi.ge/bestway-56405/" TargetMode="External"/><Relationship Id="rId810" Type="http://schemas.openxmlformats.org/officeDocument/2006/relationships/hyperlink" Target="https://superi.ge/bosch-mes25a0/" TargetMode="External"/><Relationship Id="rId811" Type="http://schemas.openxmlformats.org/officeDocument/2006/relationships/hyperlink" Target="https://superi.ge/fujiyama-fhs-4000-k-40-white/" TargetMode="External"/><Relationship Id="rId812" Type="http://schemas.openxmlformats.org/officeDocument/2006/relationships/hyperlink" Target="https://superi.ge/ilife-h70-cordless-stick-vacuum-cleaner/" TargetMode="External"/><Relationship Id="rId813" Type="http://schemas.openxmlformats.org/officeDocument/2006/relationships/hyperlink" Target="https://superi.ge/janome-high-style-1818/" TargetMode="External"/><Relationship Id="rId814" Type="http://schemas.openxmlformats.org/officeDocument/2006/relationships/hyperlink" Target="https://superi.ge/samsung-na64h3010as-wt/" TargetMode="External"/><Relationship Id="rId815" Type="http://schemas.openxmlformats.org/officeDocument/2006/relationships/hyperlink" Target="https://superi.ge/kenwood-mg520/" TargetMode="External"/><Relationship Id="rId816" Type="http://schemas.openxmlformats.org/officeDocument/2006/relationships/hyperlink" Target="https://superi.ge/electrolux-efc226r/" TargetMode="External"/><Relationship Id="rId817" Type="http://schemas.openxmlformats.org/officeDocument/2006/relationships/hyperlink" Target="https://superi.ge/ugreen-sc200-200w/" TargetMode="External"/><Relationship Id="rId818" Type="http://schemas.openxmlformats.org/officeDocument/2006/relationships/hyperlink" Target="https://superi.ge/beko-bss-4600-tt-set/" TargetMode="External"/><Relationship Id="rId819" Type="http://schemas.openxmlformats.org/officeDocument/2006/relationships/hyperlink" Target="https://superi.ge/ardesto-urm-85m90-83/" TargetMode="External"/><Relationship Id="rId820" Type="http://schemas.openxmlformats.org/officeDocument/2006/relationships/hyperlink" Target="https://superi.ge/allibert-rosario-graphite-ka/" TargetMode="External"/><Relationship Id="rId821" Type="http://schemas.openxmlformats.org/officeDocument/2006/relationships/hyperlink" Target="https://superi.ge/midea-mh60c785x/" TargetMode="External"/><Relationship Id="rId822" Type="http://schemas.openxmlformats.org/officeDocument/2006/relationships/hyperlink" Target="https://superi.ge/tefal-k232s574-5pcs/" TargetMode="External"/><Relationship Id="rId823" Type="http://schemas.openxmlformats.org/officeDocument/2006/relationships/hyperlink" Target="https://superi.ge/vestel-rs200lr3m-w/" TargetMode="External"/><Relationship Id="rId824" Type="http://schemas.openxmlformats.org/officeDocument/2006/relationships/hyperlink" Target="https://superi.ge/rowenta-ro3786ea/" TargetMode="External"/><Relationship Id="rId825" Type="http://schemas.openxmlformats.org/officeDocument/2006/relationships/hyperlink" Target="https://superi.ge/midea-mg631sas/" TargetMode="External"/><Relationship Id="rId826" Type="http://schemas.openxmlformats.org/officeDocument/2006/relationships/hyperlink" Target="https://superi.ge/bosch-bbhf214r/" TargetMode="External"/><Relationship Id="rId827" Type="http://schemas.openxmlformats.org/officeDocument/2006/relationships/hyperlink" Target="https://superi.ge/harman-kardon-fly-tws/" TargetMode="External"/><Relationship Id="rId828" Type="http://schemas.openxmlformats.org/officeDocument/2006/relationships/hyperlink" Target="https://superi.ge/akog-3-h-sit-35-beige/" TargetMode="External"/><Relationship Id="rId829" Type="http://schemas.openxmlformats.org/officeDocument/2006/relationships/hyperlink" Target="https://superi.ge/skytech-stv40n9100/" TargetMode="External"/><Relationship Id="rId830" Type="http://schemas.openxmlformats.org/officeDocument/2006/relationships/hyperlink" Target="https://superi.ge/fakir-torque-pro-2000/" TargetMode="External"/><Relationship Id="rId831" Type="http://schemas.openxmlformats.org/officeDocument/2006/relationships/hyperlink" Target="https://superi.ge/gred-star-10-blue/" TargetMode="External"/><Relationship Id="rId832" Type="http://schemas.openxmlformats.org/officeDocument/2006/relationships/hyperlink" Target="https://superi.ge/210-23sn2675-210/" TargetMode="External"/><Relationship Id="rId833" Type="http://schemas.openxmlformats.org/officeDocument/2006/relationships/hyperlink" Target="https://superi.ge/burio-electric-screen-200x200cm-br8484e/" TargetMode="External"/><Relationship Id="rId834" Type="http://schemas.openxmlformats.org/officeDocument/2006/relationships/hyperlink" Target="https://superi.ge/allscreen-cmp-8080b-with/" TargetMode="External"/><Relationship Id="rId835" Type="http://schemas.openxmlformats.org/officeDocument/2006/relationships/hyperlink" Target="https://superi.ge/bestway-56416/" TargetMode="External"/><Relationship Id="rId836" Type="http://schemas.openxmlformats.org/officeDocument/2006/relationships/hyperlink" Target="https://superi.ge/janome-2121/" TargetMode="External"/><Relationship Id="rId837" Type="http://schemas.openxmlformats.org/officeDocument/2006/relationships/hyperlink" Target="https://superi.ge/janome-2252/" TargetMode="External"/><Relationship Id="rId838" Type="http://schemas.openxmlformats.org/officeDocument/2006/relationships/hyperlink" Target="https://superi.ge/ingco-ac20248/" TargetMode="External"/><Relationship Id="rId839" Type="http://schemas.openxmlformats.org/officeDocument/2006/relationships/hyperlink" Target="https://superi.ge/samsung-mg23t5018ap-bw/" TargetMode="External"/><Relationship Id="rId840" Type="http://schemas.openxmlformats.org/officeDocument/2006/relationships/hyperlink" Target="https://superi.ge/janome-artstyle-4045/" TargetMode="External"/><Relationship Id="rId841" Type="http://schemas.openxmlformats.org/officeDocument/2006/relationships/hyperlink" Target="https://superi.ge/janome-mx55/" TargetMode="External"/><Relationship Id="rId842" Type="http://schemas.openxmlformats.org/officeDocument/2006/relationships/hyperlink" Target="https://superi.ge/gred-star-8-colorful/" TargetMode="External"/><Relationship Id="rId843" Type="http://schemas.openxmlformats.org/officeDocument/2006/relationships/hyperlink" Target="https://superi.ge/beko-frl-5388b-air-fryer/" TargetMode="External"/><Relationship Id="rId844" Type="http://schemas.openxmlformats.org/officeDocument/2006/relationships/hyperlink" Target="https://superi.ge/iowa-balcony-grap-cus-cl-gr-008-std/" TargetMode="External"/><Relationship Id="rId845" Type="http://schemas.openxmlformats.org/officeDocument/2006/relationships/hyperlink" Target="https://superi.ge/bosch-dft63ca60q/" TargetMode="External"/><Relationship Id="rId846" Type="http://schemas.openxmlformats.org/officeDocument/2006/relationships/hyperlink" Target="https://superi.ge/bosch-ffl020mw0/" TargetMode="External"/><Relationship Id="rId847" Type="http://schemas.openxmlformats.org/officeDocument/2006/relationships/hyperlink" Target="https://superi.ge/samsung-ms20a7013ab-bw/" TargetMode="External"/><Relationship Id="rId848" Type="http://schemas.openxmlformats.org/officeDocument/2006/relationships/hyperlink" Target="https://superi.ge/gorenje-vce03sprcy/" TargetMode="External"/><Relationship Id="rId849" Type="http://schemas.openxmlformats.org/officeDocument/2006/relationships/hyperlink" Target="https://superi.ge/blaupunkt-32fbg5010s-81/" TargetMode="External"/><Relationship Id="rId850" Type="http://schemas.openxmlformats.org/officeDocument/2006/relationships/hyperlink" Target="https://superi.ge/midea-60sk005/" TargetMode="External"/><Relationship Id="rId851" Type="http://schemas.openxmlformats.org/officeDocument/2006/relationships/hyperlink" Target="https://superi.ge/al-ko-classic-3-82-se-1400-w/" TargetMode="External"/><Relationship Id="rId852" Type="http://schemas.openxmlformats.org/officeDocument/2006/relationships/hyperlink" Target="https://superi.ge/ingco-ac25508/" TargetMode="External"/><Relationship Id="rId853" Type="http://schemas.openxmlformats.org/officeDocument/2006/relationships/hyperlink" Target="https://superi.ge/gorenje-svc252fmbk/" TargetMode="External"/><Relationship Id="rId854" Type="http://schemas.openxmlformats.org/officeDocument/2006/relationships/hyperlink" Target="https://superi.ge/vox-em2101/" TargetMode="External"/><Relationship Id="rId855" Type="http://schemas.openxmlformats.org/officeDocument/2006/relationships/hyperlink" Target="https://superi.ge/bosch-mfw2520w/" TargetMode="External"/><Relationship Id="rId856" Type="http://schemas.openxmlformats.org/officeDocument/2006/relationships/hyperlink" Target="https://superi.ge/allx-sk8825/" TargetMode="External"/><Relationship Id="rId857" Type="http://schemas.openxmlformats.org/officeDocument/2006/relationships/hyperlink" Target="https://superi.ge/brother-okinawa/" TargetMode="External"/><Relationship Id="rId858" Type="http://schemas.openxmlformats.org/officeDocument/2006/relationships/hyperlink" Target="https://superi.ge/yenkee-ygc-100rd-sabotage/" TargetMode="External"/><Relationship Id="rId859" Type="http://schemas.openxmlformats.org/officeDocument/2006/relationships/hyperlink" Target="https://superi.ge/dingqi-108005/" TargetMode="External"/><Relationship Id="rId860" Type="http://schemas.openxmlformats.org/officeDocument/2006/relationships/hyperlink" Target="https://superi.ge/bosch-bchf2mx20/" TargetMode="External"/><Relationship Id="rId861" Type="http://schemas.openxmlformats.org/officeDocument/2006/relationships/hyperlink" Target="https://superi.ge/bosch-rdw1276/" TargetMode="External"/><Relationship Id="rId862" Type="http://schemas.openxmlformats.org/officeDocument/2006/relationships/hyperlink" Target="https://superi.ge/brother-js27/" TargetMode="External"/><Relationship Id="rId863" Type="http://schemas.openxmlformats.org/officeDocument/2006/relationships/hyperlink" Target="https://superi.ge/intex-28202/" TargetMode="External"/><Relationship Id="rId864" Type="http://schemas.openxmlformats.org/officeDocument/2006/relationships/hyperlink" Target="https://superi.ge/beko-bss-2210-set/" TargetMode="External"/><Relationship Id="rId865" Type="http://schemas.openxmlformats.org/officeDocument/2006/relationships/hyperlink" Target="https://superi.ge/camry-cr8073/" TargetMode="External"/><Relationship Id="rId866" Type="http://schemas.openxmlformats.org/officeDocument/2006/relationships/hyperlink" Target="https://superi.ge/dixi-byb110-3-silver/" TargetMode="External"/><Relationship Id="rId867" Type="http://schemas.openxmlformats.org/officeDocument/2006/relationships/hyperlink" Target="https://superi.ge/jifa-jfs1601-120-w/" TargetMode="External"/><Relationship Id="rId868" Type="http://schemas.openxmlformats.org/officeDocument/2006/relationships/hyperlink" Target="https://superi.ge/hecht-3690-bluesea/" TargetMode="External"/><Relationship Id="rId869" Type="http://schemas.openxmlformats.org/officeDocument/2006/relationships/hyperlink" Target="https://superi.ge/hilton-set-sps-h010-119x67x82-70x66x81-96x59x40/" TargetMode="External"/><Relationship Id="rId870" Type="http://schemas.openxmlformats.org/officeDocument/2006/relationships/hyperlink" Target="https://superi.ge/ninja-bn750eu/" TargetMode="External"/><Relationship Id="rId871" Type="http://schemas.openxmlformats.org/officeDocument/2006/relationships/hyperlink" Target="https://superi.ge/midea-60j72/" TargetMode="External"/><Relationship Id="rId872" Type="http://schemas.openxmlformats.org/officeDocument/2006/relationships/hyperlink" Target="https://superi.ge/toshiba-rwf-w1766tge-w/" TargetMode="External"/><Relationship Id="rId873" Type="http://schemas.openxmlformats.org/officeDocument/2006/relationships/hyperlink" Target="https://superi.ge/vox-ks-1200-f/" TargetMode="External"/><Relationship Id="rId874" Type="http://schemas.openxmlformats.org/officeDocument/2006/relationships/hyperlink" Target="https://superi.ge/gorenje-vcea03gapracy/" TargetMode="External"/><Relationship Id="rId875" Type="http://schemas.openxmlformats.org/officeDocument/2006/relationships/hyperlink" Target="https://superi.ge/karcher-vc-3-1-198-053-0/" TargetMode="External"/><Relationship Id="rId876" Type="http://schemas.openxmlformats.org/officeDocument/2006/relationships/hyperlink" Target="https://superi.ge/dingqi-13010113-350w-13mm/" TargetMode="External"/><Relationship Id="rId877" Type="http://schemas.openxmlformats.org/officeDocument/2006/relationships/hyperlink" Target="https://superi.ge/sencor-sbu-7878bk/" TargetMode="External"/><Relationship Id="rId878" Type="http://schemas.openxmlformats.org/officeDocument/2006/relationships/hyperlink" Target="https://superi.ge/gorenje-vc2303galbkcy/" TargetMode="External"/><Relationship Id="rId879" Type="http://schemas.openxmlformats.org/officeDocument/2006/relationships/hyperlink" Target="https://superi.ge/ingco-1800-mx218008/" TargetMode="External"/><Relationship Id="rId880" Type="http://schemas.openxmlformats.org/officeDocument/2006/relationships/hyperlink" Target="https://superi.ge/millen-ty-lwyr87w/" TargetMode="External"/><Relationship Id="rId881" Type="http://schemas.openxmlformats.org/officeDocument/2006/relationships/hyperlink" Target="https://superi.ge/nikai-nrf125ss1-silver/" TargetMode="External"/><Relationship Id="rId882" Type="http://schemas.openxmlformats.org/officeDocument/2006/relationships/hyperlink" Target="https://superi.ge/beko-ctb-6250-b/" TargetMode="External"/><Relationship Id="rId883" Type="http://schemas.openxmlformats.org/officeDocument/2006/relationships/hyperlink" Target="https://superi.ge/samsung-vc15k4130hb/" TargetMode="External"/><Relationship Id="rId884" Type="http://schemas.openxmlformats.org/officeDocument/2006/relationships/hyperlink" Target="https://superi.ge/bestway-56408/" TargetMode="External"/><Relationship Id="rId885" Type="http://schemas.openxmlformats.org/officeDocument/2006/relationships/hyperlink" Target="https://superi.ge/intex-28142-84-x-396/" TargetMode="External"/><Relationship Id="rId886" Type="http://schemas.openxmlformats.org/officeDocument/2006/relationships/hyperlink" Target="https://superi.ge/canon-c-exv34-cyan-3783b002aa/" TargetMode="External"/><Relationship Id="rId887" Type="http://schemas.openxmlformats.org/officeDocument/2006/relationships/hyperlink" Target="https://superi.ge/canon-c-exv34-magenta-3784b002aa/" TargetMode="External"/><Relationship Id="rId888" Type="http://schemas.openxmlformats.org/officeDocument/2006/relationships/hyperlink" Target="https://superi.ge/canon-c-exv34-yellow-3785b002aa/" TargetMode="External"/><Relationship Id="rId889" Type="http://schemas.openxmlformats.org/officeDocument/2006/relationships/hyperlink" Target="https://superi.ge/lego-jurassic-worlf-t-rex-and-atrociraptor-dinosaur/" TargetMode="External"/><Relationship Id="rId890" Type="http://schemas.openxmlformats.org/officeDocument/2006/relationships/hyperlink" Target="https://superi.ge/alneo-ylr2-88b/" TargetMode="External"/><Relationship Id="rId891" Type="http://schemas.openxmlformats.org/officeDocument/2006/relationships/hyperlink" Target="https://superi.ge/nexus/" TargetMode="External"/><Relationship Id="rId892" Type="http://schemas.openxmlformats.org/officeDocument/2006/relationships/hyperlink" Target="https://superi.ge/sc-094-sc-092/" TargetMode="External"/><Relationship Id="rId893" Type="http://schemas.openxmlformats.org/officeDocument/2006/relationships/hyperlink" Target="https://superi.ge/beko-cwb-6441-bna/" TargetMode="External"/><Relationship Id="rId894" Type="http://schemas.openxmlformats.org/officeDocument/2006/relationships/hyperlink" Target="https://superi.ge/bosch-dft63ca50q/" TargetMode="External"/><Relationship Id="rId895" Type="http://schemas.openxmlformats.org/officeDocument/2006/relationships/hyperlink" Target="https://superi.ge/graetz-3420-pb-black/" TargetMode="External"/><Relationship Id="rId896" Type="http://schemas.openxmlformats.org/officeDocument/2006/relationships/hyperlink" Target="https://superi.ge/midea-60m77/" TargetMode="External"/><Relationship Id="rId897" Type="http://schemas.openxmlformats.org/officeDocument/2006/relationships/hyperlink" Target="https://superi.ge/midea-mh60c355rb/" TargetMode="External"/><Relationship Id="rId898" Type="http://schemas.openxmlformats.org/officeDocument/2006/relationships/hyperlink" Target="https://superi.ge/arshia-k106-1556-10pcs/" TargetMode="External"/><Relationship Id="rId899" Type="http://schemas.openxmlformats.org/officeDocument/2006/relationships/hyperlink" Target="https://superi.ge/1300w-sds-hex-pdb130018-ingco/" TargetMode="External"/><Relationship Id="rId900" Type="http://schemas.openxmlformats.org/officeDocument/2006/relationships/hyperlink" Target="https://superi.ge/bosch-twk8611p/" TargetMode="External"/><Relationship Id="rId901" Type="http://schemas.openxmlformats.org/officeDocument/2006/relationships/hyperlink" Target="https://superi.ge/intex-28210/" TargetMode="External"/><Relationship Id="rId902" Type="http://schemas.openxmlformats.org/officeDocument/2006/relationships/hyperlink" Target="https://superi.ge/intex-26710/" TargetMode="External"/><Relationship Id="rId903" Type="http://schemas.openxmlformats.org/officeDocument/2006/relationships/hyperlink" Target="https://superi.ge/hisense-rs13dr-silver/" TargetMode="External"/><Relationship Id="rId904" Type="http://schemas.openxmlformats.org/officeDocument/2006/relationships/hyperlink" Target="https://superi.ge/lenovo-67bckac6eu-23-8/" TargetMode="External"/><Relationship Id="rId905" Type="http://schemas.openxmlformats.org/officeDocument/2006/relationships/hyperlink" Target="https://superi.ge/cansus-300-00-00018338/" TargetMode="External"/><Relationship Id="rId906" Type="http://schemas.openxmlformats.org/officeDocument/2006/relationships/hyperlink" Target="https://superi.ge/marshall-major-v-black/" TargetMode="External"/><Relationship Id="rId907" Type="http://schemas.openxmlformats.org/officeDocument/2006/relationships/hyperlink" Target="https://superi.ge/gred-star-6-5-colorful/" TargetMode="External"/><Relationship Id="rId908" Type="http://schemas.openxmlformats.org/officeDocument/2006/relationships/hyperlink" Target="https://superi.ge/gred-star-6-5-purple-blue/" TargetMode="External"/><Relationship Id="rId909" Type="http://schemas.openxmlformats.org/officeDocument/2006/relationships/hyperlink" Target="https://superi.ge/smart-falcon-6-5/" TargetMode="External"/><Relationship Id="rId910" Type="http://schemas.openxmlformats.org/officeDocument/2006/relationships/hyperlink" Target="https://superi.ge/smart-wheel-8/" TargetMode="External"/><Relationship Id="rId911" Type="http://schemas.openxmlformats.org/officeDocument/2006/relationships/hyperlink" Target="https://superi.ge/ingco-cagli271532/" TargetMode="External"/><Relationship Id="rId912" Type="http://schemas.openxmlformats.org/officeDocument/2006/relationships/hyperlink" Target="https://superi.ge/karcher-wd-3s-1-628-135-0/" TargetMode="External"/><Relationship Id="rId913" Type="http://schemas.openxmlformats.org/officeDocument/2006/relationships/hyperlink" Target="https://superi.ge/ardesto-go-e865b/" TargetMode="External"/><Relationship Id="rId914" Type="http://schemas.openxmlformats.org/officeDocument/2006/relationships/hyperlink" Target="https://superi.ge/bestway-56706/" TargetMode="External"/><Relationship Id="rId915" Type="http://schemas.openxmlformats.org/officeDocument/2006/relationships/hyperlink" Target="https://superi.ge/bosch-bgs05a222/" TargetMode="External"/><Relationship Id="rId916" Type="http://schemas.openxmlformats.org/officeDocument/2006/relationships/hyperlink" Target="https://superi.ge/samsung-nk24m3050ps-u1/" TargetMode="External"/><Relationship Id="rId917" Type="http://schemas.openxmlformats.org/officeDocument/2006/relationships/hyperlink" Target="https://superi.ge/allx-sk8817/" TargetMode="External"/><Relationship Id="rId918" Type="http://schemas.openxmlformats.org/officeDocument/2006/relationships/hyperlink" Target="https://superi.ge/beko-bss-2201-tt/" TargetMode="External"/><Relationship Id="rId919" Type="http://schemas.openxmlformats.org/officeDocument/2006/relationships/hyperlink" Target="https://superi.ge/franko-fvc-1157/" TargetMode="External"/><Relationship Id="rId920" Type="http://schemas.openxmlformats.org/officeDocument/2006/relationships/hyperlink" Target="https://superi.ge/haier-le32f6000s/" TargetMode="External"/><Relationship Id="rId921" Type="http://schemas.openxmlformats.org/officeDocument/2006/relationships/hyperlink" Target="https://superi.ge/polaroid-now-generation-2-black/" TargetMode="External"/><Relationship Id="rId922" Type="http://schemas.openxmlformats.org/officeDocument/2006/relationships/hyperlink" Target="https://superi.ge/trinx-princess-2-0/" TargetMode="External"/><Relationship Id="rId923" Type="http://schemas.openxmlformats.org/officeDocument/2006/relationships/hyperlink" Target="https://superi.ge/millen-ty-lyr39w/" TargetMode="External"/><Relationship Id="rId924" Type="http://schemas.openxmlformats.org/officeDocument/2006/relationships/hyperlink" Target="https://superi.ge/samsung-mg23dg4524agbw/" TargetMode="External"/><Relationship Id="rId925" Type="http://schemas.openxmlformats.org/officeDocument/2006/relationships/hyperlink" Target="https://superi.ge/franko-fvc-1156/" TargetMode="External"/><Relationship Id="rId926" Type="http://schemas.openxmlformats.org/officeDocument/2006/relationships/hyperlink" Target="https://superi.ge/bestway-56985/" TargetMode="External"/><Relationship Id="rId927" Type="http://schemas.openxmlformats.org/officeDocument/2006/relationships/hyperlink" Target="https://superi.ge/samsung-ms23j5133ak-ba/" TargetMode="External"/><Relationship Id="rId928" Type="http://schemas.openxmlformats.org/officeDocument/2006/relationships/hyperlink" Target="https://superi.ge/bosch-mmb6141b/" TargetMode="External"/><Relationship Id="rId929" Type="http://schemas.openxmlformats.org/officeDocument/2006/relationships/hyperlink" Target="https://superi.ge/hp-203a-cf543a/" TargetMode="External"/><Relationship Id="rId930" Type="http://schemas.openxmlformats.org/officeDocument/2006/relationships/hyperlink" Target="https://superi.ge/ninja-af100eu/" TargetMode="External"/><Relationship Id="rId931" Type="http://schemas.openxmlformats.org/officeDocument/2006/relationships/hyperlink" Target="https://superi.ge/bestway-56404-300x201x66/" TargetMode="External"/><Relationship Id="rId932" Type="http://schemas.openxmlformats.org/officeDocument/2006/relationships/hyperlink" Target="https://superi.ge/product-8913/" TargetMode="External"/><Relationship Id="rId933" Type="http://schemas.openxmlformats.org/officeDocument/2006/relationships/hyperlink" Target="https://superi.ge/2-ka/" TargetMode="External"/><Relationship Id="rId934" Type="http://schemas.openxmlformats.org/officeDocument/2006/relationships/hyperlink" Target="https://superi.ge/hamso/" TargetMode="External"/><Relationship Id="rId935" Type="http://schemas.openxmlformats.org/officeDocument/2006/relationships/hyperlink" Target="https://superi.ge/millen-ty-lyr801w/" TargetMode="External"/><Relationship Id="rId936" Type="http://schemas.openxmlformats.org/officeDocument/2006/relationships/hyperlink" Target="https://superi.ge/gorenje-vc1801sfabkr/" TargetMode="External"/><Relationship Id="rId937" Type="http://schemas.openxmlformats.org/officeDocument/2006/relationships/hyperlink" Target="https://superi.ge/samsung-vcc8836v36-xev/" TargetMode="External"/><Relationship Id="rId938" Type="http://schemas.openxmlformats.org/officeDocument/2006/relationships/hyperlink" Target="https://superi.ge/xerox-phaser-3020bi/" TargetMode="External"/><Relationship Id="rId939" Type="http://schemas.openxmlformats.org/officeDocument/2006/relationships/hyperlink" Target="https://superi.ge/tcl-32d3400-2024/" TargetMode="External"/><Relationship Id="rId940" Type="http://schemas.openxmlformats.org/officeDocument/2006/relationships/hyperlink" Target="https://superi.ge/zilan-zln1177/" TargetMode="External"/><Relationship Id="rId941" Type="http://schemas.openxmlformats.org/officeDocument/2006/relationships/hyperlink" Target="https://superi.ge/samsung-nk24m1030ib-ur/" TargetMode="External"/><Relationship Id="rId942" Type="http://schemas.openxmlformats.org/officeDocument/2006/relationships/hyperlink" Target="https://superi.ge/nutribullet-nba081b-8-l/" TargetMode="External"/><Relationship Id="rId943" Type="http://schemas.openxmlformats.org/officeDocument/2006/relationships/hyperlink" Target="https://superi.ge/intex-26700-305-x-76/" TargetMode="External"/><Relationship Id="rId944" Type="http://schemas.openxmlformats.org/officeDocument/2006/relationships/hyperlink" Target="https://superi.ge/samsung-me83xr/" TargetMode="External"/><Relationship Id="rId945" Type="http://schemas.openxmlformats.org/officeDocument/2006/relationships/hyperlink" Target="https://superi.ge/ingco-lm385/" TargetMode="External"/><Relationship Id="rId946" Type="http://schemas.openxmlformats.org/officeDocument/2006/relationships/hyperlink" Target="https://superi.ge/samsung-mg23k3515ak-bw/" TargetMode="External"/><Relationship Id="rId947" Type="http://schemas.openxmlformats.org/officeDocument/2006/relationships/hyperlink" Target="https://superi.ge/trinx-smile-tx1410/" TargetMode="External"/><Relationship Id="rId948" Type="http://schemas.openxmlformats.org/officeDocument/2006/relationships/hyperlink" Target="https://superi.ge/bosch-maf462b0-6-1/" TargetMode="External"/><Relationship Id="rId949" Type="http://schemas.openxmlformats.org/officeDocument/2006/relationships/hyperlink" Target="https://superi.ge/koopman-042280180-2/" TargetMode="External"/><Relationship Id="rId950" Type="http://schemas.openxmlformats.org/officeDocument/2006/relationships/hyperlink" Target="https://superi.ge/franko-fco-1091/" TargetMode="External"/><Relationship Id="rId951" Type="http://schemas.openxmlformats.org/officeDocument/2006/relationships/hyperlink" Target="https://superi.ge/braun-wk5115bk/" TargetMode="External"/><Relationship Id="rId952" Type="http://schemas.openxmlformats.org/officeDocument/2006/relationships/hyperlink" Target="https://superi.ge/intex-28200/" TargetMode="External"/><Relationship Id="rId953" Type="http://schemas.openxmlformats.org/officeDocument/2006/relationships/hyperlink" Target="https://superi.ge/cansus-240-00-00018337/" TargetMode="External"/><Relationship Id="rId954" Type="http://schemas.openxmlformats.org/officeDocument/2006/relationships/hyperlink" Target="https://superi.ge/bestway-56677/" TargetMode="External"/><Relationship Id="rId955" Type="http://schemas.openxmlformats.org/officeDocument/2006/relationships/hyperlink" Target="https://superi.ge/bestway-57274/" TargetMode="External"/><Relationship Id="rId956" Type="http://schemas.openxmlformats.org/officeDocument/2006/relationships/hyperlink" Target="https://superi.ge/ingco-hpwr14008/" TargetMode="External"/><Relationship Id="rId957" Type="http://schemas.openxmlformats.org/officeDocument/2006/relationships/hyperlink" Target="https://superi.ge/arzum-ar2076-s-7-5l/" TargetMode="External"/><Relationship Id="rId958" Type="http://schemas.openxmlformats.org/officeDocument/2006/relationships/hyperlink" Target="https://superi.ge/zilan-zln2823/" TargetMode="External"/><Relationship Id="rId959" Type="http://schemas.openxmlformats.org/officeDocument/2006/relationships/hyperlink" Target="https://superi.ge/sencor-soh-3209wh-oil-heater/" TargetMode="External"/><Relationship Id="rId960" Type="http://schemas.openxmlformats.org/officeDocument/2006/relationships/hyperlink" Target="https://superi.ge/2e-powerclean-2e-vc2012ssd/" TargetMode="External"/><Relationship Id="rId961" Type="http://schemas.openxmlformats.org/officeDocument/2006/relationships/hyperlink" Target="https://superi.ge/xiaomi-deerma-dem-kz130w/" TargetMode="External"/><Relationship Id="rId962" Type="http://schemas.openxmlformats.org/officeDocument/2006/relationships/hyperlink" Target="https://superi.ge/arshia-vc150-2295/" TargetMode="External"/><Relationship Id="rId963" Type="http://schemas.openxmlformats.org/officeDocument/2006/relationships/hyperlink" Target="https://superi.ge/sencor-soh-3309bk/" TargetMode="External"/><Relationship Id="rId964" Type="http://schemas.openxmlformats.org/officeDocument/2006/relationships/hyperlink" Target="https://superi.ge/allx-sk8815/" TargetMode="External"/><Relationship Id="rId965" Type="http://schemas.openxmlformats.org/officeDocument/2006/relationships/hyperlink" Target="https://superi.ge/midea-mf-cy75c-7-l/" TargetMode="External"/><Relationship Id="rId966" Type="http://schemas.openxmlformats.org/officeDocument/2006/relationships/hyperlink" Target="https://superi.ge/80x70-4-53x58x74/" TargetMode="External"/><Relationship Id="rId967" Type="http://schemas.openxmlformats.org/officeDocument/2006/relationships/hyperlink" Target="https://superi.ge/graetz-3461-60-black/" TargetMode="External"/><Relationship Id="rId968" Type="http://schemas.openxmlformats.org/officeDocument/2006/relationships/hyperlink" Target="https://superi.ge/arnica-pika-et14411/" TargetMode="External"/><Relationship Id="rId969" Type="http://schemas.openxmlformats.org/officeDocument/2006/relationships/hyperlink" Target="https://superi.ge/canyon-pb-2010-cne-cpb2010dg-27000mah/" TargetMode="External"/><Relationship Id="rId970" Type="http://schemas.openxmlformats.org/officeDocument/2006/relationships/hyperlink" Target="https://superi.ge/xiaomi-amazfit-gtr-2-thunder-black/" TargetMode="External"/><Relationship Id="rId971" Type="http://schemas.openxmlformats.org/officeDocument/2006/relationships/hyperlink" Target="https://superi.ge/hp-203a-cf540a/" TargetMode="External"/><Relationship Id="rId972" Type="http://schemas.openxmlformats.org/officeDocument/2006/relationships/hyperlink" Target="https://superi.ge/intex-28118/" TargetMode="External"/><Relationship Id="rId973" Type="http://schemas.openxmlformats.org/officeDocument/2006/relationships/hyperlink" Target="https://superi.ge/bestway-56403/" TargetMode="External"/><Relationship Id="rId974" Type="http://schemas.openxmlformats.org/officeDocument/2006/relationships/hyperlink" Target="https://superi.ge/autopower-a74-l3-r-plus-74-a-h/" TargetMode="External"/><Relationship Id="rId975" Type="http://schemas.openxmlformats.org/officeDocument/2006/relationships/hyperlink" Target="https://superi.ge/intex-28271/" TargetMode="External"/><Relationship Id="rId976" Type="http://schemas.openxmlformats.org/officeDocument/2006/relationships/hyperlink" Target="https://superi.ge/alneo-ylr2-84a/" TargetMode="External"/><Relationship Id="rId977" Type="http://schemas.openxmlformats.org/officeDocument/2006/relationships/hyperlink" Target="https://superi.ge/graetz-te50b20-50lt/" TargetMode="External"/><Relationship Id="rId978" Type="http://schemas.openxmlformats.org/officeDocument/2006/relationships/hyperlink" Target="https://superi.ge/sencor-sfr-6550bk/" TargetMode="External"/><Relationship Id="rId979" Type="http://schemas.openxmlformats.org/officeDocument/2006/relationships/hyperlink" Target="https://superi.ge/beko-ctb-6407-x/" TargetMode="External"/><Relationship Id="rId980" Type="http://schemas.openxmlformats.org/officeDocument/2006/relationships/hyperlink" Target="https://superi.ge/luxell-da6-865-w/" TargetMode="External"/><Relationship Id="rId981" Type="http://schemas.openxmlformats.org/officeDocument/2006/relationships/hyperlink" Target="https://superi.ge/bestway-56401/" TargetMode="External"/><Relationship Id="rId982" Type="http://schemas.openxmlformats.org/officeDocument/2006/relationships/hyperlink" Target="https://superi.ge/gorenje-mo17e1s/" TargetMode="External"/><Relationship Id="rId983" Type="http://schemas.openxmlformats.org/officeDocument/2006/relationships/hyperlink" Target="https://superi.ge/philips-221v8-00/" TargetMode="External"/><Relationship Id="rId984" Type="http://schemas.openxmlformats.org/officeDocument/2006/relationships/hyperlink" Target="https://superi.ge/tp-link-archer-mr500-4g-cat6-ac1200-lte/" TargetMode="External"/><Relationship Id="rId985" Type="http://schemas.openxmlformats.org/officeDocument/2006/relationships/hyperlink" Target="https://superi.ge/lego-ninjago-the-hulkbuster-the-battle-of-wakanda-76247/" TargetMode="External"/><Relationship Id="rId986" Type="http://schemas.openxmlformats.org/officeDocument/2006/relationships/hyperlink" Target="https://superi.ge/kumtel-ko-40tahdf-b/" TargetMode="External"/><Relationship Id="rId987" Type="http://schemas.openxmlformats.org/officeDocument/2006/relationships/hyperlink" Target="https://superi.ge/lenovo-go-usb-c-laptop-power-bank-20000-mah/" TargetMode="External"/><Relationship Id="rId988" Type="http://schemas.openxmlformats.org/officeDocument/2006/relationships/hyperlink" Target="https://superi.ge/2/" TargetMode="External"/><Relationship Id="rId989" Type="http://schemas.openxmlformats.org/officeDocument/2006/relationships/hyperlink" Target="https://superi.ge/gorenje-optiheat-2000ewp-20/" TargetMode="External"/><Relationship Id="rId990" Type="http://schemas.openxmlformats.org/officeDocument/2006/relationships/hyperlink" Target="https://superi.ge/61x61x72-57x70x65/" TargetMode="External"/><Relationship Id="rId991" Type="http://schemas.openxmlformats.org/officeDocument/2006/relationships/hyperlink" Target="https://superi.ge/sea-tide-hc-128/" TargetMode="External"/><Relationship Id="rId992" Type="http://schemas.openxmlformats.org/officeDocument/2006/relationships/hyperlink" Target="https://superi.ge/midea-ag8p022et-b/" TargetMode="External"/><Relationship Id="rId993" Type="http://schemas.openxmlformats.org/officeDocument/2006/relationships/hyperlink" Target="https://superi.ge/midea-am823a2at-b/" TargetMode="External"/><Relationship Id="rId994" Type="http://schemas.openxmlformats.org/officeDocument/2006/relationships/hyperlink" Target="https://superi.ge/zilan-zln3185/" TargetMode="External"/><Relationship Id="rId995" Type="http://schemas.openxmlformats.org/officeDocument/2006/relationships/hyperlink" Target="https://superi.ge/gorenje-vc2302galrcy/" TargetMode="External"/><Relationship Id="rId996" Type="http://schemas.openxmlformats.org/officeDocument/2006/relationships/hyperlink" Target="https://superi.ge/samsung-vc18m21a0sb-ev/" TargetMode="External"/><Relationship Id="rId997" Type="http://schemas.openxmlformats.org/officeDocument/2006/relationships/hyperlink" Target="https://superi.ge/blackview-tab-a6-kids-wi-fi-10-1-hd-4-128gb-rose-pink/" TargetMode="External"/><Relationship Id="rId998" Type="http://schemas.openxmlformats.org/officeDocument/2006/relationships/hyperlink" Target="https://superi.ge/beko-hdcg-32220-fx/" TargetMode="External"/><Relationship Id="rId999" Type="http://schemas.openxmlformats.org/officeDocument/2006/relationships/hyperlink" Target="https://superi.ge/gorenje-h50w-20m/" TargetMode="External"/><Relationship Id="rId1000" Type="http://schemas.openxmlformats.org/officeDocument/2006/relationships/hyperlink" Target="https://superi.ge/pro-plan-elegant-cat-salmon-10kg-7613036529235/" TargetMode="External"/><Relationship Id="rId1001" Type="http://schemas.openxmlformats.org/officeDocument/2006/relationships/hyperlink" Target="https://superi.ge/gorenje-mo17e1wh/" TargetMode="External"/><Relationship Id="rId1002" Type="http://schemas.openxmlformats.org/officeDocument/2006/relationships/hyperlink" Target="https://superi.ge/korkmaz-prochef-a501-01/" TargetMode="External"/><Relationship Id="rId1003" Type="http://schemas.openxmlformats.org/officeDocument/2006/relationships/hyperlink" Target="https://superi.ge/sencor-sfn-4080wh/" TargetMode="External"/><Relationship Id="rId1004" Type="http://schemas.openxmlformats.org/officeDocument/2006/relationships/hyperlink" Target="https://superi.ge/bestway-57458-305-x-66/" TargetMode="External"/><Relationship Id="rId1005" Type="http://schemas.openxmlformats.org/officeDocument/2006/relationships/hyperlink" Target="https://superi.ge/royal-turbo-cg520g/" TargetMode="External"/><Relationship Id="rId1006" Type="http://schemas.openxmlformats.org/officeDocument/2006/relationships/hyperlink" Target="https://superi.ge/royal-turbo-rt-cg-520y-yellow/" TargetMode="External"/><Relationship Id="rId1007" Type="http://schemas.openxmlformats.org/officeDocument/2006/relationships/hyperlink" Target="https://superi.ge/graetz-1490-60-inox/" TargetMode="External"/><Relationship Id="rId1008" Type="http://schemas.openxmlformats.org/officeDocument/2006/relationships/hyperlink" Target="https://superi.ge/intex-57158/" TargetMode="External"/><Relationship Id="rId1009" Type="http://schemas.openxmlformats.org/officeDocument/2006/relationships/hyperlink" Target="https://superi.ge/gorenje-k17dwd/" TargetMode="External"/><Relationship Id="rId1010" Type="http://schemas.openxmlformats.org/officeDocument/2006/relationships/hyperlink" Target="https://superi.ge/nikai-noh946a/" TargetMode="External"/><Relationship Id="rId1011" Type="http://schemas.openxmlformats.org/officeDocument/2006/relationships/hyperlink" Target="https://superi.ge/intex-28270/" TargetMode="External"/><Relationship Id="rId1012" Type="http://schemas.openxmlformats.org/officeDocument/2006/relationships/hyperlink" Target="https://superi.ge/toshiba-mm-em23p-black/" TargetMode="External"/><Relationship Id="rId1013" Type="http://schemas.openxmlformats.org/officeDocument/2006/relationships/hyperlink" Target="https://superi.ge/bosch-bgc05aaa2/" TargetMode="External"/><Relationship Id="rId1014" Type="http://schemas.openxmlformats.org/officeDocument/2006/relationships/hyperlink" Target="https://superi.ge/goodyear-ch4a-4680218076170/" TargetMode="External"/><Relationship Id="rId1015" Type="http://schemas.openxmlformats.org/officeDocument/2006/relationships/hyperlink" Target="https://superi.ge/purina-pro-plan-optidigest-grain-free-7kg-7613036731256/" TargetMode="External"/><Relationship Id="rId1016" Type="http://schemas.openxmlformats.org/officeDocument/2006/relationships/hyperlink" Target="https://superi.ge/dia1-4m-4-5ft-red/" TargetMode="External"/><Relationship Id="rId1017" Type="http://schemas.openxmlformats.org/officeDocument/2006/relationships/hyperlink" Target="https://superi.ge/nikai-nt5501r1/" TargetMode="External"/><Relationship Id="rId1018" Type="http://schemas.openxmlformats.org/officeDocument/2006/relationships/hyperlink" Target="https://superi.ge/hagen-hrbar54w/" TargetMode="External"/><Relationship Id="rId1019" Type="http://schemas.openxmlformats.org/officeDocument/2006/relationships/hyperlink" Target="https://superi.ge/vox-sl307/" TargetMode="External"/><Relationship Id="rId1020" Type="http://schemas.openxmlformats.org/officeDocument/2006/relationships/hyperlink" Target="https://superi.ge/delonghi-kbov2001-bk/" TargetMode="External"/><Relationship Id="rId1021" Type="http://schemas.openxmlformats.org/officeDocument/2006/relationships/hyperlink" Target="https://superi.ge/bosch-mfq36460/" TargetMode="External"/><Relationship Id="rId1022" Type="http://schemas.openxmlformats.org/officeDocument/2006/relationships/hyperlink" Target="https://superi.ge/hp-44a-cf244a/" TargetMode="External"/><Relationship Id="rId1023" Type="http://schemas.openxmlformats.org/officeDocument/2006/relationships/hyperlink" Target="https://superi.ge/beko-frl-3374-b-7-6-l/" TargetMode="External"/><Relationship Id="rId1024" Type="http://schemas.openxmlformats.org/officeDocument/2006/relationships/hyperlink" Target="https://superi.ge/midea-am720c4e-s/" TargetMode="External"/><Relationship Id="rId1025" Type="http://schemas.openxmlformats.org/officeDocument/2006/relationships/hyperlink" Target="https://superi.ge/bosch-bgc05aaa1/" TargetMode="External"/><Relationship Id="rId1026" Type="http://schemas.openxmlformats.org/officeDocument/2006/relationships/hyperlink" Target="https://superi.ge/samsung-vcc5241s3k-xev/" TargetMode="External"/><Relationship Id="rId1027" Type="http://schemas.openxmlformats.org/officeDocument/2006/relationships/hyperlink" Target="https://superi.ge/aldridge-terry-fabric-dark-green-uk-green-53x54x75/" TargetMode="External"/><Relationship Id="rId1028" Type="http://schemas.openxmlformats.org/officeDocument/2006/relationships/hyperlink" Target="https://superi.ge/naturel-nt10pc-set1-gry/" TargetMode="External"/><Relationship Id="rId1029" Type="http://schemas.openxmlformats.org/officeDocument/2006/relationships/hyperlink" Target="https://superi.ge/blackview-tab-a5-kids-lte-8-1-3gb-64gb-pink/" TargetMode="External"/><Relationship Id="rId1030" Type="http://schemas.openxmlformats.org/officeDocument/2006/relationships/hyperlink" Target="https://superi.ge/gorenje-mo20a3x/" TargetMode="External"/><Relationship Id="rId1031" Type="http://schemas.openxmlformats.org/officeDocument/2006/relationships/hyperlink" Target="https://superi.ge/intex-28205/" TargetMode="External"/><Relationship Id="rId1032" Type="http://schemas.openxmlformats.org/officeDocument/2006/relationships/hyperlink" Target="https://superi.ge/bestway-56406-305-x-76/" TargetMode="External"/><Relationship Id="rId1033" Type="http://schemas.openxmlformats.org/officeDocument/2006/relationships/hyperlink" Target="https://superi.ge/llorens-martina-doll-40-cm-girl-8426265540303/" TargetMode="External"/><Relationship Id="rId1034" Type="http://schemas.openxmlformats.org/officeDocument/2006/relationships/hyperlink" Target="https://superi.ge/intex-candy-57149/" TargetMode="External"/><Relationship Id="rId1035" Type="http://schemas.openxmlformats.org/officeDocument/2006/relationships/hyperlink" Target="https://superi.ge/simfer-8502-black/" TargetMode="External"/><Relationship Id="rId1036" Type="http://schemas.openxmlformats.org/officeDocument/2006/relationships/hyperlink" Target="https://superi.ge/kenwood-zjm810rd/" TargetMode="External"/><Relationship Id="rId1037" Type="http://schemas.openxmlformats.org/officeDocument/2006/relationships/hyperlink" Target="https://superi.ge/intex-57135/" TargetMode="External"/><Relationship Id="rId1038" Type="http://schemas.openxmlformats.org/officeDocument/2006/relationships/hyperlink" Target="https://superi.ge/intex-57444/" TargetMode="External"/><Relationship Id="rId1039" Type="http://schemas.openxmlformats.org/officeDocument/2006/relationships/hyperlink" Target="https://superi.ge/bosch-mfq364v0/" TargetMode="External"/><Relationship Id="rId1040" Type="http://schemas.openxmlformats.org/officeDocument/2006/relationships/hyperlink" Target="https://superi.ge/bosch-mfq40304/" TargetMode="External"/><Relationship Id="rId1041" Type="http://schemas.openxmlformats.org/officeDocument/2006/relationships/hyperlink" Target="https://superi.ge/gorenje-t900rl/" TargetMode="External"/><Relationship Id="rId1042" Type="http://schemas.openxmlformats.org/officeDocument/2006/relationships/hyperlink" Target="https://superi.ge/llorens-nicole-doll-35-cm-girl-8426265535293/" TargetMode="External"/><Relationship Id="rId1043" Type="http://schemas.openxmlformats.org/officeDocument/2006/relationships/hyperlink" Target="https://superi.ge/arzum-ar2062-g-4l/" TargetMode="External"/><Relationship Id="rId1044" Type="http://schemas.openxmlformats.org/officeDocument/2006/relationships/hyperlink" Target="https://superi.ge/tv-blaupunkt-dv8535-2-8gb/" TargetMode="External"/><Relationship Id="rId1045" Type="http://schemas.openxmlformats.org/officeDocument/2006/relationships/hyperlink" Target="https://superi.ge/intex-rainbow-57453/" TargetMode="External"/><Relationship Id="rId1046" Type="http://schemas.openxmlformats.org/officeDocument/2006/relationships/hyperlink" Target="https://superi.ge/product-8910/" TargetMode="External"/><Relationship Id="rId1047" Type="http://schemas.openxmlformats.org/officeDocument/2006/relationships/hyperlink" Target="https://superi.ge/kumtel-mh-1800/" TargetMode="External"/><Relationship Id="rId1048" Type="http://schemas.openxmlformats.org/officeDocument/2006/relationships/hyperlink" Target="https://superi.ge/zilan-zln2069/" TargetMode="External"/><Relationship Id="rId1049" Type="http://schemas.openxmlformats.org/officeDocument/2006/relationships/hyperlink" Target="https://superi.ge/bosch-twk3p424/" TargetMode="External"/><Relationship Id="rId1050" Type="http://schemas.openxmlformats.org/officeDocument/2006/relationships/hyperlink" Target="https://superi.ge/zilan-zln1112/" TargetMode="External"/><Relationship Id="rId1051" Type="http://schemas.openxmlformats.org/officeDocument/2006/relationships/hyperlink" Target="https://superi.ge/beko-rho6320b/" TargetMode="External"/><Relationship Id="rId1052" Type="http://schemas.openxmlformats.org/officeDocument/2006/relationships/hyperlink" Target="https://superi.ge/zilan-zln8443/" TargetMode="External"/><Relationship Id="rId1053" Type="http://schemas.openxmlformats.org/officeDocument/2006/relationships/hyperlink" Target="https://superi.ge/itimat-i-09/" TargetMode="External"/><Relationship Id="rId1054" Type="http://schemas.openxmlformats.org/officeDocument/2006/relationships/hyperlink" Target="https://superi.ge/bestway-53052/" TargetMode="External"/><Relationship Id="rId1055" Type="http://schemas.openxmlformats.org/officeDocument/2006/relationships/hyperlink" Target="https://superi.ge/beko-frl-2244-b/" TargetMode="External"/><Relationship Id="rId1056" Type="http://schemas.openxmlformats.org/officeDocument/2006/relationships/hyperlink" Target="https://superi.ge/franko-faf-1217/" TargetMode="External"/><Relationship Id="rId1057" Type="http://schemas.openxmlformats.org/officeDocument/2006/relationships/hyperlink" Target="https://superi.ge/product-8912/" TargetMode="External"/><Relationship Id="rId1058" Type="http://schemas.openxmlformats.org/officeDocument/2006/relationships/hyperlink" Target="https://superi.ge/product-8914/" TargetMode="External"/><Relationship Id="rId1059" Type="http://schemas.openxmlformats.org/officeDocument/2006/relationships/hyperlink" Target="https://superi.ge/product-8915/" TargetMode="External"/><Relationship Id="rId1060" Type="http://schemas.openxmlformats.org/officeDocument/2006/relationships/hyperlink" Target="https://superi.ge/gorenje-k17gpd/" TargetMode="External"/><Relationship Id="rId1061" Type="http://schemas.openxmlformats.org/officeDocument/2006/relationships/hyperlink" Target="https://superi.ge/gorenje-mo17e1bh/" TargetMode="External"/><Relationship Id="rId1062" Type="http://schemas.openxmlformats.org/officeDocument/2006/relationships/hyperlink" Target="https://superi.ge/midea-mm7p012mz-b/" TargetMode="External"/><Relationship Id="rId1063" Type="http://schemas.openxmlformats.org/officeDocument/2006/relationships/hyperlink" Target="https://superi.ge/ardesto-ofh-09x1/" TargetMode="External"/><Relationship Id="rId1064" Type="http://schemas.openxmlformats.org/officeDocument/2006/relationships/hyperlink" Target="https://superi.ge/arnica-ih39010/" TargetMode="External"/><Relationship Id="rId1065" Type="http://schemas.openxmlformats.org/officeDocument/2006/relationships/hyperlink" Target="https://superi.ge/beko-frl-2242-b/" TargetMode="External"/><Relationship Id="rId1066" Type="http://schemas.openxmlformats.org/officeDocument/2006/relationships/hyperlink" Target="https://superi.ge/zilan-zln9984-5-l/" TargetMode="External"/><Relationship Id="rId1067" Type="http://schemas.openxmlformats.org/officeDocument/2006/relationships/hyperlink" Target="https://superi.ge/beko-tbn-81808-bx/" TargetMode="External"/><Relationship Id="rId1068" Type="http://schemas.openxmlformats.org/officeDocument/2006/relationships/hyperlink" Target="https://superi.ge/braun-mq535/" TargetMode="External"/><Relationship Id="rId1069" Type="http://schemas.openxmlformats.org/officeDocument/2006/relationships/hyperlink" Target="https://superi.ge/ardesto-black-mars-ar2020sw/" TargetMode="External"/><Relationship Id="rId1070" Type="http://schemas.openxmlformats.org/officeDocument/2006/relationships/hyperlink" Target="https://superi.ge/intex-28120-easy-set-76-x-305/" TargetMode="External"/><Relationship Id="rId1071" Type="http://schemas.openxmlformats.org/officeDocument/2006/relationships/hyperlink" Target="https://superi.ge/braun-wk300-white/" TargetMode="External"/><Relationship Id="rId1072" Type="http://schemas.openxmlformats.org/officeDocument/2006/relationships/hyperlink" Target="https://superi.ge/braun-wk5100bk/" TargetMode="External"/><Relationship Id="rId1073" Type="http://schemas.openxmlformats.org/officeDocument/2006/relationships/hyperlink" Target="https://superi.ge/llorens-crying-doll-aysel-33-cm-8426265333325/" TargetMode="External"/><Relationship Id="rId1074" Type="http://schemas.openxmlformats.org/officeDocument/2006/relationships/hyperlink" Target="https://superi.ge/sencor-scf-2101bk/" TargetMode="External"/><Relationship Id="rId1075" Type="http://schemas.openxmlformats.org/officeDocument/2006/relationships/hyperlink" Target="https://superi.ge/90x66x70/" TargetMode="External"/><Relationship Id="rId1076" Type="http://schemas.openxmlformats.org/officeDocument/2006/relationships/hyperlink" Target="https://superi.ge/bosch-twk3p423/" TargetMode="External"/><Relationship Id="rId1077" Type="http://schemas.openxmlformats.org/officeDocument/2006/relationships/hyperlink" Target="https://superi.ge/franko-fsf-1213/" TargetMode="External"/><Relationship Id="rId1078" Type="http://schemas.openxmlformats.org/officeDocument/2006/relationships/hyperlink" Target="https://superi.ge/beko-vcc-44824-aw/" TargetMode="External"/><Relationship Id="rId1079" Type="http://schemas.openxmlformats.org/officeDocument/2006/relationships/hyperlink" Target="https://superi.ge/nikai-naf209a-1-8/" TargetMode="External"/><Relationship Id="rId1080" Type="http://schemas.openxmlformats.org/officeDocument/2006/relationships/hyperlink" Target="https://superi.ge/beko-tbn-62608-w/" TargetMode="External"/><Relationship Id="rId1081" Type="http://schemas.openxmlformats.org/officeDocument/2006/relationships/hyperlink" Target="https://superi.ge/midea-mj-bh1001w/" TargetMode="External"/><Relationship Id="rId1082" Type="http://schemas.openxmlformats.org/officeDocument/2006/relationships/hyperlink" Target="https://superi.ge/nikai-nb3900ceb-3in1500w/" TargetMode="External"/><Relationship Id="rId1083" Type="http://schemas.openxmlformats.org/officeDocument/2006/relationships/hyperlink" Target="https://superi.ge/nikai-nkt1730s1/" TargetMode="External"/><Relationship Id="rId1084" Type="http://schemas.openxmlformats.org/officeDocument/2006/relationships/hyperlink" Target="https://superi.ge/ardesto-ekl-x53e/" TargetMode="External"/><Relationship Id="rId1085" Type="http://schemas.openxmlformats.org/officeDocument/2006/relationships/hyperlink" Target="https://superi.ge/150-zx-150/" TargetMode="External"/><Relationship Id="rId1086" Type="http://schemas.openxmlformats.org/officeDocument/2006/relationships/hyperlink" Target="https://superi.ge/luxell-ds6-905x-inox-450/" TargetMode="External"/><Relationship Id="rId1087" Type="http://schemas.openxmlformats.org/officeDocument/2006/relationships/hyperlink" Target="https://superi.ge/arnica-et13212/" TargetMode="External"/><Relationship Id="rId1088" Type="http://schemas.openxmlformats.org/officeDocument/2006/relationships/hyperlink" Target="https://superi.ge/lego-city-4x4-off-roader-adventures/" TargetMode="External"/><Relationship Id="rId1089" Type="http://schemas.openxmlformats.org/officeDocument/2006/relationships/hyperlink" Target="https://superi.ge/intex-56493/" TargetMode="External"/><Relationship Id="rId1090" Type="http://schemas.openxmlformats.org/officeDocument/2006/relationships/hyperlink" Target="https://superi.ge/logitech-k360-l920-003095-black/" TargetMode="External"/><Relationship Id="rId1091" Type="http://schemas.openxmlformats.org/officeDocument/2006/relationships/hyperlink" Target="https://superi.ge/bosch-tat3p421/" TargetMode="External"/><Relationship Id="rId1092" Type="http://schemas.openxmlformats.org/officeDocument/2006/relationships/hyperlink" Target="https://superi.ge/ugreen-pb502-nexode-10000mah/" TargetMode="External"/><Relationship Id="rId1093" Type="http://schemas.openxmlformats.org/officeDocument/2006/relationships/hyperlink" Target="https://superi.ge/bestway-57448/" TargetMode="External"/><Relationship Id="rId1094" Type="http://schemas.openxmlformats.org/officeDocument/2006/relationships/hyperlink" Target="https://superi.ge/tenda-ac8-ac1200-black/" TargetMode="External"/><Relationship Id="rId1095" Type="http://schemas.openxmlformats.org/officeDocument/2006/relationships/hyperlink" Target="https://superi.ge/ugreen-pb503-5000mah/" TargetMode="External"/><Relationship Id="rId1096" Type="http://schemas.openxmlformats.org/officeDocument/2006/relationships/hyperlink" Target="https://superi.ge/zilan-zln6258/" TargetMode="External"/><Relationship Id="rId1097" Type="http://schemas.openxmlformats.org/officeDocument/2006/relationships/hyperlink" Target="https://superi.ge/13547-brown/" TargetMode="External"/><Relationship Id="rId1098" Type="http://schemas.openxmlformats.org/officeDocument/2006/relationships/hyperlink" Target="https://superi.ge/midea-ndk20-21a/" TargetMode="External"/><Relationship Id="rId1099" Type="http://schemas.openxmlformats.org/officeDocument/2006/relationships/hyperlink" Target="https://superi.ge/total-tht141451/" TargetMode="External"/><Relationship Id="rId1100" Type="http://schemas.openxmlformats.org/officeDocument/2006/relationships/hyperlink" Target="https://superi.ge/kumtel-ks-2760/" TargetMode="External"/><Relationship Id="rId1101" Type="http://schemas.openxmlformats.org/officeDocument/2006/relationships/hyperlink" Target="https://superi.ge/ugreen-pb561-5000mah/" TargetMode="External"/><Relationship Id="rId1102" Type="http://schemas.openxmlformats.org/officeDocument/2006/relationships/hyperlink" Target="https://superi.ge/midea-mj-bl6006w/" TargetMode="External"/><Relationship Id="rId1103" Type="http://schemas.openxmlformats.org/officeDocument/2006/relationships/hyperlink" Target="https://superi.ge/braun-hm1010wh/" TargetMode="External"/><Relationship Id="rId1104" Type="http://schemas.openxmlformats.org/officeDocument/2006/relationships/hyperlink" Target="https://superi.ge/zilan-zln1001/" TargetMode="External"/><Relationship Id="rId1105" Type="http://schemas.openxmlformats.org/officeDocument/2006/relationships/hyperlink" Target="https://superi.ge/nba-2k23-game-for-ps5/" TargetMode="External"/><Relationship Id="rId1106" Type="http://schemas.openxmlformats.org/officeDocument/2006/relationships/hyperlink" Target="https://superi.ge/bofigo-60x90-29/" TargetMode="External"/><Relationship Id="rId1107" Type="http://schemas.openxmlformats.org/officeDocument/2006/relationships/hyperlink" Target="https://superi.ge/lego-jurrasic-pteranodon-chase/" TargetMode="External"/><Relationship Id="rId1108" Type="http://schemas.openxmlformats.org/officeDocument/2006/relationships/hyperlink" Target="https://superi.ge/midea-mj-bh4001w/" TargetMode="External"/><Relationship Id="rId1109" Type="http://schemas.openxmlformats.org/officeDocument/2006/relationships/hyperlink" Target="https://superi.ge/gorenje-k15dws/" TargetMode="External"/><Relationship Id="rId1110" Type="http://schemas.openxmlformats.org/officeDocument/2006/relationships/hyperlink" Target="https://superi.ge/cansus-150-00-00018334/" TargetMode="External"/><Relationship Id="rId1111" Type="http://schemas.openxmlformats.org/officeDocument/2006/relationships/hyperlink" Target="https://superi.ge/07020919/" TargetMode="External"/><Relationship Id="rId1112" Type="http://schemas.openxmlformats.org/officeDocument/2006/relationships/hyperlink" Target="https://superi.ge/kumtel-lx-2830-m-black/" TargetMode="External"/><Relationship Id="rId1113" Type="http://schemas.openxmlformats.org/officeDocument/2006/relationships/hyperlink" Target="https://superi.ge/bestway-54005/" TargetMode="External"/><Relationship Id="rId1114" Type="http://schemas.openxmlformats.org/officeDocument/2006/relationships/hyperlink" Target="https://superi.ge/bestway-57392/" TargetMode="External"/><Relationship Id="rId1115" Type="http://schemas.openxmlformats.org/officeDocument/2006/relationships/hyperlink" Target="https://superi.ge/hp-652-f6v25ae-black/" TargetMode="External"/><Relationship Id="rId1116" Type="http://schemas.openxmlformats.org/officeDocument/2006/relationships/hyperlink" Target="https://superi.ge/midea-17d19a2-black/" TargetMode="External"/><Relationship Id="rId1117" Type="http://schemas.openxmlformats.org/officeDocument/2006/relationships/hyperlink" Target="https://superi.ge/intex-57558/" TargetMode="External"/><Relationship Id="rId1118" Type="http://schemas.openxmlformats.org/officeDocument/2006/relationships/hyperlink" Target="https://superi.ge/hp-652-f6v24ae/" TargetMode="External"/><Relationship Id="rId1119" Type="http://schemas.openxmlformats.org/officeDocument/2006/relationships/hyperlink" Target="https://superi.ge/bofigo-65-5x60-23/" TargetMode="External"/><Relationship Id="rId1120" Type="http://schemas.openxmlformats.org/officeDocument/2006/relationships/hyperlink" Target="https://superi.ge/enchantimals/" TargetMode="External"/><Relationship Id="rId1121" Type="http://schemas.openxmlformats.org/officeDocument/2006/relationships/hyperlink" Target="https://superi.ge/bort-bvc-95/" TargetMode="External"/><Relationship Id="rId1122" Type="http://schemas.openxmlformats.org/officeDocument/2006/relationships/hyperlink" Target="https://superi.ge/intex-57433/" TargetMode="External"/><Relationship Id="rId1123" Type="http://schemas.openxmlformats.org/officeDocument/2006/relationships/hyperlink" Target="https://superi.ge/pro-plan-steril-1-5-kg-7613036499927/" TargetMode="External"/><Relationship Id="rId1124" Type="http://schemas.openxmlformats.org/officeDocument/2006/relationships/hyperlink" Target="https://superi.ge/purina-pro-plan-delic-1-5-kg-7613036510523/" TargetMode="External"/><Relationship Id="rId1125" Type="http://schemas.openxmlformats.org/officeDocument/2006/relationships/hyperlink" Target="https://superi.ge/intex-58894/" TargetMode="External"/><Relationship Id="rId1126" Type="http://schemas.openxmlformats.org/officeDocument/2006/relationships/hyperlink" Target="https://superi.ge/intex-28030-305/" TargetMode="External"/><Relationship Id="rId1127" Type="http://schemas.openxmlformats.org/officeDocument/2006/relationships/hyperlink" Target="https://superi.ge/ham-190x150r/" TargetMode="External"/><Relationship Id="rId1128" Type="http://schemas.openxmlformats.org/officeDocument/2006/relationships/hyperlink" Target="https://superi.ge/colorview-led-06st-23-55/" TargetMode="External"/><Relationship Id="rId1129" Type="http://schemas.openxmlformats.org/officeDocument/2006/relationships/hyperlink" Target="https://superi.ge/15-ingco-ah1151/" TargetMode="External"/><Relationship Id="rId1130" Type="http://schemas.openxmlformats.org/officeDocument/2006/relationships/hyperlink" Target="https://superi.ge/wokin-815025-10/" TargetMode="External"/><Relationship Id="rId1131" Type="http://schemas.openxmlformats.org/officeDocument/2006/relationships/hyperlink" Target="https://superi.ge/purina-pro-plan-delicate-turkey-7613036546959/" TargetMode="External"/><Relationship Id="rId1132" Type="http://schemas.openxmlformats.org/officeDocument/2006/relationships/hyperlink" Target="https://superi.ge/luminarc-carine-19/" TargetMode="External"/><Relationship Id="rId1133" Type="http://schemas.openxmlformats.org/officeDocument/2006/relationships/hyperlink" Target="https://superi.ge/ardesto-ar2919ggc/" TargetMode="External"/><Relationship Id="rId1134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1"/>
    <col collapsed="false" customWidth="true" hidden="false" outlineLevel="0" max="3" min="3" style="1" width="20"/>
    <col collapsed="false" customWidth="true" hidden="false" outlineLevel="0" max="4" min="4" style="1" width="40"/>
    <col collapsed="false" customWidth="true" hidden="false" outlineLevel="0" max="5" min="5" style="1" width="12"/>
    <col collapsed="false" customWidth="true" hidden="false" outlineLevel="0" max="6" min="6" style="1" width="7"/>
    <col collapsed="false" customWidth="true" hidden="false" outlineLevel="0" max="7" min="7" style="1" width="20"/>
    <col collapsed="false" customWidth="true" hidden="false" outlineLevel="0" max="8" min="8" style="1" width="9"/>
    <col collapsed="false" customWidth="true" hidden="false" outlineLevel="0" max="10" min="9" style="1" width="10"/>
    <col collapsed="false" customWidth="true" hidden="false" outlineLevel="0" max="11" min="11" style="1" width="30"/>
    <col collapsed="false" customWidth="true" hidden="false" outlineLevel="0" max="12" min="12" style="1" width="60"/>
    <col collapsed="false" customWidth="true" hidden="false" outlineLevel="0" max="14" min="13" style="1" width="55"/>
    <col collapsed="false" customWidth="true" hidden="false" outlineLevel="0" max="15" min="15" style="1" width="9"/>
  </cols>
  <sheetData>
    <row r="1" customFormat="false" ht="4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</row>
    <row r="2" customFormat="false" ht="39" hidden="false" customHeight="true" outlineLevel="0" collapsed="false">
      <c r="A2" s="4" t="n">
        <v>1</v>
      </c>
      <c r="B2" s="5" t="n">
        <f aca="false">IF(OR(C2="სხვა მოდელი წერია",I2&gt;=განმარტება!$B$4),1,IF(OR(C2="ცარიელი",I2&gt;=1),2,IF(H2&gt;=განმარტება!$B$5,3,4)))</f>
        <v>1</v>
      </c>
      <c r="C2" s="6" t="s">
        <v>15</v>
      </c>
      <c r="D2" s="6" t="s">
        <v>16</v>
      </c>
      <c r="E2" s="7" t="s">
        <v>17</v>
      </c>
      <c r="F2" s="7" t="n">
        <v>2154</v>
      </c>
      <c r="G2" s="6" t="s">
        <v>18</v>
      </c>
      <c r="H2" s="8" t="n">
        <v>1380</v>
      </c>
      <c r="I2" s="8" t="n">
        <v>4219</v>
      </c>
      <c r="J2" s="7" t="n">
        <v>408</v>
      </c>
      <c r="K2" s="9" t="s">
        <v>19</v>
      </c>
      <c r="L2" s="6" t="s">
        <v>20</v>
      </c>
      <c r="M2" s="6" t="s">
        <v>21</v>
      </c>
      <c r="N2" s="10"/>
      <c r="O2" s="4" t="str">
        <f aca="false">IF(N2="","",LEN(N2))</f>
        <v/>
      </c>
    </row>
    <row r="3" customFormat="false" ht="39" hidden="false" customHeight="true" outlineLevel="0" collapsed="false">
      <c r="A3" s="4" t="n">
        <v>2</v>
      </c>
      <c r="B3" s="5" t="n">
        <f aca="false">IF(OR(C3="სხვა მოდელი წერია",I3&gt;=განმარტება!$B$4),1,IF(OR(C3="ცარიელი",I3&gt;=1),2,IF(H3&gt;=განმარტება!$B$5,3,4)))</f>
        <v>1</v>
      </c>
      <c r="C3" s="6" t="s">
        <v>15</v>
      </c>
      <c r="D3" s="6" t="s">
        <v>22</v>
      </c>
      <c r="E3" s="7" t="s">
        <v>23</v>
      </c>
      <c r="F3" s="7" t="n">
        <v>5090</v>
      </c>
      <c r="G3" s="6" t="s">
        <v>24</v>
      </c>
      <c r="H3" s="8" t="n">
        <v>4999</v>
      </c>
      <c r="I3" s="8" t="n">
        <v>2166</v>
      </c>
      <c r="J3" s="7" t="n">
        <v>32</v>
      </c>
      <c r="K3" s="9" t="s">
        <v>25</v>
      </c>
      <c r="L3" s="6" t="s">
        <v>26</v>
      </c>
      <c r="M3" s="6" t="s">
        <v>27</v>
      </c>
      <c r="N3" s="10"/>
      <c r="O3" s="4" t="str">
        <f aca="false">IF(N3="","",LEN(N3))</f>
        <v/>
      </c>
    </row>
    <row r="4" customFormat="false" ht="51.75" hidden="false" customHeight="true" outlineLevel="0" collapsed="false">
      <c r="A4" s="4" t="n">
        <v>3</v>
      </c>
      <c r="B4" s="5" t="n">
        <f aca="false">IF(OR(C4="სხვა მოდელი წერია",I4&gt;=განმარტება!$B$4),1,IF(OR(C4="ცარიელი",I4&gt;=1),2,IF(H4&gt;=განმარტება!$B$5,3,4)))</f>
        <v>1</v>
      </c>
      <c r="C4" s="6" t="s">
        <v>15</v>
      </c>
      <c r="D4" s="6" t="s">
        <v>28</v>
      </c>
      <c r="E4" s="7" t="s">
        <v>29</v>
      </c>
      <c r="F4" s="7" t="n">
        <v>2228</v>
      </c>
      <c r="G4" s="6" t="s">
        <v>30</v>
      </c>
      <c r="H4" s="8" t="n">
        <v>1819</v>
      </c>
      <c r="I4" s="8" t="n">
        <v>1293</v>
      </c>
      <c r="J4" s="7" t="n">
        <v>3</v>
      </c>
      <c r="K4" s="9" t="s">
        <v>31</v>
      </c>
      <c r="L4" s="6" t="s">
        <v>32</v>
      </c>
      <c r="M4" s="6" t="s">
        <v>33</v>
      </c>
      <c r="N4" s="10"/>
      <c r="O4" s="4" t="str">
        <f aca="false">IF(N4="","",LEN(N4))</f>
        <v/>
      </c>
    </row>
    <row r="5" customFormat="false" ht="39" hidden="false" customHeight="true" outlineLevel="0" collapsed="false">
      <c r="A5" s="4" t="n">
        <v>4</v>
      </c>
      <c r="B5" s="5" t="n">
        <f aca="false">IF(OR(C5="სხვა მოდელი წერია",I5&gt;=განმარტება!$B$4),1,IF(OR(C5="ცარიელი",I5&gt;=1),2,IF(H5&gt;=განმარტება!$B$5,3,4)))</f>
        <v>1</v>
      </c>
      <c r="C5" s="6" t="s">
        <v>15</v>
      </c>
      <c r="D5" s="6" t="s">
        <v>34</v>
      </c>
      <c r="E5" s="7" t="s">
        <v>35</v>
      </c>
      <c r="F5" s="7" t="n">
        <v>3139</v>
      </c>
      <c r="G5" s="6" t="s">
        <v>36</v>
      </c>
      <c r="H5" s="8" t="n">
        <v>1799</v>
      </c>
      <c r="I5" s="8" t="n">
        <v>1222</v>
      </c>
      <c r="J5" s="7" t="n">
        <v>35</v>
      </c>
      <c r="K5" s="9" t="s">
        <v>37</v>
      </c>
      <c r="L5" s="6" t="s">
        <v>38</v>
      </c>
      <c r="M5" s="6" t="s">
        <v>39</v>
      </c>
      <c r="N5" s="10"/>
      <c r="O5" s="4" t="str">
        <f aca="false">IF(N5="","",LEN(N5))</f>
        <v/>
      </c>
    </row>
    <row r="6" customFormat="false" ht="39" hidden="false" customHeight="true" outlineLevel="0" collapsed="false">
      <c r="A6" s="4" t="n">
        <v>5</v>
      </c>
      <c r="B6" s="5" t="n">
        <f aca="false">IF(OR(C6="სხვა მოდელი წერია",I6&gt;=განმარტება!$B$4),1,IF(OR(C6="ცარიელი",I6&gt;=1),2,IF(H6&gt;=განმარტება!$B$5,3,4)))</f>
        <v>1</v>
      </c>
      <c r="C6" s="6" t="s">
        <v>15</v>
      </c>
      <c r="D6" s="6" t="s">
        <v>40</v>
      </c>
      <c r="E6" s="7" t="s">
        <v>41</v>
      </c>
      <c r="F6" s="7" t="n">
        <v>2809</v>
      </c>
      <c r="G6" s="6" t="s">
        <v>42</v>
      </c>
      <c r="H6" s="8" t="n">
        <v>399</v>
      </c>
      <c r="I6" s="8" t="n">
        <v>980</v>
      </c>
      <c r="J6" s="7" t="n">
        <v>8</v>
      </c>
      <c r="K6" s="9" t="s">
        <v>43</v>
      </c>
      <c r="L6" s="6" t="s">
        <v>44</v>
      </c>
      <c r="M6" s="6" t="s">
        <v>45</v>
      </c>
      <c r="N6" s="10"/>
      <c r="O6" s="4" t="str">
        <f aca="false">IF(N6="","",LEN(N6))</f>
        <v/>
      </c>
    </row>
    <row r="7" customFormat="false" ht="51.75" hidden="false" customHeight="true" outlineLevel="0" collapsed="false">
      <c r="A7" s="4" t="n">
        <v>6</v>
      </c>
      <c r="B7" s="5" t="n">
        <f aca="false">IF(OR(C7="სხვა მოდელი წერია",I7&gt;=განმარტება!$B$4),1,IF(OR(C7="ცარიელი",I7&gt;=1),2,IF(H7&gt;=განმარტება!$B$5,3,4)))</f>
        <v>1</v>
      </c>
      <c r="C7" s="6" t="s">
        <v>15</v>
      </c>
      <c r="D7" s="6" t="s">
        <v>46</v>
      </c>
      <c r="E7" s="7" t="s">
        <v>47</v>
      </c>
      <c r="F7" s="7" t="n">
        <v>1026</v>
      </c>
      <c r="G7" s="6" t="s">
        <v>48</v>
      </c>
      <c r="H7" s="8" t="n">
        <v>1279</v>
      </c>
      <c r="I7" s="8" t="n">
        <v>865</v>
      </c>
      <c r="J7" s="7" t="n">
        <v>15</v>
      </c>
      <c r="K7" s="9" t="s">
        <v>49</v>
      </c>
      <c r="L7" s="6" t="s">
        <v>50</v>
      </c>
      <c r="M7" s="6" t="s">
        <v>51</v>
      </c>
      <c r="N7" s="10"/>
      <c r="O7" s="4" t="str">
        <f aca="false">IF(N7="","",LEN(N7))</f>
        <v/>
      </c>
    </row>
    <row r="8" customFormat="false" ht="64.5" hidden="false" customHeight="true" outlineLevel="0" collapsed="false">
      <c r="A8" s="4" t="n">
        <v>7</v>
      </c>
      <c r="B8" s="5" t="n">
        <f aca="false">IF(OR(C8="სხვა მოდელი წერია",I8&gt;=განმარტება!$B$4),1,IF(OR(C8="ცარიელი",I8&gt;=1),2,IF(H8&gt;=განმარტება!$B$5,3,4)))</f>
        <v>1</v>
      </c>
      <c r="C8" s="6" t="s">
        <v>15</v>
      </c>
      <c r="D8" s="6" t="s">
        <v>52</v>
      </c>
      <c r="E8" s="7" t="s">
        <v>53</v>
      </c>
      <c r="F8" s="7" t="n">
        <v>2684</v>
      </c>
      <c r="G8" s="6" t="s">
        <v>54</v>
      </c>
      <c r="H8" s="8" t="n">
        <v>69</v>
      </c>
      <c r="I8" s="8" t="n">
        <v>724</v>
      </c>
      <c r="J8" s="7" t="n">
        <v>28</v>
      </c>
      <c r="K8" s="9" t="s">
        <v>55</v>
      </c>
      <c r="L8" s="6" t="s">
        <v>56</v>
      </c>
      <c r="M8" s="6" t="s">
        <v>57</v>
      </c>
      <c r="N8" s="10"/>
      <c r="O8" s="4" t="str">
        <f aca="false">IF(N8="","",LEN(N8))</f>
        <v/>
      </c>
    </row>
    <row r="9" customFormat="false" ht="51.75" hidden="false" customHeight="true" outlineLevel="0" collapsed="false">
      <c r="A9" s="4" t="n">
        <v>8</v>
      </c>
      <c r="B9" s="5" t="n">
        <f aca="false">IF(OR(C9="სხვა მოდელი წერია",I9&gt;=განმარტება!$B$4),1,IF(OR(C9="ცარიელი",I9&gt;=1),2,IF(H9&gt;=განმარტება!$B$5,3,4)))</f>
        <v>1</v>
      </c>
      <c r="C9" s="6" t="s">
        <v>58</v>
      </c>
      <c r="D9" s="6" t="s">
        <v>59</v>
      </c>
      <c r="E9" s="7" t="s">
        <v>60</v>
      </c>
      <c r="F9" s="7" t="n">
        <v>9632</v>
      </c>
      <c r="G9" s="6" t="s">
        <v>61</v>
      </c>
      <c r="H9" s="8" t="n">
        <v>2199</v>
      </c>
      <c r="I9" s="8" t="n">
        <v>697</v>
      </c>
      <c r="J9" s="7" t="n">
        <v>15</v>
      </c>
      <c r="K9" s="9" t="s">
        <v>62</v>
      </c>
      <c r="L9" s="6" t="s">
        <v>63</v>
      </c>
      <c r="M9" s="6" t="s">
        <v>64</v>
      </c>
      <c r="N9" s="10"/>
      <c r="O9" s="4" t="str">
        <f aca="false">IF(N9="","",LEN(N9))</f>
        <v/>
      </c>
    </row>
    <row r="10" customFormat="false" ht="64.5" hidden="false" customHeight="true" outlineLevel="0" collapsed="false">
      <c r="A10" s="4" t="n">
        <v>9</v>
      </c>
      <c r="B10" s="5" t="n">
        <f aca="false">IF(OR(C10="სხვა მოდელი წერია",I10&gt;=განმარტება!$B$4),1,IF(OR(C10="ცარიელი",I10&gt;=1),2,IF(H10&gt;=განმარტება!$B$5,3,4)))</f>
        <v>1</v>
      </c>
      <c r="C10" s="6" t="s">
        <v>15</v>
      </c>
      <c r="D10" s="6" t="s">
        <v>65</v>
      </c>
      <c r="E10" s="7" t="s">
        <v>66</v>
      </c>
      <c r="F10" s="7" t="n">
        <v>671</v>
      </c>
      <c r="G10" s="6" t="s">
        <v>54</v>
      </c>
      <c r="H10" s="8" t="n">
        <v>129</v>
      </c>
      <c r="I10" s="8" t="n">
        <v>692</v>
      </c>
      <c r="J10" s="7" t="n">
        <v>36</v>
      </c>
      <c r="K10" s="9" t="s">
        <v>67</v>
      </c>
      <c r="L10" s="6" t="s">
        <v>68</v>
      </c>
      <c r="M10" s="6" t="s">
        <v>69</v>
      </c>
      <c r="N10" s="10"/>
      <c r="O10" s="4" t="str">
        <f aca="false">IF(N10="","",LEN(N10))</f>
        <v/>
      </c>
    </row>
    <row r="11" customFormat="false" ht="39" hidden="false" customHeight="true" outlineLevel="0" collapsed="false">
      <c r="A11" s="4" t="n">
        <v>10</v>
      </c>
      <c r="B11" s="5" t="n">
        <f aca="false">IF(OR(C11="სხვა მოდელი წერია",I11&gt;=განმარტება!$B$4),1,IF(OR(C11="ცარიელი",I11&gt;=1),2,IF(H11&gt;=განმარტება!$B$5,3,4)))</f>
        <v>1</v>
      </c>
      <c r="C11" s="6" t="s">
        <v>15</v>
      </c>
      <c r="D11" s="6" t="s">
        <v>70</v>
      </c>
      <c r="E11" s="7" t="s">
        <v>71</v>
      </c>
      <c r="F11" s="7" t="n">
        <v>4026</v>
      </c>
      <c r="G11" s="6" t="s">
        <v>24</v>
      </c>
      <c r="H11" s="8" t="n">
        <v>1349</v>
      </c>
      <c r="I11" s="8" t="n">
        <v>633</v>
      </c>
      <c r="J11" s="7" t="n">
        <v>15</v>
      </c>
      <c r="K11" s="9" t="s">
        <v>72</v>
      </c>
      <c r="L11" s="6" t="s">
        <v>73</v>
      </c>
      <c r="M11" s="6" t="s">
        <v>74</v>
      </c>
      <c r="N11" s="10"/>
      <c r="O11" s="4" t="str">
        <f aca="false">IF(N11="","",LEN(N11))</f>
        <v/>
      </c>
    </row>
    <row r="12" customFormat="false" ht="39" hidden="false" customHeight="true" outlineLevel="0" collapsed="false">
      <c r="A12" s="4" t="n">
        <v>11</v>
      </c>
      <c r="B12" s="5" t="n">
        <f aca="false">IF(OR(C12="სხვა მოდელი წერია",I12&gt;=განმარტება!$B$4),1,IF(OR(C12="ცარიელი",I12&gt;=1),2,IF(H12&gt;=განმარტება!$B$5,3,4)))</f>
        <v>1</v>
      </c>
      <c r="C12" s="6" t="s">
        <v>15</v>
      </c>
      <c r="D12" s="6" t="s">
        <v>75</v>
      </c>
      <c r="E12" s="7" t="s">
        <v>76</v>
      </c>
      <c r="F12" s="7" t="n">
        <v>2579</v>
      </c>
      <c r="G12" s="6" t="s">
        <v>77</v>
      </c>
      <c r="H12" s="8" t="n">
        <v>1298</v>
      </c>
      <c r="I12" s="8" t="n">
        <v>612</v>
      </c>
      <c r="J12" s="7" t="n">
        <v>42</v>
      </c>
      <c r="K12" s="9" t="s">
        <v>78</v>
      </c>
      <c r="L12" s="6" t="s">
        <v>79</v>
      </c>
      <c r="M12" s="6" t="s">
        <v>80</v>
      </c>
      <c r="N12" s="10"/>
      <c r="O12" s="4" t="str">
        <f aca="false">IF(N12="","",LEN(N12))</f>
        <v/>
      </c>
    </row>
    <row r="13" customFormat="false" ht="39" hidden="false" customHeight="true" outlineLevel="0" collapsed="false">
      <c r="A13" s="4" t="n">
        <v>12</v>
      </c>
      <c r="B13" s="5" t="n">
        <f aca="false">IF(OR(C13="სხვა მოდელი წერია",I13&gt;=განმარტება!$B$4),1,IF(OR(C13="ცარიელი",I13&gt;=1),2,IF(H13&gt;=განმარტება!$B$5,3,4)))</f>
        <v>1</v>
      </c>
      <c r="C13" s="6" t="s">
        <v>15</v>
      </c>
      <c r="D13" s="6" t="s">
        <v>81</v>
      </c>
      <c r="E13" s="7" t="s">
        <v>82</v>
      </c>
      <c r="F13" s="7" t="n">
        <v>2993</v>
      </c>
      <c r="G13" s="6" t="s">
        <v>83</v>
      </c>
      <c r="H13" s="8" t="n">
        <v>149</v>
      </c>
      <c r="I13" s="8" t="n">
        <v>587</v>
      </c>
      <c r="J13" s="7" t="n">
        <v>22</v>
      </c>
      <c r="K13" s="9" t="s">
        <v>84</v>
      </c>
      <c r="L13" s="6" t="s">
        <v>85</v>
      </c>
      <c r="M13" s="6" t="s">
        <v>86</v>
      </c>
      <c r="N13" s="10"/>
      <c r="O13" s="4" t="str">
        <f aca="false">IF(N13="","",LEN(N13))</f>
        <v/>
      </c>
    </row>
    <row r="14" customFormat="false" ht="39" hidden="false" customHeight="true" outlineLevel="0" collapsed="false">
      <c r="A14" s="4" t="n">
        <v>13</v>
      </c>
      <c r="B14" s="5" t="n">
        <f aca="false">IF(OR(C14="სხვა მოდელი წერია",I14&gt;=განმარტება!$B$4),1,IF(OR(C14="ცარიელი",I14&gt;=1),2,IF(H14&gt;=განმარტება!$B$5,3,4)))</f>
        <v>1</v>
      </c>
      <c r="C14" s="6" t="s">
        <v>15</v>
      </c>
      <c r="D14" s="6" t="s">
        <v>87</v>
      </c>
      <c r="E14" s="7" t="s">
        <v>88</v>
      </c>
      <c r="F14" s="7" t="n">
        <v>1875</v>
      </c>
      <c r="G14" s="6" t="s">
        <v>89</v>
      </c>
      <c r="H14" s="8" t="n">
        <v>699</v>
      </c>
      <c r="I14" s="8" t="n">
        <v>586</v>
      </c>
      <c r="J14" s="7" t="n">
        <v>25</v>
      </c>
      <c r="K14" s="9" t="s">
        <v>90</v>
      </c>
      <c r="L14" s="6" t="s">
        <v>91</v>
      </c>
      <c r="M14" s="6" t="s">
        <v>92</v>
      </c>
      <c r="N14" s="10"/>
      <c r="O14" s="4" t="str">
        <f aca="false">IF(N14="","",LEN(N14))</f>
        <v/>
      </c>
    </row>
    <row r="15" customFormat="false" ht="64.5" hidden="false" customHeight="true" outlineLevel="0" collapsed="false">
      <c r="A15" s="4" t="n">
        <v>14</v>
      </c>
      <c r="B15" s="5" t="n">
        <f aca="false">IF(OR(C15="სხვა მოდელი წერია",I15&gt;=განმარტება!$B$4),1,IF(OR(C15="ცარიელი",I15&gt;=1),2,IF(H15&gt;=განმარტება!$B$5,3,4)))</f>
        <v>1</v>
      </c>
      <c r="C15" s="6" t="s">
        <v>15</v>
      </c>
      <c r="D15" s="6" t="s">
        <v>93</v>
      </c>
      <c r="E15" s="7" t="s">
        <v>94</v>
      </c>
      <c r="F15" s="7" t="n">
        <v>1477</v>
      </c>
      <c r="G15" s="6" t="s">
        <v>95</v>
      </c>
      <c r="H15" s="8" t="n">
        <v>1499</v>
      </c>
      <c r="I15" s="8" t="n">
        <v>535</v>
      </c>
      <c r="J15" s="7" t="n">
        <v>8</v>
      </c>
      <c r="K15" s="9" t="s">
        <v>96</v>
      </c>
      <c r="L15" s="6" t="s">
        <v>97</v>
      </c>
      <c r="M15" s="6" t="s">
        <v>98</v>
      </c>
      <c r="N15" s="10"/>
      <c r="O15" s="4" t="str">
        <f aca="false">IF(N15="","",LEN(N15))</f>
        <v/>
      </c>
    </row>
    <row r="16" customFormat="false" ht="64.5" hidden="false" customHeight="true" outlineLevel="0" collapsed="false">
      <c r="A16" s="4" t="n">
        <v>15</v>
      </c>
      <c r="B16" s="5" t="n">
        <f aca="false">IF(OR(C16="სხვა მოდელი წერია",I16&gt;=განმარტება!$B$4),1,IF(OR(C16="ცარიელი",I16&gt;=1),2,IF(H16&gt;=განმარტება!$B$5,3,4)))</f>
        <v>1</v>
      </c>
      <c r="C16" s="6" t="s">
        <v>15</v>
      </c>
      <c r="D16" s="6" t="s">
        <v>99</v>
      </c>
      <c r="E16" s="7" t="s">
        <v>100</v>
      </c>
      <c r="F16" s="7" t="n">
        <v>1485</v>
      </c>
      <c r="G16" s="6" t="s">
        <v>95</v>
      </c>
      <c r="H16" s="8" t="n">
        <v>1369</v>
      </c>
      <c r="I16" s="8" t="n">
        <v>437</v>
      </c>
      <c r="J16" s="7" t="n">
        <v>9</v>
      </c>
      <c r="K16" s="9" t="s">
        <v>101</v>
      </c>
      <c r="L16" s="6" t="s">
        <v>102</v>
      </c>
      <c r="M16" s="6" t="s">
        <v>103</v>
      </c>
      <c r="N16" s="10"/>
      <c r="O16" s="4" t="str">
        <f aca="false">IF(N16="","",LEN(N16))</f>
        <v/>
      </c>
    </row>
    <row r="17" customFormat="false" ht="39" hidden="false" customHeight="true" outlineLevel="0" collapsed="false">
      <c r="A17" s="4" t="n">
        <v>16</v>
      </c>
      <c r="B17" s="5" t="n">
        <f aca="false">IF(OR(C17="სხვა მოდელი წერია",I17&gt;=განმარტება!$B$4),1,IF(OR(C17="ცარიელი",I17&gt;=1),2,IF(H17&gt;=განმარტება!$B$5,3,4)))</f>
        <v>1</v>
      </c>
      <c r="C17" s="6" t="s">
        <v>15</v>
      </c>
      <c r="D17" s="6" t="s">
        <v>104</v>
      </c>
      <c r="E17" s="7" t="s">
        <v>105</v>
      </c>
      <c r="F17" s="7" t="n">
        <v>1331</v>
      </c>
      <c r="G17" s="6" t="s">
        <v>106</v>
      </c>
      <c r="H17" s="8" t="n">
        <v>3100</v>
      </c>
      <c r="I17" s="8" t="n">
        <v>425</v>
      </c>
      <c r="J17" s="7" t="n">
        <v>7</v>
      </c>
      <c r="K17" s="9" t="s">
        <v>107</v>
      </c>
      <c r="L17" s="6" t="s">
        <v>108</v>
      </c>
      <c r="M17" s="6" t="s">
        <v>109</v>
      </c>
      <c r="N17" s="10"/>
      <c r="O17" s="4" t="str">
        <f aca="false">IF(N17="","",LEN(N17))</f>
        <v/>
      </c>
    </row>
    <row r="18" customFormat="false" ht="39" hidden="false" customHeight="true" outlineLevel="0" collapsed="false">
      <c r="A18" s="4" t="n">
        <v>17</v>
      </c>
      <c r="B18" s="5" t="n">
        <f aca="false">IF(OR(C18="სხვა მოდელი წერია",I18&gt;=განმარტება!$B$4),1,IF(OR(C18="ცარიელი",I18&gt;=1),2,IF(H18&gt;=განმარტება!$B$5,3,4)))</f>
        <v>1</v>
      </c>
      <c r="C18" s="6" t="s">
        <v>15</v>
      </c>
      <c r="D18" s="6" t="s">
        <v>110</v>
      </c>
      <c r="E18" s="7" t="s">
        <v>111</v>
      </c>
      <c r="F18" s="7" t="n">
        <v>1679</v>
      </c>
      <c r="G18" s="6" t="s">
        <v>112</v>
      </c>
      <c r="H18" s="8" t="n">
        <v>1899</v>
      </c>
      <c r="I18" s="8" t="n">
        <v>411</v>
      </c>
      <c r="J18" s="7" t="n">
        <v>3</v>
      </c>
      <c r="K18" s="9" t="s">
        <v>113</v>
      </c>
      <c r="L18" s="6" t="s">
        <v>114</v>
      </c>
      <c r="M18" s="6" t="s">
        <v>115</v>
      </c>
      <c r="N18" s="10"/>
      <c r="O18" s="4" t="str">
        <f aca="false">IF(N18="","",LEN(N18))</f>
        <v/>
      </c>
    </row>
    <row r="19" customFormat="false" ht="39" hidden="false" customHeight="true" outlineLevel="0" collapsed="false">
      <c r="A19" s="4" t="n">
        <v>18</v>
      </c>
      <c r="B19" s="5" t="n">
        <f aca="false">IF(OR(C19="სხვა მოდელი წერია",I19&gt;=განმარტება!$B$4),1,IF(OR(C19="ცარიელი",I19&gt;=1),2,IF(H19&gt;=განმარტება!$B$5,3,4)))</f>
        <v>1</v>
      </c>
      <c r="C19" s="6" t="s">
        <v>15</v>
      </c>
      <c r="D19" s="6" t="s">
        <v>116</v>
      </c>
      <c r="E19" s="7" t="s">
        <v>117</v>
      </c>
      <c r="F19" s="7" t="n">
        <v>3448</v>
      </c>
      <c r="G19" s="6" t="s">
        <v>118</v>
      </c>
      <c r="H19" s="8" t="n">
        <v>1748</v>
      </c>
      <c r="I19" s="8" t="n">
        <v>379</v>
      </c>
      <c r="J19" s="7" t="n">
        <v>10</v>
      </c>
      <c r="K19" s="9" t="s">
        <v>119</v>
      </c>
      <c r="L19" s="6" t="s">
        <v>120</v>
      </c>
      <c r="M19" s="6" t="s">
        <v>121</v>
      </c>
      <c r="N19" s="10"/>
      <c r="O19" s="4" t="str">
        <f aca="false">IF(N19="","",LEN(N19))</f>
        <v/>
      </c>
    </row>
    <row r="20" customFormat="false" ht="39" hidden="false" customHeight="true" outlineLevel="0" collapsed="false">
      <c r="A20" s="4" t="n">
        <v>19</v>
      </c>
      <c r="B20" s="5" t="n">
        <f aca="false">IF(OR(C20="სხვა მოდელი წერია",I20&gt;=განმარტება!$B$4),1,IF(OR(C20="ცარიელი",I20&gt;=1),2,IF(H20&gt;=განმარტება!$B$5,3,4)))</f>
        <v>1</v>
      </c>
      <c r="C20" s="6" t="s">
        <v>15</v>
      </c>
      <c r="D20" s="6" t="s">
        <v>122</v>
      </c>
      <c r="E20" s="7" t="s">
        <v>123</v>
      </c>
      <c r="F20" s="7" t="n">
        <v>1827</v>
      </c>
      <c r="G20" s="6" t="s">
        <v>83</v>
      </c>
      <c r="H20" s="8" t="n">
        <v>329</v>
      </c>
      <c r="I20" s="8" t="n">
        <v>376</v>
      </c>
      <c r="J20" s="7" t="n">
        <v>27</v>
      </c>
      <c r="K20" s="9" t="s">
        <v>124</v>
      </c>
      <c r="L20" s="6" t="s">
        <v>125</v>
      </c>
      <c r="M20" s="6" t="s">
        <v>126</v>
      </c>
      <c r="N20" s="10"/>
      <c r="O20" s="4" t="str">
        <f aca="false">IF(N20="","",LEN(N20))</f>
        <v/>
      </c>
    </row>
    <row r="21" customFormat="false" ht="51.75" hidden="false" customHeight="true" outlineLevel="0" collapsed="false">
      <c r="A21" s="4" t="n">
        <v>20</v>
      </c>
      <c r="B21" s="5" t="n">
        <f aca="false">IF(OR(C21="სხვა მოდელი წერია",I21&gt;=განმარტება!$B$4),1,IF(OR(C21="ცარიელი",I21&gt;=1),2,IF(H21&gt;=განმარტება!$B$5,3,4)))</f>
        <v>1</v>
      </c>
      <c r="C21" s="6" t="s">
        <v>15</v>
      </c>
      <c r="D21" s="6" t="s">
        <v>127</v>
      </c>
      <c r="E21" s="7" t="s">
        <v>128</v>
      </c>
      <c r="F21" s="7" t="n">
        <v>2824</v>
      </c>
      <c r="G21" s="6" t="s">
        <v>48</v>
      </c>
      <c r="H21" s="8" t="n">
        <v>949</v>
      </c>
      <c r="I21" s="8" t="n">
        <v>352</v>
      </c>
      <c r="J21" s="7" t="n">
        <v>10</v>
      </c>
      <c r="K21" s="9" t="s">
        <v>129</v>
      </c>
      <c r="L21" s="6" t="s">
        <v>130</v>
      </c>
      <c r="M21" s="6" t="s">
        <v>131</v>
      </c>
      <c r="N21" s="10"/>
      <c r="O21" s="4" t="str">
        <f aca="false">IF(N21="","",LEN(N21))</f>
        <v/>
      </c>
    </row>
    <row r="22" customFormat="false" ht="51.75" hidden="false" customHeight="true" outlineLevel="0" collapsed="false">
      <c r="A22" s="4" t="n">
        <v>21</v>
      </c>
      <c r="B22" s="5" t="n">
        <f aca="false">IF(OR(C22="სხვა მოდელი წერია",I22&gt;=განმარტება!$B$4),1,IF(OR(C22="ცარიელი",I22&gt;=1),2,IF(H22&gt;=განმარტება!$B$5,3,4)))</f>
        <v>1</v>
      </c>
      <c r="C22" s="6" t="s">
        <v>15</v>
      </c>
      <c r="D22" s="6" t="s">
        <v>132</v>
      </c>
      <c r="E22" s="7" t="s">
        <v>133</v>
      </c>
      <c r="F22" s="7" t="n">
        <v>3900</v>
      </c>
      <c r="G22" s="6" t="s">
        <v>134</v>
      </c>
      <c r="H22" s="8" t="n">
        <v>549</v>
      </c>
      <c r="I22" s="8" t="n">
        <v>346</v>
      </c>
      <c r="J22" s="7" t="n">
        <v>15</v>
      </c>
      <c r="K22" s="9" t="s">
        <v>135</v>
      </c>
      <c r="L22" s="6" t="s">
        <v>136</v>
      </c>
      <c r="M22" s="6" t="s">
        <v>137</v>
      </c>
      <c r="N22" s="10"/>
      <c r="O22" s="4" t="str">
        <f aca="false">IF(N22="","",LEN(N22))</f>
        <v/>
      </c>
    </row>
    <row r="23" customFormat="false" ht="51.75" hidden="false" customHeight="true" outlineLevel="0" collapsed="false">
      <c r="A23" s="4" t="n">
        <v>22</v>
      </c>
      <c r="B23" s="5" t="n">
        <f aca="false">IF(OR(C23="სხვა მოდელი წერია",I23&gt;=განმარტება!$B$4),1,IF(OR(C23="ცარიელი",I23&gt;=1),2,IF(H23&gt;=განმარტება!$B$5,3,4)))</f>
        <v>1</v>
      </c>
      <c r="C23" s="6" t="s">
        <v>15</v>
      </c>
      <c r="D23" s="6" t="s">
        <v>138</v>
      </c>
      <c r="E23" s="7" t="s">
        <v>139</v>
      </c>
      <c r="F23" s="7" t="n">
        <v>701</v>
      </c>
      <c r="G23" s="6" t="s">
        <v>30</v>
      </c>
      <c r="H23" s="8" t="n">
        <v>1299</v>
      </c>
      <c r="I23" s="8" t="n">
        <v>342</v>
      </c>
      <c r="J23" s="7" t="n">
        <v>11</v>
      </c>
      <c r="K23" s="9" t="s">
        <v>140</v>
      </c>
      <c r="L23" s="6" t="s">
        <v>141</v>
      </c>
      <c r="M23" s="6" t="s">
        <v>142</v>
      </c>
      <c r="N23" s="10"/>
      <c r="O23" s="4" t="str">
        <f aca="false">IF(N23="","",LEN(N23))</f>
        <v/>
      </c>
    </row>
    <row r="24" customFormat="false" ht="64.5" hidden="false" customHeight="true" outlineLevel="0" collapsed="false">
      <c r="A24" s="4" t="n">
        <v>23</v>
      </c>
      <c r="B24" s="5" t="n">
        <f aca="false">IF(OR(C24="სხვა მოდელი წერია",I24&gt;=განმარტება!$B$4),1,IF(OR(C24="ცარიელი",I24&gt;=1),2,IF(H24&gt;=განმარტება!$B$5,3,4)))</f>
        <v>1</v>
      </c>
      <c r="C24" s="6" t="s">
        <v>15</v>
      </c>
      <c r="D24" s="6" t="s">
        <v>143</v>
      </c>
      <c r="E24" s="7" t="s">
        <v>144</v>
      </c>
      <c r="F24" s="7" t="n">
        <v>2529</v>
      </c>
      <c r="G24" s="6" t="s">
        <v>145</v>
      </c>
      <c r="H24" s="8" t="n">
        <v>2009</v>
      </c>
      <c r="I24" s="8" t="n">
        <v>332</v>
      </c>
      <c r="J24" s="7" t="n">
        <v>7</v>
      </c>
      <c r="K24" s="9" t="s">
        <v>146</v>
      </c>
      <c r="L24" s="6" t="s">
        <v>147</v>
      </c>
      <c r="M24" s="6" t="s">
        <v>148</v>
      </c>
      <c r="N24" s="10"/>
      <c r="O24" s="4" t="str">
        <f aca="false">IF(N24="","",LEN(N24))</f>
        <v/>
      </c>
    </row>
    <row r="25" customFormat="false" ht="39" hidden="false" customHeight="true" outlineLevel="0" collapsed="false">
      <c r="A25" s="4" t="n">
        <v>24</v>
      </c>
      <c r="B25" s="5" t="n">
        <f aca="false">IF(OR(C25="სხვა მოდელი წერია",I25&gt;=განმარტება!$B$4),1,IF(OR(C25="ცარიელი",I25&gt;=1),2,IF(H25&gt;=განმარტება!$B$5,3,4)))</f>
        <v>1</v>
      </c>
      <c r="C25" s="6" t="s">
        <v>15</v>
      </c>
      <c r="D25" s="6" t="s">
        <v>149</v>
      </c>
      <c r="E25" s="7" t="s">
        <v>150</v>
      </c>
      <c r="F25" s="7" t="n">
        <v>3760</v>
      </c>
      <c r="G25" s="6" t="s">
        <v>24</v>
      </c>
      <c r="H25" s="8" t="n">
        <v>1699</v>
      </c>
      <c r="I25" s="8" t="n">
        <v>329</v>
      </c>
      <c r="J25" s="7" t="n">
        <v>3</v>
      </c>
      <c r="K25" s="9" t="s">
        <v>151</v>
      </c>
      <c r="L25" s="6" t="s">
        <v>152</v>
      </c>
      <c r="M25" s="6" t="s">
        <v>153</v>
      </c>
      <c r="N25" s="10"/>
      <c r="O25" s="4" t="str">
        <f aca="false">IF(N25="","",LEN(N25))</f>
        <v/>
      </c>
    </row>
    <row r="26" customFormat="false" ht="39" hidden="false" customHeight="true" outlineLevel="0" collapsed="false">
      <c r="A26" s="4" t="n">
        <v>25</v>
      </c>
      <c r="B26" s="5" t="n">
        <f aca="false">IF(OR(C26="სხვა მოდელი წერია",I26&gt;=განმარტება!$B$4),1,IF(OR(C26="ცარიელი",I26&gt;=1),2,IF(H26&gt;=განმარტება!$B$5,3,4)))</f>
        <v>1</v>
      </c>
      <c r="C26" s="6" t="s">
        <v>15</v>
      </c>
      <c r="D26" s="6" t="s">
        <v>154</v>
      </c>
      <c r="E26" s="7" t="s">
        <v>155</v>
      </c>
      <c r="F26" s="7" t="n">
        <v>3888</v>
      </c>
      <c r="G26" s="6" t="s">
        <v>156</v>
      </c>
      <c r="H26" s="8" t="n">
        <v>1599</v>
      </c>
      <c r="I26" s="8" t="n">
        <v>311</v>
      </c>
      <c r="J26" s="7" t="n">
        <v>6</v>
      </c>
      <c r="K26" s="9" t="s">
        <v>157</v>
      </c>
      <c r="L26" s="6" t="s">
        <v>158</v>
      </c>
      <c r="M26" s="6" t="s">
        <v>159</v>
      </c>
      <c r="N26" s="10"/>
      <c r="O26" s="4" t="str">
        <f aca="false">IF(N26="","",LEN(N26))</f>
        <v/>
      </c>
    </row>
    <row r="27" customFormat="false" ht="64.5" hidden="false" customHeight="true" outlineLevel="0" collapsed="false">
      <c r="A27" s="4" t="n">
        <v>26</v>
      </c>
      <c r="B27" s="5" t="n">
        <f aca="false">IF(OR(C27="სხვა მოდელი წერია",I27&gt;=განმარტება!$B$4),1,IF(OR(C27="ცარიელი",I27&gt;=1),2,IF(H27&gt;=განმარტება!$B$5,3,4)))</f>
        <v>1</v>
      </c>
      <c r="C27" s="6" t="s">
        <v>15</v>
      </c>
      <c r="D27" s="6" t="s">
        <v>160</v>
      </c>
      <c r="E27" s="7" t="s">
        <v>161</v>
      </c>
      <c r="F27" s="7" t="n">
        <v>2612</v>
      </c>
      <c r="G27" s="6" t="s">
        <v>145</v>
      </c>
      <c r="H27" s="8" t="n">
        <v>12699</v>
      </c>
      <c r="I27" s="8" t="n">
        <v>305</v>
      </c>
      <c r="J27" s="7" t="n">
        <v>18</v>
      </c>
      <c r="K27" s="9" t="s">
        <v>162</v>
      </c>
      <c r="L27" s="6" t="s">
        <v>163</v>
      </c>
      <c r="M27" s="6" t="s">
        <v>164</v>
      </c>
      <c r="N27" s="10"/>
      <c r="O27" s="4" t="str">
        <f aca="false">IF(N27="","",LEN(N27))</f>
        <v/>
      </c>
    </row>
    <row r="28" customFormat="false" ht="39" hidden="false" customHeight="true" outlineLevel="0" collapsed="false">
      <c r="A28" s="4" t="n">
        <v>27</v>
      </c>
      <c r="B28" s="5" t="n">
        <f aca="false">IF(OR(C28="სხვა მოდელი წერია",I28&gt;=განმარტება!$B$4),1,IF(OR(C28="ცარიელი",I28&gt;=1),2,IF(H28&gt;=განმარტება!$B$5,3,4)))</f>
        <v>1</v>
      </c>
      <c r="C28" s="6" t="s">
        <v>15</v>
      </c>
      <c r="D28" s="6" t="s">
        <v>165</v>
      </c>
      <c r="E28" s="7" t="s">
        <v>166</v>
      </c>
      <c r="F28" s="7" t="n">
        <v>3447</v>
      </c>
      <c r="G28" s="6" t="s">
        <v>118</v>
      </c>
      <c r="H28" s="8" t="n">
        <v>3000</v>
      </c>
      <c r="I28" s="8" t="n">
        <v>303</v>
      </c>
      <c r="J28" s="7" t="n">
        <v>11</v>
      </c>
      <c r="K28" s="9" t="s">
        <v>167</v>
      </c>
      <c r="L28" s="6" t="s">
        <v>168</v>
      </c>
      <c r="M28" s="6" t="s">
        <v>169</v>
      </c>
      <c r="N28" s="10"/>
      <c r="O28" s="4" t="str">
        <f aca="false">IF(N28="","",LEN(N28))</f>
        <v/>
      </c>
    </row>
    <row r="29" customFormat="false" ht="39" hidden="false" customHeight="true" outlineLevel="0" collapsed="false">
      <c r="A29" s="4" t="n">
        <v>28</v>
      </c>
      <c r="B29" s="5" t="n">
        <f aca="false">IF(OR(C29="სხვა მოდელი წერია",I29&gt;=განმარტება!$B$4),1,IF(OR(C29="ცარიელი",I29&gt;=1),2,IF(H29&gt;=განმარტება!$B$5,3,4)))</f>
        <v>1</v>
      </c>
      <c r="C29" s="6" t="s">
        <v>15</v>
      </c>
      <c r="D29" s="6" t="s">
        <v>170</v>
      </c>
      <c r="E29" s="7" t="s">
        <v>171</v>
      </c>
      <c r="F29" s="7" t="n">
        <v>2975</v>
      </c>
      <c r="G29" s="6" t="s">
        <v>24</v>
      </c>
      <c r="H29" s="8" t="n">
        <v>399</v>
      </c>
      <c r="I29" s="8" t="n">
        <v>301</v>
      </c>
      <c r="J29" s="7" t="n">
        <v>18</v>
      </c>
      <c r="K29" s="9" t="s">
        <v>172</v>
      </c>
      <c r="L29" s="6" t="s">
        <v>173</v>
      </c>
      <c r="M29" s="6" t="s">
        <v>174</v>
      </c>
      <c r="N29" s="10"/>
      <c r="O29" s="4" t="str">
        <f aca="false">IF(N29="","",LEN(N29))</f>
        <v/>
      </c>
    </row>
    <row r="30" customFormat="false" ht="51.75" hidden="false" customHeight="true" outlineLevel="0" collapsed="false">
      <c r="A30" s="4" t="n">
        <v>29</v>
      </c>
      <c r="B30" s="5" t="n">
        <f aca="false">IF(OR(C30="სხვა მოდელი წერია",I30&gt;=განმარტება!$B$4),1,IF(OR(C30="ცარიელი",I30&gt;=1),2,IF(H30&gt;=განმარტება!$B$5,3,4)))</f>
        <v>1</v>
      </c>
      <c r="C30" s="6" t="s">
        <v>58</v>
      </c>
      <c r="D30" s="6" t="s">
        <v>175</v>
      </c>
      <c r="E30" s="7" t="s">
        <v>176</v>
      </c>
      <c r="F30" s="7" t="n">
        <v>8566</v>
      </c>
      <c r="G30" s="6" t="s">
        <v>177</v>
      </c>
      <c r="H30" s="8" t="n">
        <v>329</v>
      </c>
      <c r="I30" s="8" t="n">
        <v>285</v>
      </c>
      <c r="J30" s="7" t="n">
        <v>4</v>
      </c>
      <c r="K30" s="9" t="s">
        <v>178</v>
      </c>
      <c r="L30" s="6" t="s">
        <v>179</v>
      </c>
      <c r="M30" s="6" t="s">
        <v>180</v>
      </c>
      <c r="N30" s="10"/>
      <c r="O30" s="4" t="str">
        <f aca="false">IF(N30="","",LEN(N30))</f>
        <v/>
      </c>
    </row>
    <row r="31" customFormat="false" ht="39" hidden="false" customHeight="true" outlineLevel="0" collapsed="false">
      <c r="A31" s="4" t="n">
        <v>30</v>
      </c>
      <c r="B31" s="5" t="n">
        <f aca="false">IF(OR(C31="სხვა მოდელი წერია",I31&gt;=განმარტება!$B$4),1,IF(OR(C31="ცარიელი",I31&gt;=1),2,IF(H31&gt;=განმარტება!$B$5,3,4)))</f>
        <v>1</v>
      </c>
      <c r="C31" s="6" t="s">
        <v>15</v>
      </c>
      <c r="D31" s="6" t="s">
        <v>181</v>
      </c>
      <c r="E31" s="7" t="s">
        <v>182</v>
      </c>
      <c r="F31" s="7" t="n">
        <v>2778</v>
      </c>
      <c r="G31" s="6" t="s">
        <v>112</v>
      </c>
      <c r="H31" s="8" t="n">
        <v>1099</v>
      </c>
      <c r="I31" s="8" t="n">
        <v>273</v>
      </c>
      <c r="J31" s="7" t="n">
        <v>8</v>
      </c>
      <c r="K31" s="9" t="s">
        <v>183</v>
      </c>
      <c r="L31" s="6" t="s">
        <v>184</v>
      </c>
      <c r="M31" s="6" t="s">
        <v>185</v>
      </c>
      <c r="N31" s="10"/>
      <c r="O31" s="4" t="str">
        <f aca="false">IF(N31="","",LEN(N31))</f>
        <v/>
      </c>
    </row>
    <row r="32" customFormat="false" ht="64.5" hidden="false" customHeight="true" outlineLevel="0" collapsed="false">
      <c r="A32" s="4" t="n">
        <v>31</v>
      </c>
      <c r="B32" s="5" t="n">
        <f aca="false">IF(OR(C32="სხვა მოდელი წერია",I32&gt;=განმარტება!$B$4),1,IF(OR(C32="ცარიელი",I32&gt;=1),2,IF(H32&gt;=განმარტება!$B$5,3,4)))</f>
        <v>1</v>
      </c>
      <c r="C32" s="6" t="s">
        <v>15</v>
      </c>
      <c r="D32" s="6" t="s">
        <v>186</v>
      </c>
      <c r="E32" s="7" t="s">
        <v>187</v>
      </c>
      <c r="F32" s="7" t="n">
        <v>766</v>
      </c>
      <c r="G32" s="6" t="s">
        <v>188</v>
      </c>
      <c r="H32" s="8" t="n">
        <v>222</v>
      </c>
      <c r="I32" s="8" t="n">
        <v>268</v>
      </c>
      <c r="J32" s="7" t="n">
        <v>10</v>
      </c>
      <c r="K32" s="9" t="s">
        <v>189</v>
      </c>
      <c r="L32" s="6" t="s">
        <v>190</v>
      </c>
      <c r="M32" s="6" t="s">
        <v>191</v>
      </c>
      <c r="N32" s="10"/>
      <c r="O32" s="4" t="str">
        <f aca="false">IF(N32="","",LEN(N32))</f>
        <v/>
      </c>
    </row>
    <row r="33" customFormat="false" ht="39" hidden="false" customHeight="true" outlineLevel="0" collapsed="false">
      <c r="A33" s="4" t="n">
        <v>32</v>
      </c>
      <c r="B33" s="5" t="n">
        <f aca="false">IF(OR(C33="სხვა მოდელი წერია",I33&gt;=განმარტება!$B$4),1,IF(OR(C33="ცარიელი",I33&gt;=1),2,IF(H33&gt;=განმარტება!$B$5,3,4)))</f>
        <v>1</v>
      </c>
      <c r="C33" s="6" t="s">
        <v>15</v>
      </c>
      <c r="D33" s="6" t="s">
        <v>192</v>
      </c>
      <c r="E33" s="7" t="s">
        <v>193</v>
      </c>
      <c r="F33" s="7" t="n">
        <v>2126</v>
      </c>
      <c r="G33" s="6" t="s">
        <v>194</v>
      </c>
      <c r="H33" s="8" t="n">
        <v>212</v>
      </c>
      <c r="I33" s="8" t="n">
        <v>258</v>
      </c>
      <c r="J33" s="7" t="n">
        <v>10</v>
      </c>
      <c r="K33" s="9" t="s">
        <v>195</v>
      </c>
      <c r="L33" s="6" t="s">
        <v>196</v>
      </c>
      <c r="M33" s="6" t="s">
        <v>197</v>
      </c>
      <c r="N33" s="10"/>
      <c r="O33" s="4" t="str">
        <f aca="false">IF(N33="","",LEN(N33))</f>
        <v/>
      </c>
    </row>
    <row r="34" customFormat="false" ht="51.75" hidden="false" customHeight="true" outlineLevel="0" collapsed="false">
      <c r="A34" s="4" t="n">
        <v>33</v>
      </c>
      <c r="B34" s="5" t="n">
        <f aca="false">IF(OR(C34="სხვა მოდელი წერია",I34&gt;=განმარტება!$B$4),1,IF(OR(C34="ცარიელი",I34&gt;=1),2,IF(H34&gt;=განმარტება!$B$5,3,4)))</f>
        <v>1</v>
      </c>
      <c r="C34" s="6" t="s">
        <v>15</v>
      </c>
      <c r="D34" s="6" t="s">
        <v>198</v>
      </c>
      <c r="E34" s="7" t="s">
        <v>199</v>
      </c>
      <c r="F34" s="7" t="n">
        <v>2725</v>
      </c>
      <c r="G34" s="6" t="s">
        <v>30</v>
      </c>
      <c r="H34" s="8" t="n">
        <v>1199</v>
      </c>
      <c r="I34" s="8" t="n">
        <v>251</v>
      </c>
      <c r="J34" s="7" t="n">
        <v>4</v>
      </c>
      <c r="K34" s="9" t="s">
        <v>200</v>
      </c>
      <c r="L34" s="6" t="s">
        <v>201</v>
      </c>
      <c r="M34" s="6" t="s">
        <v>202</v>
      </c>
      <c r="N34" s="10"/>
      <c r="O34" s="4" t="str">
        <f aca="false">IF(N34="","",LEN(N34))</f>
        <v/>
      </c>
    </row>
    <row r="35" customFormat="false" ht="39" hidden="false" customHeight="true" outlineLevel="0" collapsed="false">
      <c r="A35" s="4" t="n">
        <v>34</v>
      </c>
      <c r="B35" s="5" t="n">
        <f aca="false">IF(OR(C35="სხვა მოდელი წერია",I35&gt;=განმარტება!$B$4),1,IF(OR(C35="ცარიელი",I35&gt;=1),2,IF(H35&gt;=განმარტება!$B$5,3,4)))</f>
        <v>1</v>
      </c>
      <c r="C35" s="6" t="s">
        <v>15</v>
      </c>
      <c r="D35" s="6" t="s">
        <v>203</v>
      </c>
      <c r="E35" s="7" t="s">
        <v>204</v>
      </c>
      <c r="F35" s="7" t="n">
        <v>2665</v>
      </c>
      <c r="G35" s="6" t="s">
        <v>205</v>
      </c>
      <c r="H35" s="8" t="n">
        <v>999</v>
      </c>
      <c r="I35" s="8" t="n">
        <v>244</v>
      </c>
      <c r="J35" s="7" t="n">
        <v>10</v>
      </c>
      <c r="K35" s="9" t="s">
        <v>206</v>
      </c>
      <c r="L35" s="6" t="s">
        <v>207</v>
      </c>
      <c r="M35" s="6" t="s">
        <v>208</v>
      </c>
      <c r="N35" s="10"/>
      <c r="O35" s="4" t="str">
        <f aca="false">IF(N35="","",LEN(N35))</f>
        <v/>
      </c>
    </row>
    <row r="36" customFormat="false" ht="51.75" hidden="false" customHeight="true" outlineLevel="0" collapsed="false">
      <c r="A36" s="4" t="n">
        <v>35</v>
      </c>
      <c r="B36" s="5" t="n">
        <f aca="false">IF(OR(C36="სხვა მოდელი წერია",I36&gt;=განმარტება!$B$4),1,IF(OR(C36="ცარიელი",I36&gt;=1),2,IF(H36&gt;=განმარტება!$B$5,3,4)))</f>
        <v>1</v>
      </c>
      <c r="C36" s="6" t="s">
        <v>15</v>
      </c>
      <c r="D36" s="6" t="s">
        <v>209</v>
      </c>
      <c r="E36" s="7" t="s">
        <v>210</v>
      </c>
      <c r="F36" s="7" t="n">
        <v>3764</v>
      </c>
      <c r="G36" s="6" t="s">
        <v>211</v>
      </c>
      <c r="H36" s="8" t="n">
        <v>849</v>
      </c>
      <c r="I36" s="8" t="n">
        <v>242</v>
      </c>
      <c r="J36" s="7" t="n">
        <v>5</v>
      </c>
      <c r="K36" s="9" t="s">
        <v>212</v>
      </c>
      <c r="L36" s="6" t="s">
        <v>213</v>
      </c>
      <c r="M36" s="6" t="s">
        <v>214</v>
      </c>
      <c r="N36" s="10"/>
      <c r="O36" s="4" t="str">
        <f aca="false">IF(N36="","",LEN(N36))</f>
        <v/>
      </c>
    </row>
    <row r="37" customFormat="false" ht="51.75" hidden="false" customHeight="true" outlineLevel="0" collapsed="false">
      <c r="A37" s="4" t="n">
        <v>36</v>
      </c>
      <c r="B37" s="5" t="n">
        <f aca="false">IF(OR(C37="სხვა მოდელი წერია",I37&gt;=განმარტება!$B$4),1,IF(OR(C37="ცარიელი",I37&gt;=1),2,IF(H37&gt;=განმარტება!$B$5,3,4)))</f>
        <v>1</v>
      </c>
      <c r="C37" s="6" t="s">
        <v>15</v>
      </c>
      <c r="D37" s="6" t="s">
        <v>215</v>
      </c>
      <c r="E37" s="7" t="s">
        <v>216</v>
      </c>
      <c r="F37" s="7" t="n">
        <v>3971</v>
      </c>
      <c r="G37" s="6" t="s">
        <v>217</v>
      </c>
      <c r="H37" s="8" t="n">
        <v>599</v>
      </c>
      <c r="I37" s="8" t="n">
        <v>232</v>
      </c>
      <c r="J37" s="7" t="n">
        <v>31</v>
      </c>
      <c r="K37" s="9" t="s">
        <v>218</v>
      </c>
      <c r="L37" s="6" t="s">
        <v>219</v>
      </c>
      <c r="M37" s="6" t="s">
        <v>220</v>
      </c>
      <c r="N37" s="10"/>
      <c r="O37" s="4" t="str">
        <f aca="false">IF(N37="","",LEN(N37))</f>
        <v/>
      </c>
    </row>
    <row r="38" customFormat="false" ht="51.75" hidden="false" customHeight="true" outlineLevel="0" collapsed="false">
      <c r="A38" s="4" t="n">
        <v>37</v>
      </c>
      <c r="B38" s="5" t="n">
        <f aca="false">IF(OR(C38="სხვა მოდელი წერია",I38&gt;=განმარტება!$B$4),1,IF(OR(C38="ცარიელი",I38&gt;=1),2,IF(H38&gt;=განმარტება!$B$5,3,4)))</f>
        <v>1</v>
      </c>
      <c r="C38" s="6" t="s">
        <v>15</v>
      </c>
      <c r="D38" s="6" t="s">
        <v>221</v>
      </c>
      <c r="E38" s="7" t="s">
        <v>222</v>
      </c>
      <c r="F38" s="7" t="n">
        <v>2867</v>
      </c>
      <c r="G38" s="6" t="s">
        <v>89</v>
      </c>
      <c r="H38" s="8" t="n">
        <v>800</v>
      </c>
      <c r="I38" s="8" t="n">
        <v>227</v>
      </c>
      <c r="J38" s="7" t="n">
        <v>24</v>
      </c>
      <c r="K38" s="9" t="s">
        <v>223</v>
      </c>
      <c r="L38" s="6" t="s">
        <v>224</v>
      </c>
      <c r="M38" s="6" t="s">
        <v>225</v>
      </c>
      <c r="N38" s="10"/>
      <c r="O38" s="4" t="str">
        <f aca="false">IF(N38="","",LEN(N38))</f>
        <v/>
      </c>
    </row>
    <row r="39" customFormat="false" ht="39" hidden="false" customHeight="true" outlineLevel="0" collapsed="false">
      <c r="A39" s="4" t="n">
        <v>38</v>
      </c>
      <c r="B39" s="5" t="n">
        <f aca="false">IF(OR(C39="სხვა მოდელი წერია",I39&gt;=განმარტება!$B$4),1,IF(OR(C39="ცარიელი",I39&gt;=1),2,IF(H39&gt;=განმარტება!$B$5,3,4)))</f>
        <v>1</v>
      </c>
      <c r="C39" s="6" t="s">
        <v>15</v>
      </c>
      <c r="D39" s="6" t="s">
        <v>226</v>
      </c>
      <c r="E39" s="7" t="s">
        <v>227</v>
      </c>
      <c r="F39" s="7" t="n">
        <v>468</v>
      </c>
      <c r="G39" s="6" t="s">
        <v>24</v>
      </c>
      <c r="H39" s="8" t="n">
        <v>1320</v>
      </c>
      <c r="I39" s="8" t="n">
        <v>224</v>
      </c>
      <c r="J39" s="7" t="n">
        <v>6</v>
      </c>
      <c r="K39" s="9" t="s">
        <v>228</v>
      </c>
      <c r="L39" s="6" t="s">
        <v>229</v>
      </c>
      <c r="M39" s="6" t="s">
        <v>230</v>
      </c>
      <c r="N39" s="10"/>
      <c r="O39" s="4" t="str">
        <f aca="false">IF(N39="","",LEN(N39))</f>
        <v/>
      </c>
    </row>
    <row r="40" customFormat="false" ht="39" hidden="false" customHeight="true" outlineLevel="0" collapsed="false">
      <c r="A40" s="4" t="n">
        <v>39</v>
      </c>
      <c r="B40" s="5" t="n">
        <f aca="false">IF(OR(C40="სხვა მოდელი წერია",I40&gt;=განმარტება!$B$4),1,IF(OR(C40="ცარიელი",I40&gt;=1),2,IF(H40&gt;=განმარტება!$B$5,3,4)))</f>
        <v>1</v>
      </c>
      <c r="C40" s="6" t="s">
        <v>15</v>
      </c>
      <c r="D40" s="6" t="s">
        <v>231</v>
      </c>
      <c r="E40" s="7" t="s">
        <v>232</v>
      </c>
      <c r="F40" s="7" t="n">
        <v>2749</v>
      </c>
      <c r="G40" s="6" t="s">
        <v>156</v>
      </c>
      <c r="H40" s="8" t="n">
        <v>1399</v>
      </c>
      <c r="I40" s="8" t="n">
        <v>224</v>
      </c>
      <c r="J40" s="7" t="n">
        <v>4</v>
      </c>
      <c r="K40" s="9" t="s">
        <v>233</v>
      </c>
      <c r="L40" s="6" t="s">
        <v>234</v>
      </c>
      <c r="M40" s="6" t="s">
        <v>235</v>
      </c>
      <c r="N40" s="10"/>
      <c r="O40" s="4" t="str">
        <f aca="false">IF(N40="","",LEN(N40))</f>
        <v/>
      </c>
    </row>
    <row r="41" customFormat="false" ht="39" hidden="false" customHeight="true" outlineLevel="0" collapsed="false">
      <c r="A41" s="4" t="n">
        <v>40</v>
      </c>
      <c r="B41" s="5" t="n">
        <f aca="false">IF(OR(C41="სხვა მოდელი წერია",I41&gt;=განმარტება!$B$4),1,IF(OR(C41="ცარიელი",I41&gt;=1),2,IF(H41&gt;=განმარტება!$B$5,3,4)))</f>
        <v>1</v>
      </c>
      <c r="C41" s="6" t="s">
        <v>15</v>
      </c>
      <c r="D41" s="6" t="s">
        <v>236</v>
      </c>
      <c r="E41" s="7" t="s">
        <v>237</v>
      </c>
      <c r="F41" s="7" t="n">
        <v>1475</v>
      </c>
      <c r="G41" s="6" t="s">
        <v>238</v>
      </c>
      <c r="H41" s="8" t="n">
        <v>519</v>
      </c>
      <c r="I41" s="8" t="n">
        <v>223</v>
      </c>
      <c r="J41" s="7" t="n">
        <v>6</v>
      </c>
      <c r="K41" s="9" t="s">
        <v>239</v>
      </c>
      <c r="L41" s="6" t="s">
        <v>240</v>
      </c>
      <c r="M41" s="6" t="s">
        <v>241</v>
      </c>
      <c r="N41" s="10"/>
      <c r="O41" s="4" t="str">
        <f aca="false">IF(N41="","",LEN(N41))</f>
        <v/>
      </c>
    </row>
    <row r="42" customFormat="false" ht="51.75" hidden="false" customHeight="true" outlineLevel="0" collapsed="false">
      <c r="A42" s="4" t="n">
        <v>41</v>
      </c>
      <c r="B42" s="5" t="n">
        <f aca="false">IF(OR(C42="სხვა მოდელი წერია",I42&gt;=განმარტება!$B$4),1,IF(OR(C42="ცარიელი",I42&gt;=1),2,IF(H42&gt;=განმარტება!$B$5,3,4)))</f>
        <v>1</v>
      </c>
      <c r="C42" s="6" t="s">
        <v>15</v>
      </c>
      <c r="D42" s="6" t="s">
        <v>242</v>
      </c>
      <c r="E42" s="7" t="s">
        <v>243</v>
      </c>
      <c r="F42" s="7" t="n">
        <v>3765</v>
      </c>
      <c r="G42" s="6" t="s">
        <v>211</v>
      </c>
      <c r="H42" s="8" t="n">
        <v>949</v>
      </c>
      <c r="I42" s="8" t="n">
        <v>221</v>
      </c>
      <c r="J42" s="7" t="n">
        <v>7</v>
      </c>
      <c r="K42" s="9" t="s">
        <v>244</v>
      </c>
      <c r="L42" s="6" t="s">
        <v>245</v>
      </c>
      <c r="M42" s="6" t="s">
        <v>246</v>
      </c>
      <c r="N42" s="10"/>
      <c r="O42" s="4" t="str">
        <f aca="false">IF(N42="","",LEN(N42))</f>
        <v/>
      </c>
    </row>
    <row r="43" customFormat="false" ht="64.5" hidden="false" customHeight="true" outlineLevel="0" collapsed="false">
      <c r="A43" s="4" t="n">
        <v>42</v>
      </c>
      <c r="B43" s="5" t="n">
        <f aca="false">IF(OR(C43="სხვა მოდელი წერია",I43&gt;=განმარტება!$B$4),1,IF(OR(C43="ცარიელი",I43&gt;=1),2,IF(H43&gt;=განმარტება!$B$5,3,4)))</f>
        <v>1</v>
      </c>
      <c r="C43" s="6" t="s">
        <v>15</v>
      </c>
      <c r="D43" s="6" t="s">
        <v>247</v>
      </c>
      <c r="E43" s="7" t="s">
        <v>248</v>
      </c>
      <c r="F43" s="7" t="n">
        <v>1016</v>
      </c>
      <c r="G43" s="6" t="s">
        <v>188</v>
      </c>
      <c r="H43" s="8" t="n">
        <v>350</v>
      </c>
      <c r="I43" s="8" t="n">
        <v>215</v>
      </c>
      <c r="J43" s="7" t="n">
        <v>18</v>
      </c>
      <c r="K43" s="9" t="s">
        <v>249</v>
      </c>
      <c r="L43" s="6" t="s">
        <v>250</v>
      </c>
      <c r="M43" s="6" t="s">
        <v>251</v>
      </c>
      <c r="N43" s="10"/>
      <c r="O43" s="4" t="str">
        <f aca="false">IF(N43="","",LEN(N43))</f>
        <v/>
      </c>
    </row>
    <row r="44" customFormat="false" ht="39" hidden="false" customHeight="true" outlineLevel="0" collapsed="false">
      <c r="A44" s="4" t="n">
        <v>43</v>
      </c>
      <c r="B44" s="5" t="n">
        <f aca="false">IF(OR(C44="სხვა მოდელი წერია",I44&gt;=განმარტება!$B$4),1,IF(OR(C44="ცარიელი",I44&gt;=1),2,IF(H44&gt;=განმარტება!$B$5,3,4)))</f>
        <v>1</v>
      </c>
      <c r="C44" s="6" t="s">
        <v>15</v>
      </c>
      <c r="D44" s="6" t="s">
        <v>252</v>
      </c>
      <c r="E44" s="7" t="s">
        <v>253</v>
      </c>
      <c r="F44" s="7" t="n">
        <v>1813</v>
      </c>
      <c r="G44" s="6" t="s">
        <v>112</v>
      </c>
      <c r="H44" s="8" t="n">
        <v>1620</v>
      </c>
      <c r="I44" s="8" t="n">
        <v>213</v>
      </c>
      <c r="J44" s="7" t="n">
        <v>18</v>
      </c>
      <c r="K44" s="9" t="s">
        <v>254</v>
      </c>
      <c r="L44" s="6" t="s">
        <v>255</v>
      </c>
      <c r="M44" s="6" t="s">
        <v>256</v>
      </c>
      <c r="N44" s="10"/>
      <c r="O44" s="4" t="str">
        <f aca="false">IF(N44="","",LEN(N44))</f>
        <v/>
      </c>
    </row>
    <row r="45" customFormat="false" ht="39" hidden="false" customHeight="true" outlineLevel="0" collapsed="false">
      <c r="A45" s="4" t="n">
        <v>44</v>
      </c>
      <c r="B45" s="5" t="n">
        <f aca="false">IF(OR(C45="სხვა მოდელი წერია",I45&gt;=განმარტება!$B$4),1,IF(OR(C45="ცარიელი",I45&gt;=1),2,IF(H45&gt;=განმარტება!$B$5,3,4)))</f>
        <v>1</v>
      </c>
      <c r="C45" s="6" t="s">
        <v>15</v>
      </c>
      <c r="D45" s="6" t="s">
        <v>257</v>
      </c>
      <c r="E45" s="7" t="s">
        <v>258</v>
      </c>
      <c r="F45" s="7" t="n">
        <v>2781</v>
      </c>
      <c r="G45" s="6" t="s">
        <v>112</v>
      </c>
      <c r="H45" s="8" t="n">
        <v>2299</v>
      </c>
      <c r="I45" s="8" t="n">
        <v>210</v>
      </c>
      <c r="J45" s="7" t="n">
        <v>12</v>
      </c>
      <c r="K45" s="9" t="s">
        <v>259</v>
      </c>
      <c r="L45" s="6" t="s">
        <v>260</v>
      </c>
      <c r="M45" s="6" t="s">
        <v>261</v>
      </c>
      <c r="N45" s="10"/>
      <c r="O45" s="4" t="str">
        <f aca="false">IF(N45="","",LEN(N45))</f>
        <v/>
      </c>
    </row>
    <row r="46" customFormat="false" ht="51.75" hidden="false" customHeight="true" outlineLevel="0" collapsed="false">
      <c r="A46" s="4" t="n">
        <v>45</v>
      </c>
      <c r="B46" s="5" t="n">
        <f aca="false">IF(OR(C46="სხვა მოდელი წერია",I46&gt;=განმარტება!$B$4),1,IF(OR(C46="ცარიელი",I46&gt;=1),2,IF(H46&gt;=განმარტება!$B$5,3,4)))</f>
        <v>1</v>
      </c>
      <c r="C46" s="6" t="s">
        <v>15</v>
      </c>
      <c r="D46" s="6" t="s">
        <v>262</v>
      </c>
      <c r="E46" s="7" t="s">
        <v>263</v>
      </c>
      <c r="F46" s="7" t="n">
        <v>910</v>
      </c>
      <c r="G46" s="6" t="s">
        <v>211</v>
      </c>
      <c r="H46" s="8" t="n">
        <v>1066</v>
      </c>
      <c r="I46" s="8" t="n">
        <v>206</v>
      </c>
      <c r="J46" s="7" t="n">
        <v>15</v>
      </c>
      <c r="K46" s="9" t="s">
        <v>264</v>
      </c>
      <c r="L46" s="6" t="s">
        <v>265</v>
      </c>
      <c r="M46" s="6" t="s">
        <v>266</v>
      </c>
      <c r="N46" s="10"/>
      <c r="O46" s="4" t="str">
        <f aca="false">IF(N46="","",LEN(N46))</f>
        <v/>
      </c>
    </row>
    <row r="47" customFormat="false" ht="39" hidden="false" customHeight="true" outlineLevel="0" collapsed="false">
      <c r="A47" s="4" t="n">
        <v>46</v>
      </c>
      <c r="B47" s="5" t="n">
        <f aca="false">IF(OR(C47="სხვა მოდელი წერია",I47&gt;=განმარტება!$B$4),1,IF(OR(C47="ცარიელი",I47&gt;=1),2,IF(H47&gt;=განმარტება!$B$5,3,4)))</f>
        <v>1</v>
      </c>
      <c r="C47" s="6" t="s">
        <v>15</v>
      </c>
      <c r="D47" s="6" t="s">
        <v>267</v>
      </c>
      <c r="E47" s="7" t="s">
        <v>268</v>
      </c>
      <c r="F47" s="7" t="n">
        <v>2892</v>
      </c>
      <c r="G47" s="6" t="s">
        <v>238</v>
      </c>
      <c r="H47" s="8" t="n">
        <v>629</v>
      </c>
      <c r="I47" s="8" t="n">
        <v>204</v>
      </c>
      <c r="J47" s="7" t="n">
        <v>4</v>
      </c>
      <c r="K47" s="9" t="s">
        <v>269</v>
      </c>
      <c r="L47" s="6" t="s">
        <v>270</v>
      </c>
      <c r="M47" s="6" t="s">
        <v>271</v>
      </c>
      <c r="N47" s="10"/>
      <c r="O47" s="4" t="str">
        <f aca="false">IF(N47="","",LEN(N47))</f>
        <v/>
      </c>
    </row>
    <row r="48" customFormat="false" ht="51.75" hidden="false" customHeight="true" outlineLevel="0" collapsed="false">
      <c r="A48" s="4" t="n">
        <v>47</v>
      </c>
      <c r="B48" s="5" t="n">
        <f aca="false">IF(OR(C48="სხვა მოდელი წერია",I48&gt;=განმარტება!$B$4),1,IF(OR(C48="ცარიელი",I48&gt;=1),2,IF(H48&gt;=განმარტება!$B$5,3,4)))</f>
        <v>1</v>
      </c>
      <c r="C48" s="6" t="s">
        <v>15</v>
      </c>
      <c r="D48" s="6" t="s">
        <v>272</v>
      </c>
      <c r="E48" s="7" t="s">
        <v>273</v>
      </c>
      <c r="F48" s="7" t="n">
        <v>2413</v>
      </c>
      <c r="G48" s="6" t="s">
        <v>211</v>
      </c>
      <c r="H48" s="8" t="n">
        <v>1299</v>
      </c>
      <c r="I48" s="8" t="n">
        <v>195</v>
      </c>
      <c r="J48" s="7" t="n">
        <v>25</v>
      </c>
      <c r="K48" s="9" t="s">
        <v>274</v>
      </c>
      <c r="L48" s="6" t="s">
        <v>275</v>
      </c>
      <c r="M48" s="6" t="s">
        <v>276</v>
      </c>
      <c r="N48" s="10"/>
      <c r="O48" s="4" t="str">
        <f aca="false">IF(N48="","",LEN(N48))</f>
        <v/>
      </c>
    </row>
    <row r="49" customFormat="false" ht="39" hidden="false" customHeight="true" outlineLevel="0" collapsed="false">
      <c r="A49" s="4" t="n">
        <v>48</v>
      </c>
      <c r="B49" s="5" t="n">
        <f aca="false">IF(OR(C49="სხვა მოდელი წერია",I49&gt;=განმარტება!$B$4),1,IF(OR(C49="ცარიელი",I49&gt;=1),2,IF(H49&gt;=განმარტება!$B$5,3,4)))</f>
        <v>1</v>
      </c>
      <c r="C49" s="6" t="s">
        <v>15</v>
      </c>
      <c r="D49" s="6" t="s">
        <v>277</v>
      </c>
      <c r="E49" s="7" t="s">
        <v>278</v>
      </c>
      <c r="F49" s="7" t="n">
        <v>3967</v>
      </c>
      <c r="G49" s="6" t="s">
        <v>279</v>
      </c>
      <c r="H49" s="8" t="n">
        <v>599</v>
      </c>
      <c r="I49" s="8" t="n">
        <v>195</v>
      </c>
      <c r="J49" s="7" t="n">
        <v>9</v>
      </c>
      <c r="K49" s="9" t="s">
        <v>280</v>
      </c>
      <c r="L49" s="6" t="s">
        <v>281</v>
      </c>
      <c r="M49" s="6" t="s">
        <v>282</v>
      </c>
      <c r="N49" s="10"/>
      <c r="O49" s="4" t="str">
        <f aca="false">IF(N49="","",LEN(N49))</f>
        <v/>
      </c>
    </row>
    <row r="50" customFormat="false" ht="39" hidden="false" customHeight="true" outlineLevel="0" collapsed="false">
      <c r="A50" s="4" t="n">
        <v>49</v>
      </c>
      <c r="B50" s="5" t="n">
        <f aca="false">IF(OR(C50="სხვა მოდელი წერია",I50&gt;=განმარტება!$B$4),1,IF(OR(C50="ცარიელი",I50&gt;=1),2,IF(H50&gt;=განმარტება!$B$5,3,4)))</f>
        <v>1</v>
      </c>
      <c r="C50" s="6" t="s">
        <v>15</v>
      </c>
      <c r="D50" s="6" t="s">
        <v>283</v>
      </c>
      <c r="E50" s="7" t="s">
        <v>284</v>
      </c>
      <c r="F50" s="7" t="n">
        <v>3960</v>
      </c>
      <c r="G50" s="6" t="s">
        <v>285</v>
      </c>
      <c r="H50" s="8" t="n">
        <v>539</v>
      </c>
      <c r="I50" s="8" t="n">
        <v>194</v>
      </c>
      <c r="J50" s="7" t="n">
        <v>7</v>
      </c>
      <c r="K50" s="9" t="s">
        <v>286</v>
      </c>
      <c r="L50" s="6" t="s">
        <v>287</v>
      </c>
      <c r="M50" s="6" t="s">
        <v>288</v>
      </c>
      <c r="N50" s="10"/>
      <c r="O50" s="4" t="str">
        <f aca="false">IF(N50="","",LEN(N50))</f>
        <v/>
      </c>
    </row>
    <row r="51" customFormat="false" ht="64.5" hidden="false" customHeight="true" outlineLevel="0" collapsed="false">
      <c r="A51" s="4" t="n">
        <v>50</v>
      </c>
      <c r="B51" s="5" t="n">
        <f aca="false">IF(OR(C51="სხვა მოდელი წერია",I51&gt;=განმარტება!$B$4),1,IF(OR(C51="ცარიელი",I51&gt;=1),2,IF(H51&gt;=განმარტება!$B$5,3,4)))</f>
        <v>1</v>
      </c>
      <c r="C51" s="6" t="s">
        <v>15</v>
      </c>
      <c r="D51" s="6" t="s">
        <v>289</v>
      </c>
      <c r="E51" s="7" t="s">
        <v>290</v>
      </c>
      <c r="F51" s="7" t="n">
        <v>1928</v>
      </c>
      <c r="G51" s="6" t="s">
        <v>188</v>
      </c>
      <c r="H51" s="8" t="n">
        <v>449</v>
      </c>
      <c r="I51" s="8" t="n">
        <v>191</v>
      </c>
      <c r="J51" s="7" t="n">
        <v>12</v>
      </c>
      <c r="K51" s="9" t="s">
        <v>291</v>
      </c>
      <c r="L51" s="6" t="s">
        <v>292</v>
      </c>
      <c r="M51" s="6" t="s">
        <v>293</v>
      </c>
      <c r="N51" s="10"/>
      <c r="O51" s="4" t="str">
        <f aca="false">IF(N51="","",LEN(N51))</f>
        <v/>
      </c>
    </row>
    <row r="52" customFormat="false" ht="39" hidden="false" customHeight="true" outlineLevel="0" collapsed="false">
      <c r="A52" s="4" t="n">
        <v>51</v>
      </c>
      <c r="B52" s="5" t="n">
        <f aca="false">IF(OR(C52="სხვა მოდელი წერია",I52&gt;=განმარტება!$B$4),1,IF(OR(C52="ცარიელი",I52&gt;=1),2,IF(H52&gt;=განმარტება!$B$5,3,4)))</f>
        <v>1</v>
      </c>
      <c r="C52" s="6" t="s">
        <v>15</v>
      </c>
      <c r="D52" s="6" t="s">
        <v>294</v>
      </c>
      <c r="E52" s="7" t="s">
        <v>295</v>
      </c>
      <c r="F52" s="7" t="n">
        <v>2961</v>
      </c>
      <c r="G52" s="6" t="s">
        <v>296</v>
      </c>
      <c r="H52" s="8" t="n">
        <v>2099</v>
      </c>
      <c r="I52" s="8" t="n">
        <v>189</v>
      </c>
      <c r="J52" s="7" t="n">
        <v>8</v>
      </c>
      <c r="K52" s="9" t="s">
        <v>297</v>
      </c>
      <c r="L52" s="6" t="s">
        <v>298</v>
      </c>
      <c r="M52" s="6" t="s">
        <v>299</v>
      </c>
      <c r="N52" s="10"/>
      <c r="O52" s="4" t="str">
        <f aca="false">IF(N52="","",LEN(N52))</f>
        <v/>
      </c>
    </row>
    <row r="53" customFormat="false" ht="39" hidden="false" customHeight="true" outlineLevel="0" collapsed="false">
      <c r="A53" s="4" t="n">
        <v>52</v>
      </c>
      <c r="B53" s="5" t="n">
        <f aca="false">IF(OR(C53="სხვა მოდელი წერია",I53&gt;=განმარტება!$B$4),1,IF(OR(C53="ცარიელი",I53&gt;=1),2,IF(H53&gt;=განმარტება!$B$5,3,4)))</f>
        <v>1</v>
      </c>
      <c r="C53" s="6" t="s">
        <v>15</v>
      </c>
      <c r="D53" s="6" t="s">
        <v>300</v>
      </c>
      <c r="E53" s="7" t="s">
        <v>301</v>
      </c>
      <c r="F53" s="7" t="n">
        <v>758</v>
      </c>
      <c r="G53" s="6" t="s">
        <v>302</v>
      </c>
      <c r="H53" s="8" t="n">
        <v>1130</v>
      </c>
      <c r="I53" s="8" t="n">
        <v>188</v>
      </c>
      <c r="J53" s="7" t="n">
        <v>9</v>
      </c>
      <c r="K53" s="9" t="s">
        <v>303</v>
      </c>
      <c r="L53" s="6" t="s">
        <v>304</v>
      </c>
      <c r="M53" s="6" t="s">
        <v>305</v>
      </c>
      <c r="N53" s="10"/>
      <c r="O53" s="4" t="str">
        <f aca="false">IF(N53="","",LEN(N53))</f>
        <v/>
      </c>
    </row>
    <row r="54" customFormat="false" ht="39" hidden="false" customHeight="true" outlineLevel="0" collapsed="false">
      <c r="A54" s="4" t="n">
        <v>53</v>
      </c>
      <c r="B54" s="5" t="n">
        <f aca="false">IF(OR(C54="სხვა მოდელი წერია",I54&gt;=განმარტება!$B$4),1,IF(OR(C54="ცარიელი",I54&gt;=1),2,IF(H54&gt;=განმარტება!$B$5,3,4)))</f>
        <v>1</v>
      </c>
      <c r="C54" s="6" t="s">
        <v>15</v>
      </c>
      <c r="D54" s="6" t="s">
        <v>306</v>
      </c>
      <c r="E54" s="7" t="s">
        <v>307</v>
      </c>
      <c r="F54" s="7" t="n">
        <v>781</v>
      </c>
      <c r="G54" s="6" t="s">
        <v>302</v>
      </c>
      <c r="H54" s="8" t="n">
        <v>564</v>
      </c>
      <c r="I54" s="8" t="n">
        <v>188</v>
      </c>
      <c r="J54" s="7" t="n">
        <v>3</v>
      </c>
      <c r="K54" s="9" t="s">
        <v>308</v>
      </c>
      <c r="L54" s="6" t="s">
        <v>309</v>
      </c>
      <c r="M54" s="6" t="s">
        <v>310</v>
      </c>
      <c r="N54" s="10"/>
      <c r="O54" s="4" t="str">
        <f aca="false">IF(N54="","",LEN(N54))</f>
        <v/>
      </c>
    </row>
    <row r="55" customFormat="false" ht="39" hidden="false" customHeight="true" outlineLevel="0" collapsed="false">
      <c r="A55" s="4" t="n">
        <v>54</v>
      </c>
      <c r="B55" s="5" t="n">
        <f aca="false">IF(OR(C55="სხვა მოდელი წერია",I55&gt;=განმარტება!$B$4),1,IF(OR(C55="ცარიელი",I55&gt;=1),2,IF(H55&gt;=განმარტება!$B$5,3,4)))</f>
        <v>1</v>
      </c>
      <c r="C55" s="6" t="s">
        <v>15</v>
      </c>
      <c r="D55" s="6" t="s">
        <v>311</v>
      </c>
      <c r="E55" s="7" t="s">
        <v>312</v>
      </c>
      <c r="F55" s="7" t="n">
        <v>2148</v>
      </c>
      <c r="G55" s="6" t="s">
        <v>18</v>
      </c>
      <c r="H55" s="8" t="n">
        <v>785</v>
      </c>
      <c r="I55" s="8" t="n">
        <v>176</v>
      </c>
      <c r="J55" s="7" t="n">
        <v>4</v>
      </c>
      <c r="K55" s="9" t="s">
        <v>313</v>
      </c>
      <c r="L55" s="6" t="s">
        <v>314</v>
      </c>
      <c r="M55" s="6" t="s">
        <v>315</v>
      </c>
      <c r="N55" s="10"/>
      <c r="O55" s="4" t="str">
        <f aca="false">IF(N55="","",LEN(N55))</f>
        <v/>
      </c>
    </row>
    <row r="56" customFormat="false" ht="51.75" hidden="false" customHeight="true" outlineLevel="0" collapsed="false">
      <c r="A56" s="4" t="n">
        <v>55</v>
      </c>
      <c r="B56" s="5" t="n">
        <f aca="false">IF(OR(C56="სხვა მოდელი წერია",I56&gt;=განმარტება!$B$4),1,IF(OR(C56="ცარიელი",I56&gt;=1),2,IF(H56&gt;=განმარტება!$B$5,3,4)))</f>
        <v>1</v>
      </c>
      <c r="C56" s="6" t="s">
        <v>316</v>
      </c>
      <c r="D56" s="6" t="s">
        <v>317</v>
      </c>
      <c r="E56" s="7" t="s">
        <v>318</v>
      </c>
      <c r="F56" s="7" t="n">
        <v>3371</v>
      </c>
      <c r="G56" s="6" t="s">
        <v>24</v>
      </c>
      <c r="H56" s="8" t="n">
        <v>849</v>
      </c>
      <c r="I56" s="8" t="n">
        <v>173</v>
      </c>
      <c r="J56" s="7" t="n">
        <v>9</v>
      </c>
      <c r="K56" s="9" t="s">
        <v>319</v>
      </c>
      <c r="L56" s="6" t="s">
        <v>320</v>
      </c>
      <c r="M56" s="6" t="s">
        <v>321</v>
      </c>
      <c r="N56" s="10"/>
      <c r="O56" s="4" t="str">
        <f aca="false">IF(N56="","",LEN(N56))</f>
        <v/>
      </c>
    </row>
    <row r="57" customFormat="false" ht="39" hidden="false" customHeight="true" outlineLevel="0" collapsed="false">
      <c r="A57" s="4" t="n">
        <v>56</v>
      </c>
      <c r="B57" s="5" t="n">
        <f aca="false">IF(OR(C57="სხვა მოდელი წერია",I57&gt;=განმარტება!$B$4),1,IF(OR(C57="ცარიელი",I57&gt;=1),2,IF(H57&gt;=განმარტება!$B$5,3,4)))</f>
        <v>1</v>
      </c>
      <c r="C57" s="6" t="s">
        <v>15</v>
      </c>
      <c r="D57" s="6" t="s">
        <v>322</v>
      </c>
      <c r="E57" s="7" t="s">
        <v>323</v>
      </c>
      <c r="F57" s="7" t="n">
        <v>4013</v>
      </c>
      <c r="G57" s="6" t="s">
        <v>24</v>
      </c>
      <c r="H57" s="8" t="n">
        <v>999</v>
      </c>
      <c r="I57" s="8" t="n">
        <v>173</v>
      </c>
      <c r="J57" s="7" t="n">
        <v>8</v>
      </c>
      <c r="K57" s="9" t="s">
        <v>324</v>
      </c>
      <c r="L57" s="6" t="s">
        <v>325</v>
      </c>
      <c r="M57" s="6" t="s">
        <v>326</v>
      </c>
      <c r="N57" s="10"/>
      <c r="O57" s="4" t="str">
        <f aca="false">IF(N57="","",LEN(N57))</f>
        <v/>
      </c>
    </row>
    <row r="58" customFormat="false" ht="39" hidden="false" customHeight="true" outlineLevel="0" collapsed="false">
      <c r="A58" s="4" t="n">
        <v>57</v>
      </c>
      <c r="B58" s="5" t="n">
        <f aca="false">IF(OR(C58="სხვა მოდელი წერია",I58&gt;=განმარტება!$B$4),1,IF(OR(C58="ცარიელი",I58&gt;=1),2,IF(H58&gt;=განმარტება!$B$5,3,4)))</f>
        <v>1</v>
      </c>
      <c r="C58" s="6" t="s">
        <v>15</v>
      </c>
      <c r="D58" s="6" t="s">
        <v>327</v>
      </c>
      <c r="E58" s="7" t="s">
        <v>328</v>
      </c>
      <c r="F58" s="7" t="n">
        <v>2072</v>
      </c>
      <c r="G58" s="6" t="s">
        <v>24</v>
      </c>
      <c r="H58" s="8" t="n">
        <v>1099</v>
      </c>
      <c r="I58" s="8" t="n">
        <v>158</v>
      </c>
      <c r="J58" s="7" t="n">
        <v>7</v>
      </c>
      <c r="K58" s="9" t="s">
        <v>329</v>
      </c>
      <c r="L58" s="6" t="s">
        <v>330</v>
      </c>
      <c r="M58" s="6" t="s">
        <v>331</v>
      </c>
      <c r="N58" s="10"/>
      <c r="O58" s="4" t="str">
        <f aca="false">IF(N58="","",LEN(N58))</f>
        <v/>
      </c>
    </row>
    <row r="59" customFormat="false" ht="51.75" hidden="false" customHeight="true" outlineLevel="0" collapsed="false">
      <c r="A59" s="4" t="n">
        <v>58</v>
      </c>
      <c r="B59" s="5" t="n">
        <f aca="false">IF(OR(C59="სხვა მოდელი წერია",I59&gt;=განმარტება!$B$4),1,IF(OR(C59="ცარიელი",I59&gt;=1),2,IF(H59&gt;=განმარტება!$B$5,3,4)))</f>
        <v>1</v>
      </c>
      <c r="C59" s="6" t="s">
        <v>15</v>
      </c>
      <c r="D59" s="6" t="s">
        <v>332</v>
      </c>
      <c r="E59" s="7" t="s">
        <v>333</v>
      </c>
      <c r="F59" s="7" t="n">
        <v>3070</v>
      </c>
      <c r="G59" s="6" t="s">
        <v>334</v>
      </c>
      <c r="H59" s="8" t="n">
        <v>2399</v>
      </c>
      <c r="I59" s="8" t="n">
        <v>153</v>
      </c>
      <c r="J59" s="7" t="n">
        <v>4</v>
      </c>
      <c r="K59" s="9" t="s">
        <v>335</v>
      </c>
      <c r="L59" s="6" t="s">
        <v>336</v>
      </c>
      <c r="M59" s="6" t="s">
        <v>337</v>
      </c>
      <c r="N59" s="10"/>
      <c r="O59" s="4" t="str">
        <f aca="false">IF(N59="","",LEN(N59))</f>
        <v/>
      </c>
    </row>
    <row r="60" customFormat="false" ht="39" hidden="false" customHeight="true" outlineLevel="0" collapsed="false">
      <c r="A60" s="4" t="n">
        <v>59</v>
      </c>
      <c r="B60" s="5" t="n">
        <f aca="false">IF(OR(C60="სხვა მოდელი წერია",I60&gt;=განმარტება!$B$4),1,IF(OR(C60="ცარიელი",I60&gt;=1),2,IF(H60&gt;=განმარტება!$B$5,3,4)))</f>
        <v>1</v>
      </c>
      <c r="C60" s="6" t="s">
        <v>15</v>
      </c>
      <c r="D60" s="6" t="s">
        <v>338</v>
      </c>
      <c r="E60" s="7" t="s">
        <v>339</v>
      </c>
      <c r="F60" s="7" t="n">
        <v>1310</v>
      </c>
      <c r="G60" s="6" t="s">
        <v>340</v>
      </c>
      <c r="H60" s="8" t="n">
        <v>900</v>
      </c>
      <c r="I60" s="8" t="n">
        <v>150</v>
      </c>
      <c r="J60" s="7" t="n">
        <v>5</v>
      </c>
      <c r="K60" s="9" t="s">
        <v>341</v>
      </c>
      <c r="L60" s="6" t="s">
        <v>342</v>
      </c>
      <c r="M60" s="6" t="s">
        <v>343</v>
      </c>
      <c r="N60" s="10"/>
      <c r="O60" s="4" t="str">
        <f aca="false">IF(N60="","",LEN(N60))</f>
        <v/>
      </c>
    </row>
    <row r="61" customFormat="false" ht="39" hidden="false" customHeight="true" outlineLevel="0" collapsed="false">
      <c r="A61" s="4" t="n">
        <v>60</v>
      </c>
      <c r="B61" s="5" t="n">
        <f aca="false">IF(OR(C61="სხვა მოდელი წერია",I61&gt;=განმარტება!$B$4),1,IF(OR(C61="ცარიელი",I61&gt;=1),2,IF(H61&gt;=განმარტება!$B$5,3,4)))</f>
        <v>1</v>
      </c>
      <c r="C61" s="6" t="s">
        <v>15</v>
      </c>
      <c r="D61" s="6" t="s">
        <v>344</v>
      </c>
      <c r="E61" s="7" t="s">
        <v>345</v>
      </c>
      <c r="F61" s="7" t="n">
        <v>2874</v>
      </c>
      <c r="G61" s="6" t="s">
        <v>42</v>
      </c>
      <c r="H61" s="8" t="n">
        <v>249</v>
      </c>
      <c r="I61" s="8" t="n">
        <v>150</v>
      </c>
      <c r="J61" s="7" t="n">
        <v>4</v>
      </c>
      <c r="K61" s="9" t="s">
        <v>346</v>
      </c>
      <c r="L61" s="6" t="s">
        <v>347</v>
      </c>
      <c r="M61" s="6" t="s">
        <v>348</v>
      </c>
      <c r="N61" s="10"/>
      <c r="O61" s="4" t="str">
        <f aca="false">IF(N61="","",LEN(N61))</f>
        <v/>
      </c>
    </row>
    <row r="62" customFormat="false" ht="39" hidden="false" customHeight="true" outlineLevel="0" collapsed="false">
      <c r="A62" s="4" t="n">
        <v>61</v>
      </c>
      <c r="B62" s="5" t="n">
        <f aca="false">IF(OR(C62="სხვა მოდელი წერია",I62&gt;=განმარტება!$B$4),1,IF(OR(C62="ცარიელი",I62&gt;=1),2,IF(H62&gt;=განმარტება!$B$5,3,4)))</f>
        <v>1</v>
      </c>
      <c r="C62" s="6" t="s">
        <v>15</v>
      </c>
      <c r="D62" s="6" t="s">
        <v>349</v>
      </c>
      <c r="E62" s="7" t="s">
        <v>350</v>
      </c>
      <c r="F62" s="7" t="n">
        <v>1685</v>
      </c>
      <c r="G62" s="6" t="s">
        <v>112</v>
      </c>
      <c r="H62" s="8" t="n">
        <v>1249</v>
      </c>
      <c r="I62" s="8" t="n">
        <v>146</v>
      </c>
      <c r="J62" s="7" t="n">
        <v>5</v>
      </c>
      <c r="K62" s="9" t="s">
        <v>351</v>
      </c>
      <c r="L62" s="6" t="s">
        <v>352</v>
      </c>
      <c r="M62" s="6" t="s">
        <v>353</v>
      </c>
      <c r="N62" s="10"/>
      <c r="O62" s="4" t="str">
        <f aca="false">IF(N62="","",LEN(N62))</f>
        <v/>
      </c>
    </row>
    <row r="63" customFormat="false" ht="39" hidden="false" customHeight="true" outlineLevel="0" collapsed="false">
      <c r="A63" s="4" t="n">
        <v>62</v>
      </c>
      <c r="B63" s="5" t="n">
        <f aca="false">IF(OR(C63="სხვა მოდელი წერია",I63&gt;=განმარტება!$B$4),1,IF(OR(C63="ცარიელი",I63&gt;=1),2,IF(H63&gt;=განმარტება!$B$5,3,4)))</f>
        <v>1</v>
      </c>
      <c r="C63" s="6" t="s">
        <v>15</v>
      </c>
      <c r="D63" s="6" t="s">
        <v>354</v>
      </c>
      <c r="E63" s="7" t="s">
        <v>355</v>
      </c>
      <c r="F63" s="7" t="n">
        <v>4023</v>
      </c>
      <c r="G63" s="6" t="s">
        <v>24</v>
      </c>
      <c r="H63" s="8" t="n">
        <v>769</v>
      </c>
      <c r="I63" s="8" t="n">
        <v>141</v>
      </c>
      <c r="J63" s="7" t="n">
        <v>4</v>
      </c>
      <c r="K63" s="9" t="s">
        <v>356</v>
      </c>
      <c r="L63" s="6" t="s">
        <v>357</v>
      </c>
      <c r="M63" s="6" t="s">
        <v>358</v>
      </c>
      <c r="N63" s="10"/>
      <c r="O63" s="4" t="str">
        <f aca="false">IF(N63="","",LEN(N63))</f>
        <v/>
      </c>
    </row>
    <row r="64" customFormat="false" ht="39" hidden="false" customHeight="true" outlineLevel="0" collapsed="false">
      <c r="A64" s="4" t="n">
        <v>63</v>
      </c>
      <c r="B64" s="5" t="n">
        <f aca="false">IF(OR(C64="სხვა მოდელი წერია",I64&gt;=განმარტება!$B$4),1,IF(OR(C64="ცარიელი",I64&gt;=1),2,IF(H64&gt;=განმარტება!$B$5,3,4)))</f>
        <v>1</v>
      </c>
      <c r="C64" s="6" t="s">
        <v>15</v>
      </c>
      <c r="D64" s="6" t="s">
        <v>359</v>
      </c>
      <c r="E64" s="7" t="s">
        <v>360</v>
      </c>
      <c r="F64" s="7" t="n">
        <v>2854</v>
      </c>
      <c r="G64" s="6" t="s">
        <v>112</v>
      </c>
      <c r="H64" s="8" t="n">
        <v>2399</v>
      </c>
      <c r="I64" s="8" t="n">
        <v>135</v>
      </c>
      <c r="J64" s="7" t="n">
        <v>15</v>
      </c>
      <c r="K64" s="9" t="s">
        <v>361</v>
      </c>
      <c r="L64" s="6" t="s">
        <v>362</v>
      </c>
      <c r="M64" s="6" t="s">
        <v>363</v>
      </c>
      <c r="N64" s="10"/>
      <c r="O64" s="4" t="str">
        <f aca="false">IF(N64="","",LEN(N64))</f>
        <v/>
      </c>
    </row>
    <row r="65" customFormat="false" ht="39" hidden="false" customHeight="true" outlineLevel="0" collapsed="false">
      <c r="A65" s="4" t="n">
        <v>64</v>
      </c>
      <c r="B65" s="5" t="n">
        <f aca="false">IF(OR(C65="სხვა მოდელი წერია",I65&gt;=განმარტება!$B$4),1,IF(OR(C65="ცარიელი",I65&gt;=1),2,IF(H65&gt;=განმარტება!$B$5,3,4)))</f>
        <v>1</v>
      </c>
      <c r="C65" s="6" t="s">
        <v>15</v>
      </c>
      <c r="D65" s="6" t="s">
        <v>364</v>
      </c>
      <c r="E65" s="7" t="s">
        <v>365</v>
      </c>
      <c r="F65" s="7" t="n">
        <v>2158</v>
      </c>
      <c r="G65" s="6" t="s">
        <v>24</v>
      </c>
      <c r="H65" s="8" t="n">
        <v>749</v>
      </c>
      <c r="I65" s="8" t="n">
        <v>134</v>
      </c>
      <c r="J65" s="7" t="n">
        <v>5</v>
      </c>
      <c r="K65" s="9" t="s">
        <v>366</v>
      </c>
      <c r="L65" s="6" t="s">
        <v>367</v>
      </c>
      <c r="M65" s="6" t="s">
        <v>368</v>
      </c>
      <c r="N65" s="10"/>
      <c r="O65" s="4" t="str">
        <f aca="false">IF(N65="","",LEN(N65))</f>
        <v/>
      </c>
    </row>
    <row r="66" customFormat="false" ht="51.75" hidden="false" customHeight="true" outlineLevel="0" collapsed="false">
      <c r="A66" s="4" t="n">
        <v>65</v>
      </c>
      <c r="B66" s="5" t="n">
        <f aca="false">IF(OR(C66="სხვა მოდელი წერია",I66&gt;=განმარტება!$B$4),1,IF(OR(C66="ცარიელი",I66&gt;=1),2,IF(H66&gt;=განმარტება!$B$5,3,4)))</f>
        <v>1</v>
      </c>
      <c r="C66" s="6" t="s">
        <v>15</v>
      </c>
      <c r="D66" s="6" t="s">
        <v>369</v>
      </c>
      <c r="E66" s="7" t="s">
        <v>370</v>
      </c>
      <c r="F66" s="7" t="n">
        <v>3045</v>
      </c>
      <c r="G66" s="6" t="s">
        <v>211</v>
      </c>
      <c r="H66" s="8" t="n">
        <v>1799</v>
      </c>
      <c r="I66" s="8" t="n">
        <v>132</v>
      </c>
      <c r="J66" s="7" t="n">
        <v>10</v>
      </c>
      <c r="K66" s="9" t="s">
        <v>371</v>
      </c>
      <c r="L66" s="6" t="s">
        <v>372</v>
      </c>
      <c r="M66" s="6" t="s">
        <v>373</v>
      </c>
      <c r="N66" s="10"/>
      <c r="O66" s="4" t="str">
        <f aca="false">IF(N66="","",LEN(N66))</f>
        <v/>
      </c>
    </row>
    <row r="67" customFormat="false" ht="51.75" hidden="false" customHeight="true" outlineLevel="0" collapsed="false">
      <c r="A67" s="4" t="n">
        <v>66</v>
      </c>
      <c r="B67" s="5" t="n">
        <f aca="false">IF(OR(C67="სხვა მოდელი წერია",I67&gt;=განმარტება!$B$4),1,IF(OR(C67="ცარიელი",I67&gt;=1),2,IF(H67&gt;=განმარტება!$B$5,3,4)))</f>
        <v>1</v>
      </c>
      <c r="C67" s="6" t="s">
        <v>15</v>
      </c>
      <c r="D67" s="6" t="s">
        <v>374</v>
      </c>
      <c r="E67" s="7" t="s">
        <v>375</v>
      </c>
      <c r="F67" s="7" t="n">
        <v>3186</v>
      </c>
      <c r="G67" s="6" t="s">
        <v>211</v>
      </c>
      <c r="H67" s="8" t="n">
        <v>1199</v>
      </c>
      <c r="I67" s="8" t="n">
        <v>128</v>
      </c>
      <c r="J67" s="7" t="n">
        <v>4</v>
      </c>
      <c r="K67" s="9" t="s">
        <v>376</v>
      </c>
      <c r="L67" s="6" t="s">
        <v>377</v>
      </c>
      <c r="M67" s="6" t="s">
        <v>378</v>
      </c>
      <c r="N67" s="10"/>
      <c r="O67" s="4" t="str">
        <f aca="false">IF(N67="","",LEN(N67))</f>
        <v/>
      </c>
    </row>
    <row r="68" customFormat="false" ht="39" hidden="false" customHeight="true" outlineLevel="0" collapsed="false">
      <c r="A68" s="4" t="n">
        <v>67</v>
      </c>
      <c r="B68" s="5" t="n">
        <f aca="false">IF(OR(C68="სხვა მოდელი წერია",I68&gt;=განმარტება!$B$4),1,IF(OR(C68="ცარიელი",I68&gt;=1),2,IF(H68&gt;=განმარტება!$B$5,3,4)))</f>
        <v>1</v>
      </c>
      <c r="C68" s="6" t="s">
        <v>15</v>
      </c>
      <c r="D68" s="6" t="s">
        <v>379</v>
      </c>
      <c r="E68" s="7" t="s">
        <v>380</v>
      </c>
      <c r="F68" s="7" t="n">
        <v>2619</v>
      </c>
      <c r="G68" s="6" t="s">
        <v>36</v>
      </c>
      <c r="H68" s="8" t="n">
        <v>2320</v>
      </c>
      <c r="I68" s="8" t="n">
        <v>127</v>
      </c>
      <c r="J68" s="7" t="n">
        <v>8</v>
      </c>
      <c r="K68" s="9" t="s">
        <v>381</v>
      </c>
      <c r="L68" s="6" t="s">
        <v>382</v>
      </c>
      <c r="M68" s="6" t="s">
        <v>383</v>
      </c>
      <c r="N68" s="10"/>
      <c r="O68" s="4" t="str">
        <f aca="false">IF(N68="","",LEN(N68))</f>
        <v/>
      </c>
    </row>
    <row r="69" customFormat="false" ht="39" hidden="false" customHeight="true" outlineLevel="0" collapsed="false">
      <c r="A69" s="4" t="n">
        <v>68</v>
      </c>
      <c r="B69" s="5" t="n">
        <f aca="false">IF(OR(C69="სხვა მოდელი წერია",I69&gt;=განმარტება!$B$4),1,IF(OR(C69="ცარიელი",I69&gt;=1),2,IF(H69&gt;=განმარტება!$B$5,3,4)))</f>
        <v>1</v>
      </c>
      <c r="C69" s="6" t="s">
        <v>15</v>
      </c>
      <c r="D69" s="6" t="s">
        <v>384</v>
      </c>
      <c r="E69" s="7" t="s">
        <v>385</v>
      </c>
      <c r="F69" s="7" t="n">
        <v>3758</v>
      </c>
      <c r="G69" s="6" t="s">
        <v>24</v>
      </c>
      <c r="H69" s="8" t="n">
        <v>6199</v>
      </c>
      <c r="I69" s="8" t="n">
        <v>127</v>
      </c>
      <c r="J69" s="7" t="n">
        <v>5</v>
      </c>
      <c r="K69" s="9" t="s">
        <v>386</v>
      </c>
      <c r="L69" s="6" t="s">
        <v>387</v>
      </c>
      <c r="M69" s="6" t="s">
        <v>388</v>
      </c>
      <c r="N69" s="10"/>
      <c r="O69" s="4" t="str">
        <f aca="false">IF(N69="","",LEN(N69))</f>
        <v/>
      </c>
    </row>
    <row r="70" customFormat="false" ht="51.75" hidden="false" customHeight="true" outlineLevel="0" collapsed="false">
      <c r="A70" s="4" t="n">
        <v>69</v>
      </c>
      <c r="B70" s="5" t="n">
        <f aca="false">IF(OR(C70="სხვა მოდელი წერია",I70&gt;=განმარტება!$B$4),1,IF(OR(C70="ცარიელი",I70&gt;=1),2,IF(H70&gt;=განმარტება!$B$5,3,4)))</f>
        <v>1</v>
      </c>
      <c r="C70" s="6" t="s">
        <v>15</v>
      </c>
      <c r="D70" s="6" t="s">
        <v>389</v>
      </c>
      <c r="E70" s="7" t="s">
        <v>390</v>
      </c>
      <c r="F70" s="7" t="n">
        <v>2903</v>
      </c>
      <c r="G70" s="6" t="s">
        <v>391</v>
      </c>
      <c r="H70" s="8" t="n">
        <v>749</v>
      </c>
      <c r="I70" s="8" t="n">
        <v>124</v>
      </c>
      <c r="J70" s="7" t="n">
        <v>6</v>
      </c>
      <c r="K70" s="9" t="s">
        <v>392</v>
      </c>
      <c r="L70" s="6" t="s">
        <v>393</v>
      </c>
      <c r="M70" s="6" t="s">
        <v>394</v>
      </c>
      <c r="N70" s="10"/>
      <c r="O70" s="4" t="str">
        <f aca="false">IF(N70="","",LEN(N70))</f>
        <v/>
      </c>
    </row>
    <row r="71" customFormat="false" ht="39" hidden="false" customHeight="true" outlineLevel="0" collapsed="false">
      <c r="A71" s="4" t="n">
        <v>70</v>
      </c>
      <c r="B71" s="5" t="n">
        <f aca="false">IF(OR(C71="სხვა მოდელი წერია",I71&gt;=განმარტება!$B$4),1,IF(OR(C71="ცარიელი",I71&gt;=1),2,IF(H71&gt;=განმარტება!$B$5,3,4)))</f>
        <v>1</v>
      </c>
      <c r="C71" s="6" t="s">
        <v>15</v>
      </c>
      <c r="D71" s="6" t="s">
        <v>395</v>
      </c>
      <c r="E71" s="7" t="s">
        <v>396</v>
      </c>
      <c r="F71" s="7" t="n">
        <v>1837</v>
      </c>
      <c r="G71" s="6" t="s">
        <v>112</v>
      </c>
      <c r="H71" s="8" t="n">
        <v>1179</v>
      </c>
      <c r="I71" s="8" t="n">
        <v>121</v>
      </c>
      <c r="J71" s="7" t="n">
        <v>4</v>
      </c>
      <c r="K71" s="9" t="s">
        <v>397</v>
      </c>
      <c r="L71" s="6" t="s">
        <v>398</v>
      </c>
      <c r="M71" s="6" t="s">
        <v>399</v>
      </c>
      <c r="N71" s="10"/>
      <c r="O71" s="4" t="str">
        <f aca="false">IF(N71="","",LEN(N71))</f>
        <v/>
      </c>
    </row>
    <row r="72" customFormat="false" ht="39" hidden="false" customHeight="true" outlineLevel="0" collapsed="false">
      <c r="A72" s="4" t="n">
        <v>71</v>
      </c>
      <c r="B72" s="5" t="n">
        <f aca="false">IF(OR(C72="სხვა მოდელი წერია",I72&gt;=განმარტება!$B$4),1,IF(OR(C72="ცარიელი",I72&gt;=1),2,IF(H72&gt;=განმარტება!$B$5,3,4)))</f>
        <v>1</v>
      </c>
      <c r="C72" s="6" t="s">
        <v>15</v>
      </c>
      <c r="D72" s="6" t="s">
        <v>400</v>
      </c>
      <c r="E72" s="7" t="s">
        <v>401</v>
      </c>
      <c r="F72" s="7" t="n">
        <v>2907</v>
      </c>
      <c r="G72" s="6" t="s">
        <v>402</v>
      </c>
      <c r="H72" s="8" t="n">
        <v>799</v>
      </c>
      <c r="I72" s="8" t="n">
        <v>117</v>
      </c>
      <c r="J72" s="7" t="n">
        <v>6</v>
      </c>
      <c r="K72" s="9" t="s">
        <v>403</v>
      </c>
      <c r="L72" s="6" t="s">
        <v>404</v>
      </c>
      <c r="M72" s="6" t="s">
        <v>405</v>
      </c>
      <c r="N72" s="10"/>
      <c r="O72" s="4" t="str">
        <f aca="false">IF(N72="","",LEN(N72))</f>
        <v/>
      </c>
    </row>
    <row r="73" customFormat="false" ht="39" hidden="false" customHeight="true" outlineLevel="0" collapsed="false">
      <c r="A73" s="4" t="n">
        <v>72</v>
      </c>
      <c r="B73" s="5" t="n">
        <f aca="false">IF(OR(C73="სხვა მოდელი წერია",I73&gt;=განმარტება!$B$4),1,IF(OR(C73="ცარიელი",I73&gt;=1),2,IF(H73&gt;=განმარტება!$B$5,3,4)))</f>
        <v>1</v>
      </c>
      <c r="C73" s="6" t="s">
        <v>316</v>
      </c>
      <c r="D73" s="6" t="s">
        <v>406</v>
      </c>
      <c r="E73" s="7" t="s">
        <v>407</v>
      </c>
      <c r="F73" s="7" t="n">
        <v>2862</v>
      </c>
      <c r="G73" s="6" t="s">
        <v>402</v>
      </c>
      <c r="H73" s="8" t="n">
        <v>1199</v>
      </c>
      <c r="I73" s="8" t="n">
        <v>116</v>
      </c>
      <c r="J73" s="7" t="n">
        <v>5</v>
      </c>
      <c r="K73" s="9" t="s">
        <v>408</v>
      </c>
      <c r="L73" s="6" t="s">
        <v>409</v>
      </c>
      <c r="M73" s="6" t="s">
        <v>410</v>
      </c>
      <c r="N73" s="10"/>
      <c r="O73" s="4" t="str">
        <f aca="false">IF(N73="","",LEN(N73))</f>
        <v/>
      </c>
    </row>
    <row r="74" customFormat="false" ht="51.75" hidden="false" customHeight="true" outlineLevel="0" collapsed="false">
      <c r="A74" s="4" t="n">
        <v>73</v>
      </c>
      <c r="B74" s="5" t="n">
        <f aca="false">IF(OR(C74="სხვა მოდელი წერია",I74&gt;=განმარტება!$B$4),1,IF(OR(C74="ცარიელი",I74&gt;=1),2,IF(H74&gt;=განმარტება!$B$5,3,4)))</f>
        <v>1</v>
      </c>
      <c r="C74" s="6" t="s">
        <v>15</v>
      </c>
      <c r="D74" s="6" t="s">
        <v>411</v>
      </c>
      <c r="E74" s="7" t="s">
        <v>412</v>
      </c>
      <c r="F74" s="7" t="n">
        <v>3731</v>
      </c>
      <c r="G74" s="6" t="s">
        <v>211</v>
      </c>
      <c r="H74" s="8" t="n">
        <v>1069</v>
      </c>
      <c r="I74" s="8" t="n">
        <v>115</v>
      </c>
      <c r="J74" s="7" t="n">
        <v>10</v>
      </c>
      <c r="K74" s="9" t="s">
        <v>413</v>
      </c>
      <c r="L74" s="6" t="s">
        <v>414</v>
      </c>
      <c r="M74" s="6" t="s">
        <v>415</v>
      </c>
      <c r="N74" s="10"/>
      <c r="O74" s="4" t="str">
        <f aca="false">IF(N74="","",LEN(N74))</f>
        <v/>
      </c>
    </row>
    <row r="75" customFormat="false" ht="51.75" hidden="false" customHeight="true" outlineLevel="0" collapsed="false">
      <c r="A75" s="4" t="n">
        <v>74</v>
      </c>
      <c r="B75" s="5" t="n">
        <f aca="false">IF(OR(C75="სხვა მოდელი წერია",I75&gt;=განმარტება!$B$4),1,IF(OR(C75="ცარიელი",I75&gt;=1),2,IF(H75&gt;=განმარტება!$B$5,3,4)))</f>
        <v>1</v>
      </c>
      <c r="C75" s="6" t="s">
        <v>15</v>
      </c>
      <c r="D75" s="6" t="s">
        <v>416</v>
      </c>
      <c r="E75" s="7" t="s">
        <v>417</v>
      </c>
      <c r="F75" s="7" t="n">
        <v>2860</v>
      </c>
      <c r="G75" s="6" t="s">
        <v>211</v>
      </c>
      <c r="H75" s="8" t="n">
        <v>1299</v>
      </c>
      <c r="I75" s="8" t="n">
        <v>115</v>
      </c>
      <c r="J75" s="7" t="n">
        <v>3</v>
      </c>
      <c r="K75" s="9" t="s">
        <v>418</v>
      </c>
      <c r="L75" s="6" t="s">
        <v>419</v>
      </c>
      <c r="M75" s="6" t="s">
        <v>420</v>
      </c>
      <c r="N75" s="10"/>
      <c r="O75" s="4" t="str">
        <f aca="false">IF(N75="","",LEN(N75))</f>
        <v/>
      </c>
    </row>
    <row r="76" customFormat="false" ht="39" hidden="false" customHeight="true" outlineLevel="0" collapsed="false">
      <c r="A76" s="4" t="n">
        <v>75</v>
      </c>
      <c r="B76" s="5" t="n">
        <f aca="false">IF(OR(C76="სხვა მოდელი წერია",I76&gt;=განმარტება!$B$4),1,IF(OR(C76="ცარიელი",I76&gt;=1),2,IF(H76&gt;=განმარტება!$B$5,3,4)))</f>
        <v>1</v>
      </c>
      <c r="C76" s="6" t="s">
        <v>15</v>
      </c>
      <c r="D76" s="6" t="s">
        <v>421</v>
      </c>
      <c r="E76" s="7" t="s">
        <v>422</v>
      </c>
      <c r="F76" s="7" t="n">
        <v>255</v>
      </c>
      <c r="G76" s="6" t="s">
        <v>112</v>
      </c>
      <c r="H76" s="8" t="n">
        <v>1599</v>
      </c>
      <c r="I76" s="8" t="n">
        <v>109</v>
      </c>
      <c r="J76" s="7" t="n">
        <v>3</v>
      </c>
      <c r="K76" s="9" t="s">
        <v>423</v>
      </c>
      <c r="L76" s="6" t="s">
        <v>424</v>
      </c>
      <c r="M76" s="6" t="s">
        <v>425</v>
      </c>
      <c r="N76" s="10"/>
      <c r="O76" s="4" t="str">
        <f aca="false">IF(N76="","",LEN(N76))</f>
        <v/>
      </c>
    </row>
    <row r="77" customFormat="false" ht="39" hidden="false" customHeight="true" outlineLevel="0" collapsed="false">
      <c r="A77" s="4" t="n">
        <v>76</v>
      </c>
      <c r="B77" s="5" t="n">
        <f aca="false">IF(OR(C77="სხვა მოდელი წერია",I77&gt;=განმარტება!$B$4),1,IF(OR(C77="ცარიელი",I77&gt;=1),2,IF(H77&gt;=განმარტება!$B$5,3,4)))</f>
        <v>1</v>
      </c>
      <c r="C77" s="6" t="s">
        <v>15</v>
      </c>
      <c r="D77" s="6" t="s">
        <v>426</v>
      </c>
      <c r="E77" s="7" t="s">
        <v>427</v>
      </c>
      <c r="F77" s="7" t="n">
        <v>663</v>
      </c>
      <c r="G77" s="6" t="s">
        <v>402</v>
      </c>
      <c r="H77" s="8" t="n">
        <v>649</v>
      </c>
      <c r="I77" s="8" t="n">
        <v>108</v>
      </c>
      <c r="J77" s="7" t="n">
        <v>4</v>
      </c>
      <c r="K77" s="9" t="s">
        <v>428</v>
      </c>
      <c r="L77" s="6" t="s">
        <v>429</v>
      </c>
      <c r="M77" s="6" t="s">
        <v>430</v>
      </c>
      <c r="N77" s="10"/>
      <c r="O77" s="4" t="str">
        <f aca="false">IF(N77="","",LEN(N77))</f>
        <v/>
      </c>
    </row>
    <row r="78" customFormat="false" ht="39" hidden="false" customHeight="true" outlineLevel="0" collapsed="false">
      <c r="A78" s="4" t="n">
        <v>77</v>
      </c>
      <c r="B78" s="5" t="n">
        <f aca="false">IF(OR(C78="სხვა მოდელი წერია",I78&gt;=განმარტება!$B$4),1,IF(OR(C78="ცარიელი",I78&gt;=1),2,IF(H78&gt;=განმარტება!$B$5,3,4)))</f>
        <v>1</v>
      </c>
      <c r="C78" s="6" t="s">
        <v>15</v>
      </c>
      <c r="D78" s="6" t="s">
        <v>431</v>
      </c>
      <c r="E78" s="7" t="s">
        <v>432</v>
      </c>
      <c r="F78" s="7" t="n">
        <v>1572</v>
      </c>
      <c r="G78" s="6" t="s">
        <v>24</v>
      </c>
      <c r="H78" s="8" t="n">
        <v>4699</v>
      </c>
      <c r="I78" s="8" t="n">
        <v>107</v>
      </c>
      <c r="J78" s="7" t="n">
        <v>5</v>
      </c>
      <c r="K78" s="9" t="s">
        <v>433</v>
      </c>
      <c r="L78" s="6" t="s">
        <v>434</v>
      </c>
      <c r="M78" s="6" t="s">
        <v>435</v>
      </c>
      <c r="N78" s="10"/>
      <c r="O78" s="4" t="str">
        <f aca="false">IF(N78="","",LEN(N78))</f>
        <v/>
      </c>
    </row>
    <row r="79" customFormat="false" ht="39" hidden="false" customHeight="true" outlineLevel="0" collapsed="false">
      <c r="A79" s="4" t="n">
        <v>78</v>
      </c>
      <c r="B79" s="5" t="n">
        <f aca="false">IF(OR(C79="სხვა მოდელი წერია",I79&gt;=განმარტება!$B$4),1,IF(OR(C79="ცარიელი",I79&gt;=1),2,IF(H79&gt;=განმარტება!$B$5,3,4)))</f>
        <v>1</v>
      </c>
      <c r="C79" s="6" t="s">
        <v>15</v>
      </c>
      <c r="D79" s="6" t="s">
        <v>436</v>
      </c>
      <c r="E79" s="7" t="s">
        <v>437</v>
      </c>
      <c r="F79" s="7" t="n">
        <v>3121</v>
      </c>
      <c r="G79" s="6" t="s">
        <v>18</v>
      </c>
      <c r="H79" s="8" t="n">
        <v>869</v>
      </c>
      <c r="I79" s="8" t="n">
        <v>107</v>
      </c>
      <c r="J79" s="7" t="n">
        <v>3</v>
      </c>
      <c r="K79" s="9" t="s">
        <v>438</v>
      </c>
      <c r="L79" s="6" t="s">
        <v>439</v>
      </c>
      <c r="M79" s="6" t="s">
        <v>440</v>
      </c>
      <c r="N79" s="10"/>
      <c r="O79" s="4" t="str">
        <f aca="false">IF(N79="","",LEN(N79))</f>
        <v/>
      </c>
    </row>
    <row r="80" customFormat="false" ht="39" hidden="false" customHeight="true" outlineLevel="0" collapsed="false">
      <c r="A80" s="4" t="n">
        <v>79</v>
      </c>
      <c r="B80" s="5" t="n">
        <f aca="false">IF(OR(C80="სხვა მოდელი წერია",I80&gt;=განმარტება!$B$4),1,IF(OR(C80="ცარიელი",I80&gt;=1),2,IF(H80&gt;=განმარტება!$B$5,3,4)))</f>
        <v>1</v>
      </c>
      <c r="C80" s="6" t="s">
        <v>316</v>
      </c>
      <c r="D80" s="6" t="s">
        <v>441</v>
      </c>
      <c r="E80" s="7" t="s">
        <v>442</v>
      </c>
      <c r="F80" s="7" t="n">
        <v>1790</v>
      </c>
      <c r="G80" s="6" t="s">
        <v>118</v>
      </c>
      <c r="H80" s="8" t="n">
        <v>858</v>
      </c>
      <c r="I80" s="8" t="n">
        <v>106</v>
      </c>
      <c r="J80" s="7" t="n">
        <v>7</v>
      </c>
      <c r="K80" s="9" t="s">
        <v>443</v>
      </c>
      <c r="L80" s="6" t="s">
        <v>444</v>
      </c>
      <c r="M80" s="6" t="s">
        <v>445</v>
      </c>
      <c r="N80" s="10"/>
      <c r="O80" s="4" t="str">
        <f aca="false">IF(N80="","",LEN(N80))</f>
        <v/>
      </c>
    </row>
    <row r="81" customFormat="false" ht="39" hidden="false" customHeight="true" outlineLevel="0" collapsed="false">
      <c r="A81" s="4" t="n">
        <v>80</v>
      </c>
      <c r="B81" s="5" t="n">
        <f aca="false">IF(OR(C81="სხვა მოდელი წერია",I81&gt;=განმარტება!$B$4),1,IF(OR(C81="ცარიელი",I81&gt;=1),2,IF(H81&gt;=განმარტება!$B$5,3,4)))</f>
        <v>1</v>
      </c>
      <c r="C81" s="6" t="s">
        <v>15</v>
      </c>
      <c r="D81" s="6" t="s">
        <v>446</v>
      </c>
      <c r="E81" s="7" t="s">
        <v>447</v>
      </c>
      <c r="F81" s="7" t="n">
        <v>4010</v>
      </c>
      <c r="G81" s="6" t="s">
        <v>24</v>
      </c>
      <c r="H81" s="8" t="n">
        <v>1099</v>
      </c>
      <c r="I81" s="8" t="n">
        <v>105</v>
      </c>
      <c r="J81" s="7" t="n">
        <v>7</v>
      </c>
      <c r="K81" s="9" t="s">
        <v>448</v>
      </c>
      <c r="L81" s="6" t="s">
        <v>449</v>
      </c>
      <c r="M81" s="6" t="s">
        <v>450</v>
      </c>
      <c r="N81" s="10"/>
      <c r="O81" s="4" t="str">
        <f aca="false">IF(N81="","",LEN(N81))</f>
        <v/>
      </c>
    </row>
    <row r="82" customFormat="false" ht="51.75" hidden="false" customHeight="true" outlineLevel="0" collapsed="false">
      <c r="A82" s="4" t="n">
        <v>81</v>
      </c>
      <c r="B82" s="5" t="n">
        <f aca="false">IF(OR(C82="სხვა მოდელი წერია",I82&gt;=განმარტება!$B$4),1,IF(OR(C82="ცარიელი",I82&gt;=1),2,IF(H82&gt;=განმარტება!$B$5,3,4)))</f>
        <v>1</v>
      </c>
      <c r="C82" s="6" t="s">
        <v>15</v>
      </c>
      <c r="D82" s="6" t="s">
        <v>451</v>
      </c>
      <c r="E82" s="7" t="s">
        <v>452</v>
      </c>
      <c r="F82" s="7" t="n">
        <v>3164</v>
      </c>
      <c r="G82" s="6" t="s">
        <v>30</v>
      </c>
      <c r="H82" s="8" t="n">
        <v>524</v>
      </c>
      <c r="I82" s="8" t="n">
        <v>103</v>
      </c>
      <c r="J82" s="7" t="n">
        <v>7</v>
      </c>
      <c r="K82" s="9" t="s">
        <v>453</v>
      </c>
      <c r="L82" s="6" t="s">
        <v>454</v>
      </c>
      <c r="M82" s="6" t="s">
        <v>455</v>
      </c>
      <c r="N82" s="10"/>
      <c r="O82" s="4" t="str">
        <f aca="false">IF(N82="","",LEN(N82))</f>
        <v/>
      </c>
    </row>
    <row r="83" customFormat="false" ht="39" hidden="false" customHeight="true" outlineLevel="0" collapsed="false">
      <c r="A83" s="4" t="n">
        <v>82</v>
      </c>
      <c r="B83" s="5" t="n">
        <f aca="false">IF(OR(C83="სხვა მოდელი წერია",I83&gt;=განმარტება!$B$4),1,IF(OR(C83="ცარიელი",I83&gt;=1),2,IF(H83&gt;=განმარტება!$B$5,3,4)))</f>
        <v>1</v>
      </c>
      <c r="C83" s="6" t="s">
        <v>58</v>
      </c>
      <c r="D83" s="6" t="s">
        <v>456</v>
      </c>
      <c r="E83" s="7" t="s">
        <v>457</v>
      </c>
      <c r="F83" s="7" t="n">
        <v>8361</v>
      </c>
      <c r="G83" s="6" t="s">
        <v>177</v>
      </c>
      <c r="H83" s="8" t="n">
        <v>259</v>
      </c>
      <c r="I83" s="8" t="n">
        <v>98</v>
      </c>
      <c r="J83" s="7" t="n">
        <v>3</v>
      </c>
      <c r="K83" s="9" t="s">
        <v>458</v>
      </c>
      <c r="L83" s="6" t="s">
        <v>459</v>
      </c>
      <c r="M83" s="6" t="s">
        <v>460</v>
      </c>
      <c r="N83" s="10"/>
      <c r="O83" s="4" t="str">
        <f aca="false">IF(N83="","",LEN(N83))</f>
        <v/>
      </c>
    </row>
    <row r="84" customFormat="false" ht="39" hidden="false" customHeight="true" outlineLevel="0" collapsed="false">
      <c r="A84" s="4" t="n">
        <v>83</v>
      </c>
      <c r="B84" s="5" t="n">
        <f aca="false">IF(OR(C84="სხვა მოდელი წერია",I84&gt;=განმარტება!$B$4),1,IF(OR(C84="ცარიელი",I84&gt;=1),2,IF(H84&gt;=განმარტება!$B$5,3,4)))</f>
        <v>1</v>
      </c>
      <c r="C84" s="6" t="s">
        <v>58</v>
      </c>
      <c r="D84" s="6" t="s">
        <v>461</v>
      </c>
      <c r="E84" s="7" t="s">
        <v>462</v>
      </c>
      <c r="F84" s="7" t="n">
        <v>12771</v>
      </c>
      <c r="G84" s="6" t="s">
        <v>24</v>
      </c>
      <c r="H84" s="8" t="n">
        <v>1999</v>
      </c>
      <c r="I84" s="8" t="n">
        <v>69</v>
      </c>
      <c r="J84" s="7" t="n">
        <v>3</v>
      </c>
      <c r="K84" s="9" t="s">
        <v>463</v>
      </c>
      <c r="L84" s="6" t="s">
        <v>464</v>
      </c>
      <c r="M84" s="6" t="s">
        <v>465</v>
      </c>
      <c r="N84" s="10"/>
      <c r="O84" s="4" t="str">
        <f aca="false">IF(N84="","",LEN(N84))</f>
        <v/>
      </c>
    </row>
    <row r="85" customFormat="false" ht="39" hidden="false" customHeight="true" outlineLevel="0" collapsed="false">
      <c r="A85" s="4" t="n">
        <v>84</v>
      </c>
      <c r="B85" s="5" t="n">
        <f aca="false">IF(OR(C85="სხვა მოდელი წერია",I85&gt;=განმარტება!$B$4),1,IF(OR(C85="ცარიელი",I85&gt;=1),2,IF(H85&gt;=განმარტება!$B$5,3,4)))</f>
        <v>1</v>
      </c>
      <c r="C85" s="6" t="s">
        <v>58</v>
      </c>
      <c r="D85" s="6" t="s">
        <v>466</v>
      </c>
      <c r="E85" s="7" t="s">
        <v>467</v>
      </c>
      <c r="F85" s="7" t="n">
        <v>12837</v>
      </c>
      <c r="G85" s="6" t="s">
        <v>118</v>
      </c>
      <c r="H85" s="8" t="n">
        <v>51570</v>
      </c>
      <c r="I85" s="8" t="n">
        <v>0</v>
      </c>
      <c r="J85" s="7" t="n">
        <v>0</v>
      </c>
      <c r="K85" s="9" t="s">
        <v>468</v>
      </c>
      <c r="L85" s="6" t="s">
        <v>469</v>
      </c>
      <c r="M85" s="6" t="s">
        <v>470</v>
      </c>
      <c r="N85" s="10"/>
      <c r="O85" s="4" t="str">
        <f aca="false">IF(N85="","",LEN(N85))</f>
        <v/>
      </c>
    </row>
    <row r="86" customFormat="false" ht="51.75" hidden="false" customHeight="true" outlineLevel="0" collapsed="false">
      <c r="A86" s="4" t="n">
        <v>85</v>
      </c>
      <c r="B86" s="5" t="n">
        <f aca="false">IF(OR(C86="სხვა მოდელი წერია",I86&gt;=განმარტება!$B$4),1,IF(OR(C86="ცარიელი",I86&gt;=1),2,IF(H86&gt;=განმარტება!$B$5,3,4)))</f>
        <v>1</v>
      </c>
      <c r="C86" s="6" t="s">
        <v>58</v>
      </c>
      <c r="D86" s="6" t="s">
        <v>471</v>
      </c>
      <c r="E86" s="7" t="s">
        <v>472</v>
      </c>
      <c r="F86" s="7" t="n">
        <v>13904</v>
      </c>
      <c r="G86" s="6" t="s">
        <v>473</v>
      </c>
      <c r="H86" s="8" t="n">
        <v>4785</v>
      </c>
      <c r="I86" s="8" t="n">
        <v>0</v>
      </c>
      <c r="J86" s="7" t="n">
        <v>0</v>
      </c>
      <c r="K86" s="9" t="s">
        <v>474</v>
      </c>
      <c r="L86" s="6" t="s">
        <v>475</v>
      </c>
      <c r="M86" s="6" t="s">
        <v>476</v>
      </c>
      <c r="N86" s="10"/>
      <c r="O86" s="4" t="str">
        <f aca="false">IF(N86="","",LEN(N86))</f>
        <v/>
      </c>
    </row>
    <row r="87" customFormat="false" ht="51.75" hidden="false" customHeight="true" outlineLevel="0" collapsed="false">
      <c r="A87" s="4" t="n">
        <v>86</v>
      </c>
      <c r="B87" s="5" t="n">
        <f aca="false">IF(OR(C87="სხვა მოდელი წერია",I87&gt;=განმარტება!$B$4),1,IF(OR(C87="ცარიელი",I87&gt;=1),2,IF(H87&gt;=განმარტება!$B$5,3,4)))</f>
        <v>1</v>
      </c>
      <c r="C87" s="6" t="s">
        <v>58</v>
      </c>
      <c r="D87" s="6" t="s">
        <v>477</v>
      </c>
      <c r="E87" s="7" t="s">
        <v>478</v>
      </c>
      <c r="F87" s="7" t="n">
        <v>12969</v>
      </c>
      <c r="G87" s="6" t="s">
        <v>211</v>
      </c>
      <c r="H87" s="8" t="n">
        <v>2199</v>
      </c>
      <c r="I87" s="8" t="n">
        <v>0</v>
      </c>
      <c r="J87" s="7" t="n">
        <v>0</v>
      </c>
      <c r="K87" s="9" t="s">
        <v>479</v>
      </c>
      <c r="L87" s="6" t="s">
        <v>480</v>
      </c>
      <c r="M87" s="6" t="s">
        <v>481</v>
      </c>
      <c r="N87" s="10"/>
      <c r="O87" s="4" t="str">
        <f aca="false">IF(N87="","",LEN(N87))</f>
        <v/>
      </c>
    </row>
    <row r="88" customFormat="false" ht="51.75" hidden="false" customHeight="true" outlineLevel="0" collapsed="false">
      <c r="A88" s="4" t="n">
        <v>87</v>
      </c>
      <c r="B88" s="5" t="n">
        <f aca="false">IF(OR(C88="სხვა მოდელი წერია",I88&gt;=განმარტება!$B$4),1,IF(OR(C88="ცარიელი",I88&gt;=1),2,IF(H88&gt;=განმარტება!$B$5,3,4)))</f>
        <v>1</v>
      </c>
      <c r="C88" s="6" t="s">
        <v>58</v>
      </c>
      <c r="D88" s="6" t="s">
        <v>482</v>
      </c>
      <c r="E88" s="7" t="s">
        <v>483</v>
      </c>
      <c r="F88" s="7" t="n">
        <v>8373</v>
      </c>
      <c r="G88" s="6" t="s">
        <v>48</v>
      </c>
      <c r="H88" s="8" t="n">
        <v>2099</v>
      </c>
      <c r="I88" s="8" t="n">
        <v>0</v>
      </c>
      <c r="J88" s="7" t="n">
        <v>0</v>
      </c>
      <c r="K88" s="9" t="s">
        <v>484</v>
      </c>
      <c r="L88" s="6" t="s">
        <v>485</v>
      </c>
      <c r="M88" s="6" t="s">
        <v>486</v>
      </c>
      <c r="N88" s="10"/>
      <c r="O88" s="4" t="str">
        <f aca="false">IF(N88="","",LEN(N88))</f>
        <v/>
      </c>
    </row>
    <row r="89" customFormat="false" ht="51.75" hidden="false" customHeight="true" outlineLevel="0" collapsed="false">
      <c r="A89" s="4" t="n">
        <v>88</v>
      </c>
      <c r="B89" s="5" t="n">
        <f aca="false">IF(OR(C89="სხვა მოდელი წერია",I89&gt;=განმარტება!$B$4),1,IF(OR(C89="ცარიელი",I89&gt;=1),2,IF(H89&gt;=განმარტება!$B$5,3,4)))</f>
        <v>1</v>
      </c>
      <c r="C89" s="6" t="s">
        <v>58</v>
      </c>
      <c r="D89" s="6" t="s">
        <v>487</v>
      </c>
      <c r="E89" s="7" t="s">
        <v>488</v>
      </c>
      <c r="F89" s="7" t="n">
        <v>14184</v>
      </c>
      <c r="G89" s="6" t="s">
        <v>334</v>
      </c>
      <c r="H89" s="8" t="n">
        <v>2063</v>
      </c>
      <c r="I89" s="8" t="n">
        <v>0</v>
      </c>
      <c r="J89" s="7" t="n">
        <v>0</v>
      </c>
      <c r="K89" s="9" t="s">
        <v>489</v>
      </c>
      <c r="L89" s="6" t="s">
        <v>490</v>
      </c>
      <c r="M89" s="6" t="s">
        <v>491</v>
      </c>
      <c r="N89" s="10"/>
      <c r="O89" s="4" t="str">
        <f aca="false">IF(N89="","",LEN(N89))</f>
        <v/>
      </c>
    </row>
    <row r="90" customFormat="false" ht="51.75" hidden="false" customHeight="true" outlineLevel="0" collapsed="false">
      <c r="A90" s="4" t="n">
        <v>89</v>
      </c>
      <c r="B90" s="5" t="n">
        <f aca="false">IF(OR(C90="სხვა მოდელი წერია",I90&gt;=განმარტება!$B$4),1,IF(OR(C90="ცარიელი",I90&gt;=1),2,IF(H90&gt;=განმარტება!$B$5,3,4)))</f>
        <v>1</v>
      </c>
      <c r="C90" s="6" t="s">
        <v>58</v>
      </c>
      <c r="D90" s="6" t="s">
        <v>492</v>
      </c>
      <c r="E90" s="7" t="s">
        <v>493</v>
      </c>
      <c r="F90" s="7" t="n">
        <v>12971</v>
      </c>
      <c r="G90" s="6" t="s">
        <v>211</v>
      </c>
      <c r="H90" s="8" t="n">
        <v>1999</v>
      </c>
      <c r="I90" s="8" t="n">
        <v>0</v>
      </c>
      <c r="J90" s="7" t="n">
        <v>0</v>
      </c>
      <c r="K90" s="9" t="s">
        <v>494</v>
      </c>
      <c r="L90" s="6" t="s">
        <v>495</v>
      </c>
      <c r="M90" s="6" t="s">
        <v>496</v>
      </c>
      <c r="N90" s="10"/>
      <c r="O90" s="4" t="str">
        <f aca="false">IF(N90="","",LEN(N90))</f>
        <v/>
      </c>
    </row>
    <row r="91" customFormat="false" ht="51.75" hidden="false" customHeight="true" outlineLevel="0" collapsed="false">
      <c r="A91" s="4" t="n">
        <v>90</v>
      </c>
      <c r="B91" s="5" t="n">
        <f aca="false">IF(OR(C91="სხვა მოდელი წერია",I91&gt;=განმარტება!$B$4),1,IF(OR(C91="ცარიელი",I91&gt;=1),2,IF(H91&gt;=განმარტება!$B$5,3,4)))</f>
        <v>1</v>
      </c>
      <c r="C91" s="6" t="s">
        <v>58</v>
      </c>
      <c r="D91" s="6" t="s">
        <v>497</v>
      </c>
      <c r="E91" s="7" t="s">
        <v>498</v>
      </c>
      <c r="F91" s="7" t="n">
        <v>11985</v>
      </c>
      <c r="G91" s="6" t="s">
        <v>334</v>
      </c>
      <c r="H91" s="8" t="n">
        <v>1899</v>
      </c>
      <c r="I91" s="8" t="n">
        <v>0</v>
      </c>
      <c r="J91" s="7" t="n">
        <v>0</v>
      </c>
      <c r="K91" s="9" t="s">
        <v>499</v>
      </c>
      <c r="L91" s="6" t="s">
        <v>500</v>
      </c>
      <c r="M91" s="6" t="s">
        <v>501</v>
      </c>
      <c r="N91" s="10"/>
      <c r="O91" s="4" t="str">
        <f aca="false">IF(N91="","",LEN(N91))</f>
        <v/>
      </c>
    </row>
    <row r="92" customFormat="false" ht="51.75" hidden="false" customHeight="true" outlineLevel="0" collapsed="false">
      <c r="A92" s="4" t="n">
        <v>91</v>
      </c>
      <c r="B92" s="5" t="n">
        <f aca="false">IF(OR(C92="სხვა მოდელი წერია",I92&gt;=განმარტება!$B$4),1,IF(OR(C92="ცარიელი",I92&gt;=1),2,IF(H92&gt;=განმარტება!$B$5,3,4)))</f>
        <v>1</v>
      </c>
      <c r="C92" s="6" t="s">
        <v>58</v>
      </c>
      <c r="D92" s="6" t="s">
        <v>502</v>
      </c>
      <c r="E92" s="7" t="s">
        <v>503</v>
      </c>
      <c r="F92" s="7" t="n">
        <v>8370</v>
      </c>
      <c r="G92" s="6" t="s">
        <v>48</v>
      </c>
      <c r="H92" s="8" t="n">
        <v>1899</v>
      </c>
      <c r="I92" s="8" t="n">
        <v>0</v>
      </c>
      <c r="J92" s="7" t="n">
        <v>0</v>
      </c>
      <c r="K92" s="9" t="s">
        <v>504</v>
      </c>
      <c r="L92" s="6" t="s">
        <v>505</v>
      </c>
      <c r="M92" s="6" t="s">
        <v>506</v>
      </c>
      <c r="N92" s="10"/>
      <c r="O92" s="4" t="str">
        <f aca="false">IF(N92="","",LEN(N92))</f>
        <v/>
      </c>
    </row>
    <row r="93" customFormat="false" ht="51.75" hidden="false" customHeight="true" outlineLevel="0" collapsed="false">
      <c r="A93" s="4" t="n">
        <v>92</v>
      </c>
      <c r="B93" s="5" t="n">
        <f aca="false">IF(OR(C93="სხვა მოდელი წერია",I93&gt;=განმარტება!$B$4),1,IF(OR(C93="ცარიელი",I93&gt;=1),2,IF(H93&gt;=განმარტება!$B$5,3,4)))</f>
        <v>1</v>
      </c>
      <c r="C93" s="6" t="s">
        <v>58</v>
      </c>
      <c r="D93" s="6" t="s">
        <v>507</v>
      </c>
      <c r="E93" s="7" t="s">
        <v>508</v>
      </c>
      <c r="F93" s="7" t="n">
        <v>14215</v>
      </c>
      <c r="G93" s="6" t="s">
        <v>30</v>
      </c>
      <c r="H93" s="8" t="n">
        <v>1249</v>
      </c>
      <c r="I93" s="8" t="n">
        <v>0</v>
      </c>
      <c r="J93" s="7" t="n">
        <v>0</v>
      </c>
      <c r="K93" s="9" t="s">
        <v>509</v>
      </c>
      <c r="L93" s="6" t="s">
        <v>510</v>
      </c>
      <c r="M93" s="6" t="s">
        <v>511</v>
      </c>
      <c r="N93" s="10"/>
      <c r="O93" s="4" t="str">
        <f aca="false">IF(N93="","",LEN(N93))</f>
        <v/>
      </c>
    </row>
    <row r="94" customFormat="false" ht="51.75" hidden="false" customHeight="true" outlineLevel="0" collapsed="false">
      <c r="A94" s="4" t="n">
        <v>93</v>
      </c>
      <c r="B94" s="5" t="n">
        <f aca="false">IF(OR(C94="სხვა მოდელი წერია",I94&gt;=განმარტება!$B$4),1,IF(OR(C94="ცარიელი",I94&gt;=1),2,IF(H94&gt;=განმარტება!$B$5,3,4)))</f>
        <v>1</v>
      </c>
      <c r="C94" s="6" t="s">
        <v>58</v>
      </c>
      <c r="D94" s="6" t="s">
        <v>512</v>
      </c>
      <c r="E94" s="7" t="s">
        <v>513</v>
      </c>
      <c r="F94" s="7" t="n">
        <v>8439</v>
      </c>
      <c r="G94" s="6" t="s">
        <v>211</v>
      </c>
      <c r="H94" s="8" t="n">
        <v>1249</v>
      </c>
      <c r="I94" s="8" t="n">
        <v>0</v>
      </c>
      <c r="J94" s="7" t="n">
        <v>0</v>
      </c>
      <c r="K94" s="9" t="s">
        <v>514</v>
      </c>
      <c r="L94" s="6" t="s">
        <v>515</v>
      </c>
      <c r="M94" s="6" t="s">
        <v>516</v>
      </c>
      <c r="N94" s="10"/>
      <c r="O94" s="4" t="str">
        <f aca="false">IF(N94="","",LEN(N94))</f>
        <v/>
      </c>
    </row>
    <row r="95" customFormat="false" ht="39" hidden="false" customHeight="true" outlineLevel="0" collapsed="false">
      <c r="A95" s="4" t="n">
        <v>94</v>
      </c>
      <c r="B95" s="5" t="n">
        <f aca="false">IF(OR(C95="სხვა მოდელი წერია",I95&gt;=განმარტება!$B$4),1,IF(OR(C95="ცარიელი",I95&gt;=1),2,IF(H95&gt;=განმარტება!$B$5,3,4)))</f>
        <v>1</v>
      </c>
      <c r="C95" s="6" t="s">
        <v>58</v>
      </c>
      <c r="D95" s="6" t="s">
        <v>517</v>
      </c>
      <c r="E95" s="7" t="s">
        <v>518</v>
      </c>
      <c r="F95" s="7" t="n">
        <v>12224</v>
      </c>
      <c r="G95" s="6" t="s">
        <v>112</v>
      </c>
      <c r="H95" s="8" t="n">
        <v>1199</v>
      </c>
      <c r="I95" s="8" t="n">
        <v>0</v>
      </c>
      <c r="J95" s="7" t="n">
        <v>0</v>
      </c>
      <c r="K95" s="9" t="s">
        <v>519</v>
      </c>
      <c r="L95" s="6" t="s">
        <v>520</v>
      </c>
      <c r="M95" s="6" t="s">
        <v>521</v>
      </c>
      <c r="N95" s="10"/>
      <c r="O95" s="4" t="str">
        <f aca="false">IF(N95="","",LEN(N95))</f>
        <v/>
      </c>
    </row>
    <row r="96" customFormat="false" ht="39" hidden="false" customHeight="true" outlineLevel="0" collapsed="false">
      <c r="A96" s="4" t="n">
        <v>95</v>
      </c>
      <c r="B96" s="5" t="n">
        <f aca="false">IF(OR(C96="სხვა მოდელი წერია",I96&gt;=განმარტება!$B$4),1,IF(OR(C96="ცარიელი",I96&gt;=1),2,IF(H96&gt;=განმარტება!$B$5,3,4)))</f>
        <v>1</v>
      </c>
      <c r="C96" s="6" t="s">
        <v>58</v>
      </c>
      <c r="D96" s="6" t="s">
        <v>522</v>
      </c>
      <c r="E96" s="7" t="s">
        <v>523</v>
      </c>
      <c r="F96" s="7" t="n">
        <v>5157</v>
      </c>
      <c r="G96" s="6" t="s">
        <v>205</v>
      </c>
      <c r="H96" s="8" t="n">
        <v>1169</v>
      </c>
      <c r="I96" s="8" t="n">
        <v>0</v>
      </c>
      <c r="J96" s="7" t="n">
        <v>0</v>
      </c>
      <c r="K96" s="9" t="s">
        <v>524</v>
      </c>
      <c r="L96" s="6" t="s">
        <v>525</v>
      </c>
      <c r="M96" s="6" t="s">
        <v>526</v>
      </c>
      <c r="N96" s="10"/>
      <c r="O96" s="4" t="str">
        <f aca="false">IF(N96="","",LEN(N96))</f>
        <v/>
      </c>
    </row>
    <row r="97" customFormat="false" ht="51.75" hidden="false" customHeight="true" outlineLevel="0" collapsed="false">
      <c r="A97" s="4" t="n">
        <v>96</v>
      </c>
      <c r="B97" s="5" t="n">
        <f aca="false">IF(OR(C97="სხვა მოდელი წერია",I97&gt;=განმარტება!$B$4),1,IF(OR(C97="ცარიელი",I97&gt;=1),2,IF(H97&gt;=განმარტება!$B$5,3,4)))</f>
        <v>1</v>
      </c>
      <c r="C97" s="6" t="s">
        <v>58</v>
      </c>
      <c r="D97" s="6" t="s">
        <v>527</v>
      </c>
      <c r="E97" s="7" t="s">
        <v>528</v>
      </c>
      <c r="F97" s="7" t="n">
        <v>12774</v>
      </c>
      <c r="G97" s="6" t="s">
        <v>134</v>
      </c>
      <c r="H97" s="8" t="n">
        <v>1099</v>
      </c>
      <c r="I97" s="8" t="n">
        <v>0</v>
      </c>
      <c r="J97" s="7" t="n">
        <v>0</v>
      </c>
      <c r="K97" s="9" t="s">
        <v>529</v>
      </c>
      <c r="L97" s="6" t="s">
        <v>530</v>
      </c>
      <c r="M97" s="6" t="s">
        <v>531</v>
      </c>
      <c r="N97" s="10"/>
      <c r="O97" s="4" t="str">
        <f aca="false">IF(N97="","",LEN(N97))</f>
        <v/>
      </c>
    </row>
    <row r="98" customFormat="false" ht="39" hidden="false" customHeight="true" outlineLevel="0" collapsed="false">
      <c r="A98" s="4" t="n">
        <v>97</v>
      </c>
      <c r="B98" s="5" t="n">
        <f aca="false">IF(OR(C98="სხვა მოდელი წერია",I98&gt;=განმარტება!$B$4),1,IF(OR(C98="ცარიელი",I98&gt;=1),2,IF(H98&gt;=განმარტება!$B$5,3,4)))</f>
        <v>1</v>
      </c>
      <c r="C98" s="6" t="s">
        <v>58</v>
      </c>
      <c r="D98" s="6" t="s">
        <v>532</v>
      </c>
      <c r="E98" s="7" t="s">
        <v>533</v>
      </c>
      <c r="F98" s="7" t="n">
        <v>5156</v>
      </c>
      <c r="G98" s="6" t="s">
        <v>205</v>
      </c>
      <c r="H98" s="8" t="n">
        <v>879</v>
      </c>
      <c r="I98" s="8" t="n">
        <v>0</v>
      </c>
      <c r="J98" s="7" t="n">
        <v>0</v>
      </c>
      <c r="K98" s="9" t="s">
        <v>534</v>
      </c>
      <c r="L98" s="6" t="s">
        <v>525</v>
      </c>
      <c r="M98" s="6" t="s">
        <v>535</v>
      </c>
      <c r="N98" s="10"/>
      <c r="O98" s="4" t="str">
        <f aca="false">IF(N98="","",LEN(N98))</f>
        <v/>
      </c>
    </row>
    <row r="99" customFormat="false" ht="51.75" hidden="false" customHeight="true" outlineLevel="0" collapsed="false">
      <c r="A99" s="4" t="n">
        <v>98</v>
      </c>
      <c r="B99" s="5" t="n">
        <f aca="false">IF(OR(C99="სხვა მოდელი წერია",I99&gt;=განმარტება!$B$4),1,IF(OR(C99="ცარიელი",I99&gt;=1),2,IF(H99&gt;=განმარტება!$B$5,3,4)))</f>
        <v>1</v>
      </c>
      <c r="C99" s="6" t="s">
        <v>58</v>
      </c>
      <c r="D99" s="6" t="s">
        <v>536</v>
      </c>
      <c r="E99" s="7" t="s">
        <v>537</v>
      </c>
      <c r="F99" s="7" t="n">
        <v>14325</v>
      </c>
      <c r="G99" s="6" t="s">
        <v>285</v>
      </c>
      <c r="H99" s="8" t="n">
        <v>729</v>
      </c>
      <c r="I99" s="8" t="n">
        <v>0</v>
      </c>
      <c r="J99" s="7" t="n">
        <v>0</v>
      </c>
      <c r="K99" s="9" t="s">
        <v>538</v>
      </c>
      <c r="L99" s="6" t="s">
        <v>539</v>
      </c>
      <c r="M99" s="6" t="s">
        <v>540</v>
      </c>
      <c r="N99" s="10"/>
      <c r="O99" s="4" t="str">
        <f aca="false">IF(N99="","",LEN(N99))</f>
        <v/>
      </c>
    </row>
    <row r="100" customFormat="false" ht="39" hidden="false" customHeight="true" outlineLevel="0" collapsed="false">
      <c r="A100" s="4" t="n">
        <v>99</v>
      </c>
      <c r="B100" s="5" t="n">
        <f aca="false">IF(OR(C100="სხვა მოდელი წერია",I100&gt;=განმარტება!$B$4),1,IF(OR(C100="ცარიელი",I100&gt;=1),2,IF(H100&gt;=განმარტება!$B$5,3,4)))</f>
        <v>1</v>
      </c>
      <c r="C100" s="6" t="s">
        <v>58</v>
      </c>
      <c r="D100" s="6" t="s">
        <v>541</v>
      </c>
      <c r="E100" s="7" t="s">
        <v>542</v>
      </c>
      <c r="F100" s="7" t="n">
        <v>13982</v>
      </c>
      <c r="G100" s="6" t="s">
        <v>296</v>
      </c>
      <c r="H100" s="8" t="n">
        <v>703</v>
      </c>
      <c r="I100" s="8" t="n">
        <v>0</v>
      </c>
      <c r="J100" s="7" t="n">
        <v>0</v>
      </c>
      <c r="K100" s="9" t="s">
        <v>543</v>
      </c>
      <c r="L100" s="6" t="s">
        <v>544</v>
      </c>
      <c r="M100" s="6" t="s">
        <v>545</v>
      </c>
      <c r="N100" s="10"/>
      <c r="O100" s="4" t="str">
        <f aca="false">IF(N100="","",LEN(N100))</f>
        <v/>
      </c>
    </row>
    <row r="101" customFormat="false" ht="39" hidden="false" customHeight="true" outlineLevel="0" collapsed="false">
      <c r="A101" s="4" t="n">
        <v>100</v>
      </c>
      <c r="B101" s="5" t="n">
        <f aca="false">IF(OR(C101="სხვა მოდელი წერია",I101&gt;=განმარტება!$B$4),1,IF(OR(C101="ცარიელი",I101&gt;=1),2,IF(H101&gt;=განმარტება!$B$5,3,4)))</f>
        <v>1</v>
      </c>
      <c r="C101" s="6" t="s">
        <v>58</v>
      </c>
      <c r="D101" s="6" t="s">
        <v>546</v>
      </c>
      <c r="E101" s="7" t="s">
        <v>547</v>
      </c>
      <c r="F101" s="7" t="n">
        <v>11808</v>
      </c>
      <c r="G101" s="6" t="s">
        <v>402</v>
      </c>
      <c r="H101" s="8" t="n">
        <v>649</v>
      </c>
      <c r="I101" s="8" t="n">
        <v>0</v>
      </c>
      <c r="J101" s="7" t="n">
        <v>0</v>
      </c>
      <c r="K101" s="9" t="s">
        <v>548</v>
      </c>
      <c r="L101" s="6" t="s">
        <v>549</v>
      </c>
      <c r="M101" s="6" t="s">
        <v>550</v>
      </c>
      <c r="N101" s="10"/>
      <c r="O101" s="4" t="str">
        <f aca="false">IF(N101="","",LEN(N101))</f>
        <v/>
      </c>
    </row>
    <row r="102" customFormat="false" ht="39" hidden="false" customHeight="true" outlineLevel="0" collapsed="false">
      <c r="A102" s="4" t="n">
        <v>101</v>
      </c>
      <c r="B102" s="5" t="n">
        <f aca="false">IF(OR(C102="სხვა მოდელი წერია",I102&gt;=განმარტება!$B$4),1,IF(OR(C102="ცარიელი",I102&gt;=1),2,IF(H102&gt;=განმარტება!$B$5,3,4)))</f>
        <v>1</v>
      </c>
      <c r="C102" s="6" t="s">
        <v>58</v>
      </c>
      <c r="D102" s="6" t="s">
        <v>551</v>
      </c>
      <c r="E102" s="7" t="s">
        <v>552</v>
      </c>
      <c r="F102" s="7" t="n">
        <v>12710</v>
      </c>
      <c r="G102" s="6" t="s">
        <v>402</v>
      </c>
      <c r="H102" s="8" t="n">
        <v>519</v>
      </c>
      <c r="I102" s="8" t="n">
        <v>0</v>
      </c>
      <c r="J102" s="7" t="n">
        <v>0</v>
      </c>
      <c r="K102" s="9" t="s">
        <v>553</v>
      </c>
      <c r="L102" s="6" t="s">
        <v>554</v>
      </c>
      <c r="M102" s="6" t="s">
        <v>555</v>
      </c>
      <c r="N102" s="10"/>
      <c r="O102" s="4" t="str">
        <f aca="false">IF(N102="","",LEN(N102))</f>
        <v/>
      </c>
    </row>
    <row r="103" customFormat="false" ht="39" hidden="false" customHeight="true" outlineLevel="0" collapsed="false">
      <c r="A103" s="4" t="n">
        <v>102</v>
      </c>
      <c r="B103" s="5" t="n">
        <f aca="false">IF(OR(C103="სხვა მოდელი წერია",I103&gt;=განმარტება!$B$4),1,IF(OR(C103="ცარიელი",I103&gt;=1),2,IF(H103&gt;=განმარტება!$B$5,3,4)))</f>
        <v>1</v>
      </c>
      <c r="C103" s="6" t="s">
        <v>58</v>
      </c>
      <c r="D103" s="6" t="s">
        <v>556</v>
      </c>
      <c r="E103" s="7" t="s">
        <v>557</v>
      </c>
      <c r="F103" s="7" t="n">
        <v>13619</v>
      </c>
      <c r="G103" s="6" t="s">
        <v>279</v>
      </c>
      <c r="H103" s="8" t="n">
        <v>399</v>
      </c>
      <c r="I103" s="8" t="n">
        <v>0</v>
      </c>
      <c r="J103" s="7" t="n">
        <v>0</v>
      </c>
      <c r="K103" s="9" t="s">
        <v>558</v>
      </c>
      <c r="L103" s="6" t="s">
        <v>559</v>
      </c>
      <c r="M103" s="6" t="s">
        <v>560</v>
      </c>
      <c r="N103" s="10"/>
      <c r="O103" s="4" t="str">
        <f aca="false">IF(N103="","",LEN(N103))</f>
        <v/>
      </c>
    </row>
    <row r="104" customFormat="false" ht="39" hidden="false" customHeight="true" outlineLevel="0" collapsed="false">
      <c r="A104" s="4" t="n">
        <v>103</v>
      </c>
      <c r="B104" s="5" t="n">
        <f aca="false">IF(OR(C104="სხვა მოდელი წერია",I104&gt;=განმარტება!$B$4),1,IF(OR(C104="ცარიელი",I104&gt;=1),2,IF(H104&gt;=განმარტება!$B$5,3,4)))</f>
        <v>1</v>
      </c>
      <c r="C104" s="6" t="s">
        <v>58</v>
      </c>
      <c r="D104" s="6" t="s">
        <v>561</v>
      </c>
      <c r="E104" s="7" t="s">
        <v>562</v>
      </c>
      <c r="F104" s="7" t="n">
        <v>12127</v>
      </c>
      <c r="G104" s="6" t="s">
        <v>563</v>
      </c>
      <c r="H104" s="8" t="n">
        <v>119</v>
      </c>
      <c r="I104" s="8" t="n">
        <v>0</v>
      </c>
      <c r="J104" s="7" t="n">
        <v>0</v>
      </c>
      <c r="K104" s="9" t="s">
        <v>564</v>
      </c>
      <c r="L104" s="6" t="s">
        <v>565</v>
      </c>
      <c r="M104" s="6" t="s">
        <v>566</v>
      </c>
      <c r="N104" s="10"/>
      <c r="O104" s="4" t="str">
        <f aca="false">IF(N104="","",LEN(N104))</f>
        <v/>
      </c>
    </row>
    <row r="105" customFormat="false" ht="39" hidden="false" customHeight="true" outlineLevel="0" collapsed="false">
      <c r="A105" s="4" t="n">
        <v>104</v>
      </c>
      <c r="B105" s="5" t="n">
        <f aca="false">IF(OR(C105="სხვა მოდელი წერია",I105&gt;=განმარტება!$B$4),1,IF(OR(C105="ცარიელი",I105&gt;=1),2,IF(H105&gt;=განმარტება!$B$5,3,4)))</f>
        <v>2</v>
      </c>
      <c r="C105" s="6" t="s">
        <v>15</v>
      </c>
      <c r="D105" s="6" t="s">
        <v>567</v>
      </c>
      <c r="E105" s="7" t="s">
        <v>568</v>
      </c>
      <c r="F105" s="7" t="n">
        <v>2855</v>
      </c>
      <c r="G105" s="6" t="s">
        <v>112</v>
      </c>
      <c r="H105" s="8" t="n">
        <v>899</v>
      </c>
      <c r="I105" s="8" t="n">
        <v>98</v>
      </c>
      <c r="J105" s="7" t="n">
        <v>10</v>
      </c>
      <c r="K105" s="9" t="s">
        <v>569</v>
      </c>
      <c r="L105" s="6" t="s">
        <v>570</v>
      </c>
      <c r="M105" s="6" t="s">
        <v>571</v>
      </c>
      <c r="N105" s="10"/>
      <c r="O105" s="4" t="str">
        <f aca="false">IF(N105="","",LEN(N105))</f>
        <v/>
      </c>
    </row>
    <row r="106" customFormat="false" ht="51.75" hidden="false" customHeight="true" outlineLevel="0" collapsed="false">
      <c r="A106" s="4" t="n">
        <v>105</v>
      </c>
      <c r="B106" s="5" t="n">
        <f aca="false">IF(OR(C106="სხვა მოდელი წერია",I106&gt;=განმარტება!$B$4),1,IF(OR(C106="ცარიელი",I106&gt;=1),2,IF(H106&gt;=განმარტება!$B$5,3,4)))</f>
        <v>2</v>
      </c>
      <c r="C106" s="6" t="s">
        <v>15</v>
      </c>
      <c r="D106" s="6" t="s">
        <v>572</v>
      </c>
      <c r="E106" s="7" t="s">
        <v>573</v>
      </c>
      <c r="F106" s="7" t="n">
        <v>3990</v>
      </c>
      <c r="G106" s="6" t="s">
        <v>574</v>
      </c>
      <c r="H106" s="8" t="n">
        <v>649</v>
      </c>
      <c r="I106" s="8" t="n">
        <v>94</v>
      </c>
      <c r="J106" s="7" t="n">
        <v>5</v>
      </c>
      <c r="K106" s="9" t="s">
        <v>575</v>
      </c>
      <c r="L106" s="6" t="s">
        <v>576</v>
      </c>
      <c r="M106" s="6" t="s">
        <v>577</v>
      </c>
      <c r="N106" s="10"/>
      <c r="O106" s="4" t="str">
        <f aca="false">IF(N106="","",LEN(N106))</f>
        <v/>
      </c>
    </row>
    <row r="107" customFormat="false" ht="39" hidden="false" customHeight="true" outlineLevel="0" collapsed="false">
      <c r="A107" s="4" t="n">
        <v>106</v>
      </c>
      <c r="B107" s="5" t="n">
        <f aca="false">IF(OR(C107="სხვა მოდელი წერია",I107&gt;=განმარტება!$B$4),1,IF(OR(C107="ცარიელი",I107&gt;=1),2,IF(H107&gt;=განმარტება!$B$5,3,4)))</f>
        <v>2</v>
      </c>
      <c r="C107" s="6" t="s">
        <v>15</v>
      </c>
      <c r="D107" s="6" t="s">
        <v>578</v>
      </c>
      <c r="E107" s="7" t="s">
        <v>579</v>
      </c>
      <c r="F107" s="7" t="n">
        <v>1034</v>
      </c>
      <c r="G107" s="6" t="s">
        <v>112</v>
      </c>
      <c r="H107" s="8" t="n">
        <v>1235</v>
      </c>
      <c r="I107" s="8" t="n">
        <v>94</v>
      </c>
      <c r="J107" s="7" t="n">
        <v>3</v>
      </c>
      <c r="K107" s="9" t="s">
        <v>580</v>
      </c>
      <c r="L107" s="6" t="s">
        <v>581</v>
      </c>
      <c r="M107" s="6" t="s">
        <v>582</v>
      </c>
      <c r="N107" s="10"/>
      <c r="O107" s="4" t="str">
        <f aca="false">IF(N107="","",LEN(N107))</f>
        <v/>
      </c>
    </row>
    <row r="108" customFormat="false" ht="39" hidden="false" customHeight="true" outlineLevel="0" collapsed="false">
      <c r="A108" s="4" t="n">
        <v>107</v>
      </c>
      <c r="B108" s="5" t="n">
        <f aca="false">IF(OR(C108="სხვა მოდელი წერია",I108&gt;=განმარტება!$B$4),1,IF(OR(C108="ცარიელი",I108&gt;=1),2,IF(H108&gt;=განმარტება!$B$5,3,4)))</f>
        <v>2</v>
      </c>
      <c r="C108" s="6" t="s">
        <v>15</v>
      </c>
      <c r="D108" s="6" t="s">
        <v>583</v>
      </c>
      <c r="E108" s="7" t="s">
        <v>584</v>
      </c>
      <c r="F108" s="7" t="n">
        <v>1692</v>
      </c>
      <c r="G108" s="6" t="s">
        <v>112</v>
      </c>
      <c r="H108" s="8" t="n">
        <v>3399</v>
      </c>
      <c r="I108" s="8" t="n">
        <v>92</v>
      </c>
      <c r="J108" s="7" t="n">
        <v>6</v>
      </c>
      <c r="K108" s="9" t="s">
        <v>585</v>
      </c>
      <c r="L108" s="6" t="s">
        <v>586</v>
      </c>
      <c r="M108" s="6" t="s">
        <v>587</v>
      </c>
      <c r="N108" s="10"/>
      <c r="O108" s="4" t="str">
        <f aca="false">IF(N108="","",LEN(N108))</f>
        <v/>
      </c>
    </row>
    <row r="109" customFormat="false" ht="39" hidden="false" customHeight="true" outlineLevel="0" collapsed="false">
      <c r="A109" s="4" t="n">
        <v>108</v>
      </c>
      <c r="B109" s="5" t="n">
        <f aca="false">IF(OR(C109="სხვა მოდელი წერია",I109&gt;=განმარტება!$B$4),1,IF(OR(C109="ცარიელი",I109&gt;=1),2,IF(H109&gt;=განმარტება!$B$5,3,4)))</f>
        <v>2</v>
      </c>
      <c r="C109" s="6" t="s">
        <v>15</v>
      </c>
      <c r="D109" s="6" t="s">
        <v>588</v>
      </c>
      <c r="E109" s="7" t="s">
        <v>589</v>
      </c>
      <c r="F109" s="7" t="n">
        <v>1439</v>
      </c>
      <c r="G109" s="6" t="s">
        <v>24</v>
      </c>
      <c r="H109" s="8" t="n">
        <v>2399</v>
      </c>
      <c r="I109" s="8" t="n">
        <v>92</v>
      </c>
      <c r="J109" s="7" t="n">
        <v>3</v>
      </c>
      <c r="K109" s="9" t="s">
        <v>590</v>
      </c>
      <c r="L109" s="6" t="s">
        <v>591</v>
      </c>
      <c r="M109" s="6" t="s">
        <v>592</v>
      </c>
      <c r="N109" s="10"/>
      <c r="O109" s="4" t="str">
        <f aca="false">IF(N109="","",LEN(N109))</f>
        <v/>
      </c>
    </row>
    <row r="110" customFormat="false" ht="51.75" hidden="false" customHeight="true" outlineLevel="0" collapsed="false">
      <c r="A110" s="4" t="n">
        <v>109</v>
      </c>
      <c r="B110" s="5" t="n">
        <f aca="false">IF(OR(C110="სხვა მოდელი წერია",I110&gt;=განმარტება!$B$4),1,IF(OR(C110="ცარიელი",I110&gt;=1),2,IF(H110&gt;=განმარტება!$B$5,3,4)))</f>
        <v>2</v>
      </c>
      <c r="C110" s="6" t="s">
        <v>15</v>
      </c>
      <c r="D110" s="6" t="s">
        <v>593</v>
      </c>
      <c r="E110" s="7" t="s">
        <v>594</v>
      </c>
      <c r="F110" s="7" t="n">
        <v>2480</v>
      </c>
      <c r="G110" s="6" t="s">
        <v>595</v>
      </c>
      <c r="H110" s="8" t="n">
        <v>1399</v>
      </c>
      <c r="I110" s="8" t="n">
        <v>91</v>
      </c>
      <c r="J110" s="7" t="n">
        <v>7</v>
      </c>
      <c r="K110" s="9" t="s">
        <v>596</v>
      </c>
      <c r="L110" s="6" t="s">
        <v>597</v>
      </c>
      <c r="M110" s="6" t="s">
        <v>598</v>
      </c>
      <c r="N110" s="10"/>
      <c r="O110" s="4" t="str">
        <f aca="false">IF(N110="","",LEN(N110))</f>
        <v/>
      </c>
    </row>
    <row r="111" customFormat="false" ht="39" hidden="false" customHeight="true" outlineLevel="0" collapsed="false">
      <c r="A111" s="4" t="n">
        <v>110</v>
      </c>
      <c r="B111" s="5" t="n">
        <f aca="false">IF(OR(C111="სხვა მოდელი წერია",I111&gt;=განმარტება!$B$4),1,IF(OR(C111="ცარიელი",I111&gt;=1),2,IF(H111&gt;=განმარტება!$B$5,3,4)))</f>
        <v>2</v>
      </c>
      <c r="C111" s="6" t="s">
        <v>15</v>
      </c>
      <c r="D111" s="6" t="s">
        <v>599</v>
      </c>
      <c r="E111" s="7" t="s">
        <v>600</v>
      </c>
      <c r="F111" s="7" t="n">
        <v>659</v>
      </c>
      <c r="G111" s="6" t="s">
        <v>24</v>
      </c>
      <c r="H111" s="8" t="n">
        <v>1399</v>
      </c>
      <c r="I111" s="8" t="n">
        <v>89</v>
      </c>
      <c r="J111" s="7" t="n">
        <v>3</v>
      </c>
      <c r="K111" s="9" t="s">
        <v>601</v>
      </c>
      <c r="L111" s="6" t="s">
        <v>602</v>
      </c>
      <c r="M111" s="6" t="s">
        <v>603</v>
      </c>
      <c r="N111" s="10"/>
      <c r="O111" s="4" t="str">
        <f aca="false">IF(N111="","",LEN(N111))</f>
        <v/>
      </c>
    </row>
    <row r="112" customFormat="false" ht="39" hidden="false" customHeight="true" outlineLevel="0" collapsed="false">
      <c r="A112" s="4" t="n">
        <v>111</v>
      </c>
      <c r="B112" s="5" t="n">
        <f aca="false">IF(OR(C112="სხვა მოდელი წერია",I112&gt;=განმარტება!$B$4),1,IF(OR(C112="ცარიელი",I112&gt;=1),2,IF(H112&gt;=განმარტება!$B$5,3,4)))</f>
        <v>2</v>
      </c>
      <c r="C112" s="6" t="s">
        <v>15</v>
      </c>
      <c r="D112" s="6" t="s">
        <v>604</v>
      </c>
      <c r="E112" s="7" t="s">
        <v>605</v>
      </c>
      <c r="F112" s="7" t="n">
        <v>3988</v>
      </c>
      <c r="G112" s="6" t="s">
        <v>42</v>
      </c>
      <c r="H112" s="8" t="n">
        <v>799</v>
      </c>
      <c r="I112" s="8" t="n">
        <v>88</v>
      </c>
      <c r="J112" s="7" t="n">
        <v>6</v>
      </c>
      <c r="K112" s="9" t="s">
        <v>606</v>
      </c>
      <c r="L112" s="6" t="s">
        <v>607</v>
      </c>
      <c r="M112" s="6" t="s">
        <v>608</v>
      </c>
      <c r="N112" s="10"/>
      <c r="O112" s="4" t="str">
        <f aca="false">IF(N112="","",LEN(N112))</f>
        <v/>
      </c>
    </row>
    <row r="113" customFormat="false" ht="39" hidden="false" customHeight="true" outlineLevel="0" collapsed="false">
      <c r="A113" s="4" t="n">
        <v>112</v>
      </c>
      <c r="B113" s="5" t="n">
        <f aca="false">IF(OR(C113="სხვა მოდელი წერია",I113&gt;=განმარტება!$B$4),1,IF(OR(C113="ცარიელი",I113&gt;=1),2,IF(H113&gt;=განმარტება!$B$5,3,4)))</f>
        <v>2</v>
      </c>
      <c r="C113" s="6" t="s">
        <v>15</v>
      </c>
      <c r="D113" s="6" t="s">
        <v>609</v>
      </c>
      <c r="E113" s="7" t="s">
        <v>610</v>
      </c>
      <c r="F113" s="7" t="n">
        <v>2761</v>
      </c>
      <c r="G113" s="6" t="s">
        <v>112</v>
      </c>
      <c r="H113" s="8" t="n">
        <v>1299</v>
      </c>
      <c r="I113" s="8" t="n">
        <v>87</v>
      </c>
      <c r="J113" s="7" t="n">
        <v>4</v>
      </c>
      <c r="K113" s="9" t="s">
        <v>611</v>
      </c>
      <c r="L113" s="6" t="s">
        <v>612</v>
      </c>
      <c r="M113" s="6" t="s">
        <v>613</v>
      </c>
      <c r="N113" s="10"/>
      <c r="O113" s="4" t="str">
        <f aca="false">IF(N113="","",LEN(N113))</f>
        <v/>
      </c>
    </row>
    <row r="114" customFormat="false" ht="64.5" hidden="false" customHeight="true" outlineLevel="0" collapsed="false">
      <c r="A114" s="4" t="n">
        <v>113</v>
      </c>
      <c r="B114" s="5" t="n">
        <f aca="false">IF(OR(C114="სხვა მოდელი წერია",I114&gt;=განმარტება!$B$4),1,IF(OR(C114="ცარიელი",I114&gt;=1),2,IF(H114&gt;=განმარტება!$B$5,3,4)))</f>
        <v>2</v>
      </c>
      <c r="C114" s="6" t="s">
        <v>15</v>
      </c>
      <c r="D114" s="6" t="s">
        <v>614</v>
      </c>
      <c r="E114" s="7" t="s">
        <v>615</v>
      </c>
      <c r="F114" s="7" t="n">
        <v>3083</v>
      </c>
      <c r="G114" s="6" t="s">
        <v>188</v>
      </c>
      <c r="H114" s="8" t="n">
        <v>629</v>
      </c>
      <c r="I114" s="8" t="n">
        <v>84</v>
      </c>
      <c r="J114" s="7" t="n">
        <v>8</v>
      </c>
      <c r="K114" s="9" t="s">
        <v>616</v>
      </c>
      <c r="L114" s="6" t="s">
        <v>617</v>
      </c>
      <c r="M114" s="6" t="s">
        <v>618</v>
      </c>
      <c r="N114" s="10"/>
      <c r="O114" s="4" t="str">
        <f aca="false">IF(N114="","",LEN(N114))</f>
        <v/>
      </c>
    </row>
    <row r="115" customFormat="false" ht="39" hidden="false" customHeight="true" outlineLevel="0" collapsed="false">
      <c r="A115" s="4" t="n">
        <v>114</v>
      </c>
      <c r="B115" s="5" t="n">
        <f aca="false">IF(OR(C115="სხვა მოდელი წერია",I115&gt;=განმარტება!$B$4),1,IF(OR(C115="ცარიელი",I115&gt;=1),2,IF(H115&gt;=განმარტება!$B$5,3,4)))</f>
        <v>2</v>
      </c>
      <c r="C115" s="6" t="s">
        <v>15</v>
      </c>
      <c r="D115" s="6" t="s">
        <v>619</v>
      </c>
      <c r="E115" s="7" t="s">
        <v>620</v>
      </c>
      <c r="F115" s="7" t="n">
        <v>3425</v>
      </c>
      <c r="G115" s="6" t="s">
        <v>563</v>
      </c>
      <c r="H115" s="8" t="n">
        <v>269</v>
      </c>
      <c r="I115" s="8" t="n">
        <v>83</v>
      </c>
      <c r="J115" s="7" t="n">
        <v>4</v>
      </c>
      <c r="K115" s="9" t="s">
        <v>621</v>
      </c>
      <c r="L115" s="6" t="s">
        <v>622</v>
      </c>
      <c r="M115" s="6" t="s">
        <v>623</v>
      </c>
      <c r="N115" s="10"/>
      <c r="O115" s="4" t="str">
        <f aca="false">IF(N115="","",LEN(N115))</f>
        <v/>
      </c>
    </row>
    <row r="116" customFormat="false" ht="39" hidden="false" customHeight="true" outlineLevel="0" collapsed="false">
      <c r="A116" s="4" t="n">
        <v>115</v>
      </c>
      <c r="B116" s="5" t="n">
        <f aca="false">IF(OR(C116="სხვა მოდელი წერია",I116&gt;=განმარტება!$B$4),1,IF(OR(C116="ცარიელი",I116&gt;=1),2,IF(H116&gt;=განმარტება!$B$5,3,4)))</f>
        <v>2</v>
      </c>
      <c r="C116" s="6" t="s">
        <v>15</v>
      </c>
      <c r="D116" s="6" t="s">
        <v>624</v>
      </c>
      <c r="E116" s="7" t="s">
        <v>625</v>
      </c>
      <c r="F116" s="7" t="n">
        <v>793</v>
      </c>
      <c r="G116" s="6" t="s">
        <v>626</v>
      </c>
      <c r="H116" s="8" t="n">
        <v>349</v>
      </c>
      <c r="I116" s="8" t="n">
        <v>83</v>
      </c>
      <c r="J116" s="7" t="n">
        <v>3</v>
      </c>
      <c r="K116" s="9" t="s">
        <v>627</v>
      </c>
      <c r="L116" s="6" t="s">
        <v>628</v>
      </c>
      <c r="M116" s="6" t="s">
        <v>629</v>
      </c>
      <c r="N116" s="10"/>
      <c r="O116" s="4" t="str">
        <f aca="false">IF(N116="","",LEN(N116))</f>
        <v/>
      </c>
    </row>
    <row r="117" customFormat="false" ht="39" hidden="false" customHeight="true" outlineLevel="0" collapsed="false">
      <c r="A117" s="4" t="n">
        <v>116</v>
      </c>
      <c r="B117" s="5" t="n">
        <f aca="false">IF(OR(C117="სხვა მოდელი წერია",I117&gt;=განმარტება!$B$4),1,IF(OR(C117="ცარიელი",I117&gt;=1),2,IF(H117&gt;=განმარტება!$B$5,3,4)))</f>
        <v>2</v>
      </c>
      <c r="C117" s="6" t="s">
        <v>15</v>
      </c>
      <c r="D117" s="6" t="s">
        <v>630</v>
      </c>
      <c r="E117" s="7" t="s">
        <v>631</v>
      </c>
      <c r="F117" s="7" t="n">
        <v>3426</v>
      </c>
      <c r="G117" s="6" t="s">
        <v>402</v>
      </c>
      <c r="H117" s="8" t="n">
        <v>839</v>
      </c>
      <c r="I117" s="8" t="n">
        <v>82</v>
      </c>
      <c r="J117" s="7" t="n">
        <v>4</v>
      </c>
      <c r="K117" s="9" t="s">
        <v>632</v>
      </c>
      <c r="L117" s="6" t="s">
        <v>633</v>
      </c>
      <c r="M117" s="6" t="s">
        <v>634</v>
      </c>
      <c r="N117" s="10"/>
      <c r="O117" s="4" t="str">
        <f aca="false">IF(N117="","",LEN(N117))</f>
        <v/>
      </c>
    </row>
    <row r="118" customFormat="false" ht="64.5" hidden="false" customHeight="true" outlineLevel="0" collapsed="false">
      <c r="A118" s="4" t="n">
        <v>117</v>
      </c>
      <c r="B118" s="5" t="n">
        <f aca="false">IF(OR(C118="სხვა მოდელი წერია",I118&gt;=განმარტება!$B$4),1,IF(OR(C118="ცარიელი",I118&gt;=1),2,IF(H118&gt;=განმარტება!$B$5,3,4)))</f>
        <v>2</v>
      </c>
      <c r="C118" s="6" t="s">
        <v>15</v>
      </c>
      <c r="D118" s="6" t="s">
        <v>635</v>
      </c>
      <c r="E118" s="7" t="s">
        <v>636</v>
      </c>
      <c r="F118" s="7" t="n">
        <v>2378</v>
      </c>
      <c r="G118" s="6" t="s">
        <v>188</v>
      </c>
      <c r="H118" s="8" t="n">
        <v>549</v>
      </c>
      <c r="I118" s="8" t="n">
        <v>82</v>
      </c>
      <c r="J118" s="7" t="n">
        <v>3</v>
      </c>
      <c r="K118" s="9" t="s">
        <v>637</v>
      </c>
      <c r="L118" s="6" t="s">
        <v>638</v>
      </c>
      <c r="M118" s="6" t="s">
        <v>639</v>
      </c>
      <c r="N118" s="10"/>
      <c r="O118" s="4" t="str">
        <f aca="false">IF(N118="","",LEN(N118))</f>
        <v/>
      </c>
    </row>
    <row r="119" customFormat="false" ht="39" hidden="false" customHeight="true" outlineLevel="0" collapsed="false">
      <c r="A119" s="4" t="n">
        <v>118</v>
      </c>
      <c r="B119" s="5" t="n">
        <f aca="false">IF(OR(C119="სხვა მოდელი წერია",I119&gt;=განმარტება!$B$4),1,IF(OR(C119="ცარიელი",I119&gt;=1),2,IF(H119&gt;=განმარტება!$B$5,3,4)))</f>
        <v>2</v>
      </c>
      <c r="C119" s="6" t="s">
        <v>15</v>
      </c>
      <c r="D119" s="6" t="s">
        <v>640</v>
      </c>
      <c r="E119" s="7" t="s">
        <v>641</v>
      </c>
      <c r="F119" s="7" t="n">
        <v>3149</v>
      </c>
      <c r="G119" s="6" t="s">
        <v>24</v>
      </c>
      <c r="H119" s="8" t="n">
        <v>1599</v>
      </c>
      <c r="I119" s="8" t="n">
        <v>75</v>
      </c>
      <c r="J119" s="7" t="n">
        <v>4</v>
      </c>
      <c r="K119" s="9" t="s">
        <v>642</v>
      </c>
      <c r="L119" s="6" t="s">
        <v>643</v>
      </c>
      <c r="M119" s="6" t="s">
        <v>644</v>
      </c>
      <c r="N119" s="10"/>
      <c r="O119" s="4" t="str">
        <f aca="false">IF(N119="","",LEN(N119))</f>
        <v/>
      </c>
    </row>
    <row r="120" customFormat="false" ht="64.5" hidden="false" customHeight="true" outlineLevel="0" collapsed="false">
      <c r="A120" s="4" t="n">
        <v>119</v>
      </c>
      <c r="B120" s="5" t="n">
        <f aca="false">IF(OR(C120="სხვა მოდელი წერია",I120&gt;=განმარტება!$B$4),1,IF(OR(C120="ცარიელი",I120&gt;=1),2,IF(H120&gt;=განმარტება!$B$5,3,4)))</f>
        <v>2</v>
      </c>
      <c r="C120" s="6" t="s">
        <v>15</v>
      </c>
      <c r="D120" s="6" t="s">
        <v>645</v>
      </c>
      <c r="E120" s="7" t="s">
        <v>646</v>
      </c>
      <c r="F120" s="7" t="n">
        <v>2947</v>
      </c>
      <c r="G120" s="6" t="s">
        <v>188</v>
      </c>
      <c r="H120" s="8" t="n">
        <v>139</v>
      </c>
      <c r="I120" s="8" t="n">
        <v>73</v>
      </c>
      <c r="J120" s="7" t="n">
        <v>3</v>
      </c>
      <c r="K120" s="9" t="s">
        <v>647</v>
      </c>
      <c r="L120" s="6" t="s">
        <v>648</v>
      </c>
      <c r="M120" s="6" t="s">
        <v>649</v>
      </c>
      <c r="N120" s="10"/>
      <c r="O120" s="4" t="str">
        <f aca="false">IF(N120="","",LEN(N120))</f>
        <v/>
      </c>
    </row>
    <row r="121" customFormat="false" ht="39" hidden="false" customHeight="true" outlineLevel="0" collapsed="false">
      <c r="A121" s="4" t="n">
        <v>120</v>
      </c>
      <c r="B121" s="5" t="n">
        <f aca="false">IF(OR(C121="სხვა მოდელი წერია",I121&gt;=განმარტება!$B$4),1,IF(OR(C121="ცარიელი",I121&gt;=1),2,IF(H121&gt;=განმარტება!$B$5,3,4)))</f>
        <v>2</v>
      </c>
      <c r="C121" s="6" t="s">
        <v>15</v>
      </c>
      <c r="D121" s="6" t="s">
        <v>650</v>
      </c>
      <c r="E121" s="7" t="s">
        <v>651</v>
      </c>
      <c r="F121" s="7" t="n">
        <v>3909</v>
      </c>
      <c r="G121" s="6" t="s">
        <v>285</v>
      </c>
      <c r="H121" s="8" t="n">
        <v>347</v>
      </c>
      <c r="I121" s="8" t="n">
        <v>72</v>
      </c>
      <c r="J121" s="7" t="n">
        <v>3</v>
      </c>
      <c r="K121" s="9" t="s">
        <v>652</v>
      </c>
      <c r="L121" s="6" t="s">
        <v>653</v>
      </c>
      <c r="M121" s="6" t="s">
        <v>654</v>
      </c>
      <c r="N121" s="10"/>
      <c r="O121" s="4" t="str">
        <f aca="false">IF(N121="","",LEN(N121))</f>
        <v/>
      </c>
    </row>
    <row r="122" customFormat="false" ht="39" hidden="false" customHeight="true" outlineLevel="0" collapsed="false">
      <c r="A122" s="4" t="n">
        <v>121</v>
      </c>
      <c r="B122" s="5" t="n">
        <f aca="false">IF(OR(C122="სხვა მოდელი წერია",I122&gt;=განმარტება!$B$4),1,IF(OR(C122="ცარიელი",I122&gt;=1),2,IF(H122&gt;=განმარტება!$B$5,3,4)))</f>
        <v>2</v>
      </c>
      <c r="C122" s="6" t="s">
        <v>15</v>
      </c>
      <c r="D122" s="6" t="s">
        <v>655</v>
      </c>
      <c r="E122" s="7" t="s">
        <v>656</v>
      </c>
      <c r="F122" s="7" t="n">
        <v>2770</v>
      </c>
      <c r="G122" s="6" t="s">
        <v>112</v>
      </c>
      <c r="H122" s="8" t="n">
        <v>2399</v>
      </c>
      <c r="I122" s="8" t="n">
        <v>71</v>
      </c>
      <c r="J122" s="7" t="n">
        <v>6</v>
      </c>
      <c r="K122" s="9" t="s">
        <v>657</v>
      </c>
      <c r="L122" s="6" t="s">
        <v>658</v>
      </c>
      <c r="M122" s="6" t="s">
        <v>659</v>
      </c>
      <c r="N122" s="10"/>
      <c r="O122" s="4" t="str">
        <f aca="false">IF(N122="","",LEN(N122))</f>
        <v/>
      </c>
    </row>
    <row r="123" customFormat="false" ht="39" hidden="false" customHeight="true" outlineLevel="0" collapsed="false">
      <c r="A123" s="4" t="n">
        <v>122</v>
      </c>
      <c r="B123" s="5" t="n">
        <f aca="false">IF(OR(C123="სხვა მოდელი წერია",I123&gt;=განმარტება!$B$4),1,IF(OR(C123="ცარიელი",I123&gt;=1),2,IF(H123&gt;=განმარტება!$B$5,3,4)))</f>
        <v>2</v>
      </c>
      <c r="C123" s="6" t="s">
        <v>15</v>
      </c>
      <c r="D123" s="6" t="s">
        <v>660</v>
      </c>
      <c r="E123" s="7" t="s">
        <v>661</v>
      </c>
      <c r="F123" s="7" t="n">
        <v>3001</v>
      </c>
      <c r="G123" s="6" t="s">
        <v>238</v>
      </c>
      <c r="H123" s="8" t="n">
        <v>849</v>
      </c>
      <c r="I123" s="8" t="n">
        <v>69</v>
      </c>
      <c r="J123" s="7" t="n">
        <v>3</v>
      </c>
      <c r="K123" s="9" t="s">
        <v>662</v>
      </c>
      <c r="L123" s="6" t="s">
        <v>663</v>
      </c>
      <c r="M123" s="6" t="s">
        <v>664</v>
      </c>
      <c r="N123" s="10"/>
      <c r="O123" s="4" t="str">
        <f aca="false">IF(N123="","",LEN(N123))</f>
        <v/>
      </c>
    </row>
    <row r="124" customFormat="false" ht="39" hidden="false" customHeight="true" outlineLevel="0" collapsed="false">
      <c r="A124" s="4" t="n">
        <v>123</v>
      </c>
      <c r="B124" s="5" t="n">
        <f aca="false">IF(OR(C124="სხვა მოდელი წერია",I124&gt;=განმარტება!$B$4),1,IF(OR(C124="ცარიელი",I124&gt;=1),2,IF(H124&gt;=განმარტება!$B$5,3,4)))</f>
        <v>2</v>
      </c>
      <c r="C124" s="6" t="s">
        <v>15</v>
      </c>
      <c r="D124" s="6" t="s">
        <v>665</v>
      </c>
      <c r="E124" s="7" t="s">
        <v>666</v>
      </c>
      <c r="F124" s="7" t="n">
        <v>2074</v>
      </c>
      <c r="G124" s="6" t="s">
        <v>667</v>
      </c>
      <c r="H124" s="8" t="n">
        <v>120</v>
      </c>
      <c r="I124" s="8" t="n">
        <v>68</v>
      </c>
      <c r="J124" s="7" t="n">
        <v>5</v>
      </c>
      <c r="K124" s="9" t="s">
        <v>668</v>
      </c>
      <c r="L124" s="6" t="s">
        <v>669</v>
      </c>
      <c r="M124" s="6" t="s">
        <v>670</v>
      </c>
      <c r="N124" s="10"/>
      <c r="O124" s="4" t="str">
        <f aca="false">IF(N124="","",LEN(N124))</f>
        <v/>
      </c>
    </row>
    <row r="125" customFormat="false" ht="39" hidden="false" customHeight="true" outlineLevel="0" collapsed="false">
      <c r="A125" s="4" t="n">
        <v>124</v>
      </c>
      <c r="B125" s="5" t="n">
        <f aca="false">IF(OR(C125="სხვა მოდელი წერია",I125&gt;=განმარტება!$B$4),1,IF(OR(C125="ცარიელი",I125&gt;=1),2,IF(H125&gt;=განმარტება!$B$5,3,4)))</f>
        <v>2</v>
      </c>
      <c r="C125" s="6" t="s">
        <v>15</v>
      </c>
      <c r="D125" s="6" t="s">
        <v>671</v>
      </c>
      <c r="E125" s="7" t="s">
        <v>672</v>
      </c>
      <c r="F125" s="7" t="n">
        <v>1841</v>
      </c>
      <c r="G125" s="6" t="s">
        <v>112</v>
      </c>
      <c r="H125" s="8" t="n">
        <v>1099</v>
      </c>
      <c r="I125" s="8" t="n">
        <v>68</v>
      </c>
      <c r="J125" s="7" t="n">
        <v>3</v>
      </c>
      <c r="K125" s="9" t="s">
        <v>673</v>
      </c>
      <c r="L125" s="6" t="s">
        <v>398</v>
      </c>
      <c r="M125" s="6" t="s">
        <v>674</v>
      </c>
      <c r="N125" s="10"/>
      <c r="O125" s="4" t="str">
        <f aca="false">IF(N125="","",LEN(N125))</f>
        <v/>
      </c>
    </row>
    <row r="126" customFormat="false" ht="39" hidden="false" customHeight="true" outlineLevel="0" collapsed="false">
      <c r="A126" s="4" t="n">
        <v>125</v>
      </c>
      <c r="B126" s="5" t="n">
        <f aca="false">IF(OR(C126="სხვა მოდელი წერია",I126&gt;=განმარტება!$B$4),1,IF(OR(C126="ცარიელი",I126&gt;=1),2,IF(H126&gt;=განმარტება!$B$5,3,4)))</f>
        <v>2</v>
      </c>
      <c r="C126" s="6" t="s">
        <v>316</v>
      </c>
      <c r="D126" s="6" t="s">
        <v>675</v>
      </c>
      <c r="E126" s="7" t="s">
        <v>676</v>
      </c>
      <c r="F126" s="7" t="n">
        <v>3444</v>
      </c>
      <c r="G126" s="6" t="s">
        <v>677</v>
      </c>
      <c r="H126" s="8" t="n">
        <v>529</v>
      </c>
      <c r="I126" s="8" t="n">
        <v>67</v>
      </c>
      <c r="J126" s="7" t="n">
        <v>7</v>
      </c>
      <c r="K126" s="9" t="s">
        <v>678</v>
      </c>
      <c r="L126" s="6" t="s">
        <v>679</v>
      </c>
      <c r="M126" s="6" t="s">
        <v>680</v>
      </c>
      <c r="N126" s="10"/>
      <c r="O126" s="4" t="str">
        <f aca="false">IF(N126="","",LEN(N126))</f>
        <v/>
      </c>
    </row>
    <row r="127" customFormat="false" ht="39" hidden="false" customHeight="true" outlineLevel="0" collapsed="false">
      <c r="A127" s="4" t="n">
        <v>126</v>
      </c>
      <c r="B127" s="5" t="n">
        <f aca="false">IF(OR(C127="სხვა მოდელი წერია",I127&gt;=განმარტება!$B$4),1,IF(OR(C127="ცარიელი",I127&gt;=1),2,IF(H127&gt;=განმარტება!$B$5,3,4)))</f>
        <v>2</v>
      </c>
      <c r="C127" s="6" t="s">
        <v>15</v>
      </c>
      <c r="D127" s="6" t="s">
        <v>681</v>
      </c>
      <c r="E127" s="7" t="s">
        <v>682</v>
      </c>
      <c r="F127" s="7" t="n">
        <v>3778</v>
      </c>
      <c r="G127" s="6" t="s">
        <v>118</v>
      </c>
      <c r="H127" s="8" t="n">
        <v>3399</v>
      </c>
      <c r="I127" s="8" t="n">
        <v>67</v>
      </c>
      <c r="J127" s="7" t="n">
        <v>3</v>
      </c>
      <c r="K127" s="9" t="s">
        <v>683</v>
      </c>
      <c r="L127" s="6" t="s">
        <v>684</v>
      </c>
      <c r="M127" s="6" t="s">
        <v>685</v>
      </c>
      <c r="N127" s="10"/>
      <c r="O127" s="4" t="str">
        <f aca="false">IF(N127="","",LEN(N127))</f>
        <v/>
      </c>
    </row>
    <row r="128" customFormat="false" ht="51.75" hidden="false" customHeight="true" outlineLevel="0" collapsed="false">
      <c r="A128" s="4" t="n">
        <v>127</v>
      </c>
      <c r="B128" s="5" t="n">
        <f aca="false">IF(OR(C128="სხვა მოდელი წერია",I128&gt;=განმარტება!$B$4),1,IF(OR(C128="ცარიელი",I128&gt;=1),2,IF(H128&gt;=განმარტება!$B$5,3,4)))</f>
        <v>2</v>
      </c>
      <c r="C128" s="6" t="s">
        <v>15</v>
      </c>
      <c r="D128" s="6" t="s">
        <v>686</v>
      </c>
      <c r="E128" s="7" t="s">
        <v>687</v>
      </c>
      <c r="F128" s="7" t="n">
        <v>1888</v>
      </c>
      <c r="G128" s="6" t="s">
        <v>595</v>
      </c>
      <c r="H128" s="8" t="n">
        <v>639</v>
      </c>
      <c r="I128" s="8" t="n">
        <v>65</v>
      </c>
      <c r="J128" s="7" t="n">
        <v>6</v>
      </c>
      <c r="K128" s="9" t="s">
        <v>688</v>
      </c>
      <c r="L128" s="6" t="s">
        <v>689</v>
      </c>
      <c r="M128" s="6" t="s">
        <v>690</v>
      </c>
      <c r="N128" s="10"/>
      <c r="O128" s="4" t="str">
        <f aca="false">IF(N128="","",LEN(N128))</f>
        <v/>
      </c>
    </row>
    <row r="129" customFormat="false" ht="51.75" hidden="false" customHeight="true" outlineLevel="0" collapsed="false">
      <c r="A129" s="4" t="n">
        <v>128</v>
      </c>
      <c r="B129" s="5" t="n">
        <f aca="false">IF(OR(C129="სხვა მოდელი წერია",I129&gt;=განმარტება!$B$4),1,IF(OR(C129="ცარიელი",I129&gt;=1),2,IF(H129&gt;=განმარტება!$B$5,3,4)))</f>
        <v>2</v>
      </c>
      <c r="C129" s="6" t="s">
        <v>15</v>
      </c>
      <c r="D129" s="6" t="s">
        <v>691</v>
      </c>
      <c r="E129" s="7" t="s">
        <v>692</v>
      </c>
      <c r="F129" s="7" t="n">
        <v>3903</v>
      </c>
      <c r="G129" s="6" t="s">
        <v>693</v>
      </c>
      <c r="H129" s="8" t="n">
        <v>231</v>
      </c>
      <c r="I129" s="8" t="n">
        <v>63</v>
      </c>
      <c r="J129" s="7" t="n">
        <v>3</v>
      </c>
      <c r="K129" s="9" t="s">
        <v>694</v>
      </c>
      <c r="L129" s="6" t="s">
        <v>695</v>
      </c>
      <c r="M129" s="6" t="s">
        <v>696</v>
      </c>
      <c r="N129" s="10"/>
      <c r="O129" s="4" t="str">
        <f aca="false">IF(N129="","",LEN(N129))</f>
        <v/>
      </c>
    </row>
    <row r="130" customFormat="false" ht="39" hidden="false" customHeight="true" outlineLevel="0" collapsed="false">
      <c r="A130" s="4" t="n">
        <v>129</v>
      </c>
      <c r="B130" s="5" t="n">
        <f aca="false">IF(OR(C130="სხვა მოდელი წერია",I130&gt;=განმარტება!$B$4),1,IF(OR(C130="ცარიელი",I130&gt;=1),2,IF(H130&gt;=განმარტება!$B$5,3,4)))</f>
        <v>2</v>
      </c>
      <c r="C130" s="6" t="s">
        <v>15</v>
      </c>
      <c r="D130" s="6" t="s">
        <v>697</v>
      </c>
      <c r="E130" s="7" t="s">
        <v>698</v>
      </c>
      <c r="F130" s="7" t="n">
        <v>1791</v>
      </c>
      <c r="G130" s="6" t="s">
        <v>302</v>
      </c>
      <c r="H130" s="8" t="n">
        <v>745</v>
      </c>
      <c r="I130" s="8" t="n">
        <v>62</v>
      </c>
      <c r="J130" s="7" t="n">
        <v>5</v>
      </c>
      <c r="K130" s="9" t="s">
        <v>699</v>
      </c>
      <c r="L130" s="6" t="s">
        <v>700</v>
      </c>
      <c r="M130" s="6" t="s">
        <v>701</v>
      </c>
      <c r="N130" s="10"/>
      <c r="O130" s="4" t="str">
        <f aca="false">IF(N130="","",LEN(N130))</f>
        <v/>
      </c>
    </row>
    <row r="131" customFormat="false" ht="39" hidden="false" customHeight="true" outlineLevel="0" collapsed="false">
      <c r="A131" s="4" t="n">
        <v>130</v>
      </c>
      <c r="B131" s="5" t="n">
        <f aca="false">IF(OR(C131="სხვა მოდელი წერია",I131&gt;=განმარტება!$B$4),1,IF(OR(C131="ცარიელი",I131&gt;=1),2,IF(H131&gt;=განმარტება!$B$5,3,4)))</f>
        <v>2</v>
      </c>
      <c r="C131" s="6" t="s">
        <v>15</v>
      </c>
      <c r="D131" s="6" t="s">
        <v>702</v>
      </c>
      <c r="E131" s="7" t="s">
        <v>703</v>
      </c>
      <c r="F131" s="7" t="n">
        <v>12060</v>
      </c>
      <c r="G131" s="6" t="s">
        <v>24</v>
      </c>
      <c r="H131" s="8" t="n">
        <v>2599</v>
      </c>
      <c r="I131" s="8" t="n">
        <v>61</v>
      </c>
      <c r="J131" s="7" t="n">
        <v>3</v>
      </c>
      <c r="K131" s="9" t="s">
        <v>704</v>
      </c>
      <c r="L131" s="6" t="s">
        <v>705</v>
      </c>
      <c r="M131" s="6" t="s">
        <v>706</v>
      </c>
      <c r="N131" s="10"/>
      <c r="O131" s="4" t="str">
        <f aca="false">IF(N131="","",LEN(N131))</f>
        <v/>
      </c>
    </row>
    <row r="132" customFormat="false" ht="51.75" hidden="false" customHeight="true" outlineLevel="0" collapsed="false">
      <c r="A132" s="4" t="n">
        <v>131</v>
      </c>
      <c r="B132" s="5" t="n">
        <f aca="false">IF(OR(C132="სხვა მოდელი წერია",I132&gt;=განმარტება!$B$4),1,IF(OR(C132="ცარიელი",I132&gt;=1),2,IF(H132&gt;=განმარტება!$B$5,3,4)))</f>
        <v>2</v>
      </c>
      <c r="C132" s="6" t="s">
        <v>15</v>
      </c>
      <c r="D132" s="6" t="s">
        <v>707</v>
      </c>
      <c r="E132" s="7" t="s">
        <v>708</v>
      </c>
      <c r="F132" s="7" t="n">
        <v>1897</v>
      </c>
      <c r="G132" s="6" t="s">
        <v>595</v>
      </c>
      <c r="H132" s="8" t="n">
        <v>699</v>
      </c>
      <c r="I132" s="8" t="n">
        <v>60</v>
      </c>
      <c r="J132" s="7" t="n">
        <v>7</v>
      </c>
      <c r="K132" s="9" t="s">
        <v>709</v>
      </c>
      <c r="L132" s="6" t="s">
        <v>710</v>
      </c>
      <c r="M132" s="6" t="s">
        <v>711</v>
      </c>
      <c r="N132" s="10"/>
      <c r="O132" s="4" t="str">
        <f aca="false">IF(N132="","",LEN(N132))</f>
        <v/>
      </c>
    </row>
    <row r="133" customFormat="false" ht="64.5" hidden="false" customHeight="true" outlineLevel="0" collapsed="false">
      <c r="A133" s="4" t="n">
        <v>132</v>
      </c>
      <c r="B133" s="5" t="n">
        <f aca="false">IF(OR(C133="სხვა მოდელი წერია",I133&gt;=განმარტება!$B$4),1,IF(OR(C133="ცარიელი",I133&gt;=1),2,IF(H133&gt;=განმარტება!$B$5,3,4)))</f>
        <v>2</v>
      </c>
      <c r="C133" s="6" t="s">
        <v>15</v>
      </c>
      <c r="D133" s="6" t="s">
        <v>712</v>
      </c>
      <c r="E133" s="7" t="s">
        <v>713</v>
      </c>
      <c r="F133" s="7" t="n">
        <v>2853</v>
      </c>
      <c r="G133" s="6" t="s">
        <v>714</v>
      </c>
      <c r="H133" s="8" t="n">
        <v>45</v>
      </c>
      <c r="I133" s="8" t="n">
        <v>60</v>
      </c>
      <c r="J133" s="7" t="n">
        <v>5</v>
      </c>
      <c r="K133" s="9" t="s">
        <v>715</v>
      </c>
      <c r="L133" s="6" t="s">
        <v>716</v>
      </c>
      <c r="M133" s="6" t="s">
        <v>717</v>
      </c>
      <c r="N133" s="10"/>
      <c r="O133" s="4" t="str">
        <f aca="false">IF(N133="","",LEN(N133))</f>
        <v/>
      </c>
    </row>
    <row r="134" customFormat="false" ht="39" hidden="false" customHeight="true" outlineLevel="0" collapsed="false">
      <c r="A134" s="4" t="n">
        <v>133</v>
      </c>
      <c r="B134" s="5" t="n">
        <f aca="false">IF(OR(C134="სხვა მოდელი წერია",I134&gt;=განმარტება!$B$4),1,IF(OR(C134="ცარიელი",I134&gt;=1),2,IF(H134&gt;=განმარტება!$B$5,3,4)))</f>
        <v>2</v>
      </c>
      <c r="C134" s="6" t="s">
        <v>15</v>
      </c>
      <c r="D134" s="6" t="s">
        <v>718</v>
      </c>
      <c r="E134" s="7" t="s">
        <v>719</v>
      </c>
      <c r="F134" s="7" t="n">
        <v>2047</v>
      </c>
      <c r="G134" s="6" t="s">
        <v>24</v>
      </c>
      <c r="H134" s="8" t="n">
        <v>4099</v>
      </c>
      <c r="I134" s="8" t="n">
        <v>60</v>
      </c>
      <c r="J134" s="7" t="n">
        <v>4</v>
      </c>
      <c r="K134" s="9" t="s">
        <v>720</v>
      </c>
      <c r="L134" s="6" t="s">
        <v>721</v>
      </c>
      <c r="M134" s="6" t="s">
        <v>722</v>
      </c>
      <c r="N134" s="10"/>
      <c r="O134" s="4" t="str">
        <f aca="false">IF(N134="","",LEN(N134))</f>
        <v/>
      </c>
    </row>
    <row r="135" customFormat="false" ht="39" hidden="false" customHeight="true" outlineLevel="0" collapsed="false">
      <c r="A135" s="4" t="n">
        <v>134</v>
      </c>
      <c r="B135" s="5" t="n">
        <f aca="false">IF(OR(C135="სხვა მოდელი წერია",I135&gt;=განმარტება!$B$4),1,IF(OR(C135="ცარიელი",I135&gt;=1),2,IF(H135&gt;=განმარტება!$B$5,3,4)))</f>
        <v>2</v>
      </c>
      <c r="C135" s="6" t="s">
        <v>15</v>
      </c>
      <c r="D135" s="6" t="s">
        <v>723</v>
      </c>
      <c r="E135" s="7" t="s">
        <v>724</v>
      </c>
      <c r="F135" s="7" t="n">
        <v>2766</v>
      </c>
      <c r="G135" s="6" t="s">
        <v>112</v>
      </c>
      <c r="H135" s="8" t="n">
        <v>1799</v>
      </c>
      <c r="I135" s="8" t="n">
        <v>59</v>
      </c>
      <c r="J135" s="7" t="n">
        <v>7</v>
      </c>
      <c r="K135" s="9" t="s">
        <v>725</v>
      </c>
      <c r="L135" s="6" t="s">
        <v>658</v>
      </c>
      <c r="M135" s="6" t="s">
        <v>726</v>
      </c>
      <c r="N135" s="10"/>
      <c r="O135" s="4" t="str">
        <f aca="false">IF(N135="","",LEN(N135))</f>
        <v/>
      </c>
    </row>
    <row r="136" customFormat="false" ht="39" hidden="false" customHeight="true" outlineLevel="0" collapsed="false">
      <c r="A136" s="4" t="n">
        <v>135</v>
      </c>
      <c r="B136" s="5" t="n">
        <f aca="false">IF(OR(C136="სხვა მოდელი წერია",I136&gt;=განმარტება!$B$4),1,IF(OR(C136="ცარიელი",I136&gt;=1),2,IF(H136&gt;=განმარტება!$B$5,3,4)))</f>
        <v>2</v>
      </c>
      <c r="C136" s="6" t="s">
        <v>15</v>
      </c>
      <c r="D136" s="6" t="s">
        <v>727</v>
      </c>
      <c r="E136" s="7" t="s">
        <v>728</v>
      </c>
      <c r="F136" s="7" t="n">
        <v>1036</v>
      </c>
      <c r="G136" s="6" t="s">
        <v>112</v>
      </c>
      <c r="H136" s="8" t="n">
        <v>2185</v>
      </c>
      <c r="I136" s="8" t="n">
        <v>57</v>
      </c>
      <c r="J136" s="7" t="n">
        <v>3</v>
      </c>
      <c r="K136" s="9" t="s">
        <v>729</v>
      </c>
      <c r="L136" s="6" t="s">
        <v>730</v>
      </c>
      <c r="M136" s="6" t="s">
        <v>731</v>
      </c>
      <c r="N136" s="10"/>
      <c r="O136" s="4" t="str">
        <f aca="false">IF(N136="","",LEN(N136))</f>
        <v/>
      </c>
    </row>
    <row r="137" customFormat="false" ht="39" hidden="false" customHeight="true" outlineLevel="0" collapsed="false">
      <c r="A137" s="4" t="n">
        <v>136</v>
      </c>
      <c r="B137" s="5" t="n">
        <f aca="false">IF(OR(C137="სხვა მოდელი წერია",I137&gt;=განმარტება!$B$4),1,IF(OR(C137="ცარიელი",I137&gt;=1),2,IF(H137&gt;=განმარტება!$B$5,3,4)))</f>
        <v>2</v>
      </c>
      <c r="C137" s="6" t="s">
        <v>15</v>
      </c>
      <c r="D137" s="6" t="s">
        <v>732</v>
      </c>
      <c r="E137" s="7" t="s">
        <v>733</v>
      </c>
      <c r="F137" s="7" t="n">
        <v>2924</v>
      </c>
      <c r="G137" s="6" t="s">
        <v>112</v>
      </c>
      <c r="H137" s="8" t="n">
        <v>1049</v>
      </c>
      <c r="I137" s="8" t="n">
        <v>56</v>
      </c>
      <c r="J137" s="7" t="n">
        <v>6</v>
      </c>
      <c r="K137" s="9" t="s">
        <v>734</v>
      </c>
      <c r="L137" s="6" t="s">
        <v>735</v>
      </c>
      <c r="M137" s="6" t="s">
        <v>736</v>
      </c>
      <c r="N137" s="10"/>
      <c r="O137" s="4" t="str">
        <f aca="false">IF(N137="","",LEN(N137))</f>
        <v/>
      </c>
    </row>
    <row r="138" customFormat="false" ht="39" hidden="false" customHeight="true" outlineLevel="0" collapsed="false">
      <c r="A138" s="4" t="n">
        <v>137</v>
      </c>
      <c r="B138" s="5" t="n">
        <f aca="false">IF(OR(C138="სხვა მოდელი წერია",I138&gt;=განმარტება!$B$4),1,IF(OR(C138="ცარიელი",I138&gt;=1),2,IF(H138&gt;=განმარტება!$B$5,3,4)))</f>
        <v>2</v>
      </c>
      <c r="C138" s="6" t="s">
        <v>15</v>
      </c>
      <c r="D138" s="6" t="s">
        <v>737</v>
      </c>
      <c r="E138" s="7" t="s">
        <v>738</v>
      </c>
      <c r="F138" s="7" t="n">
        <v>4015</v>
      </c>
      <c r="G138" s="6" t="s">
        <v>24</v>
      </c>
      <c r="H138" s="8" t="n">
        <v>1899</v>
      </c>
      <c r="I138" s="8" t="n">
        <v>54</v>
      </c>
      <c r="J138" s="7" t="n">
        <v>5</v>
      </c>
      <c r="K138" s="9" t="s">
        <v>739</v>
      </c>
      <c r="L138" s="6" t="s">
        <v>740</v>
      </c>
      <c r="M138" s="6" t="s">
        <v>741</v>
      </c>
      <c r="N138" s="10"/>
      <c r="O138" s="4" t="str">
        <f aca="false">IF(N138="","",LEN(N138))</f>
        <v/>
      </c>
    </row>
    <row r="139" customFormat="false" ht="39" hidden="false" customHeight="true" outlineLevel="0" collapsed="false">
      <c r="A139" s="4" t="n">
        <v>138</v>
      </c>
      <c r="B139" s="5" t="n">
        <f aca="false">IF(OR(C139="სხვა მოდელი წერია",I139&gt;=განმარტება!$B$4),1,IF(OR(C139="ცარიელი",I139&gt;=1),2,IF(H139&gt;=განმარტება!$B$5,3,4)))</f>
        <v>2</v>
      </c>
      <c r="C139" s="6" t="s">
        <v>15</v>
      </c>
      <c r="D139" s="6" t="s">
        <v>742</v>
      </c>
      <c r="E139" s="7" t="s">
        <v>743</v>
      </c>
      <c r="F139" s="7" t="n">
        <v>1093</v>
      </c>
      <c r="G139" s="6" t="s">
        <v>112</v>
      </c>
      <c r="H139" s="8" t="n">
        <v>916</v>
      </c>
      <c r="I139" s="8" t="n">
        <v>53</v>
      </c>
      <c r="J139" s="7" t="n">
        <v>5</v>
      </c>
      <c r="K139" s="9" t="s">
        <v>744</v>
      </c>
      <c r="L139" s="6" t="s">
        <v>745</v>
      </c>
      <c r="M139" s="6" t="s">
        <v>746</v>
      </c>
      <c r="N139" s="10"/>
      <c r="O139" s="4" t="str">
        <f aca="false">IF(N139="","",LEN(N139))</f>
        <v/>
      </c>
    </row>
    <row r="140" customFormat="false" ht="39" hidden="false" customHeight="true" outlineLevel="0" collapsed="false">
      <c r="A140" s="4" t="n">
        <v>139</v>
      </c>
      <c r="B140" s="5" t="n">
        <f aca="false">IF(OR(C140="სხვა მოდელი წერია",I140&gt;=განმარტება!$B$4),1,IF(OR(C140="ცარიელი",I140&gt;=1),2,IF(H140&gt;=განმარტება!$B$5,3,4)))</f>
        <v>2</v>
      </c>
      <c r="C140" s="6" t="s">
        <v>15</v>
      </c>
      <c r="D140" s="6" t="s">
        <v>747</v>
      </c>
      <c r="E140" s="7" t="s">
        <v>748</v>
      </c>
      <c r="F140" s="7" t="n">
        <v>2061</v>
      </c>
      <c r="G140" s="6" t="s">
        <v>749</v>
      </c>
      <c r="H140" s="8" t="n">
        <v>955</v>
      </c>
      <c r="I140" s="8" t="n">
        <v>50</v>
      </c>
      <c r="J140" s="7" t="n">
        <v>5</v>
      </c>
      <c r="K140" s="9" t="s">
        <v>750</v>
      </c>
      <c r="L140" s="6" t="s">
        <v>751</v>
      </c>
      <c r="M140" s="6" t="s">
        <v>752</v>
      </c>
      <c r="N140" s="10"/>
      <c r="O140" s="4" t="str">
        <f aca="false">IF(N140="","",LEN(N140))</f>
        <v/>
      </c>
    </row>
    <row r="141" customFormat="false" ht="39" hidden="false" customHeight="true" outlineLevel="0" collapsed="false">
      <c r="A141" s="4" t="n">
        <v>140</v>
      </c>
      <c r="B141" s="5" t="n">
        <f aca="false">IF(OR(C141="სხვა მოდელი წერია",I141&gt;=განმარტება!$B$4),1,IF(OR(C141="ცარიელი",I141&gt;=1),2,IF(H141&gt;=განმარტება!$B$5,3,4)))</f>
        <v>2</v>
      </c>
      <c r="C141" s="6" t="s">
        <v>15</v>
      </c>
      <c r="D141" s="6" t="s">
        <v>753</v>
      </c>
      <c r="E141" s="7" t="s">
        <v>754</v>
      </c>
      <c r="F141" s="7" t="n">
        <v>1039</v>
      </c>
      <c r="G141" s="6" t="s">
        <v>112</v>
      </c>
      <c r="H141" s="8" t="n">
        <v>2812</v>
      </c>
      <c r="I141" s="8" t="n">
        <v>50</v>
      </c>
      <c r="J141" s="7" t="n">
        <v>3</v>
      </c>
      <c r="K141" s="9" t="s">
        <v>755</v>
      </c>
      <c r="L141" s="6" t="s">
        <v>756</v>
      </c>
      <c r="M141" s="6" t="s">
        <v>757</v>
      </c>
      <c r="N141" s="10"/>
      <c r="O141" s="4" t="str">
        <f aca="false">IF(N141="","",LEN(N141))</f>
        <v/>
      </c>
    </row>
    <row r="142" customFormat="false" ht="39" hidden="false" customHeight="true" outlineLevel="0" collapsed="false">
      <c r="A142" s="4" t="n">
        <v>141</v>
      </c>
      <c r="B142" s="5" t="n">
        <f aca="false">IF(OR(C142="სხვა მოდელი წერია",I142&gt;=განმარტება!$B$4),1,IF(OR(C142="ცარიელი",I142&gt;=1),2,IF(H142&gt;=განმარტება!$B$5,3,4)))</f>
        <v>2</v>
      </c>
      <c r="C142" s="6" t="s">
        <v>15</v>
      </c>
      <c r="D142" s="6" t="s">
        <v>758</v>
      </c>
      <c r="E142" s="7" t="s">
        <v>759</v>
      </c>
      <c r="F142" s="7" t="n">
        <v>1033</v>
      </c>
      <c r="G142" s="6" t="s">
        <v>112</v>
      </c>
      <c r="H142" s="8" t="n">
        <v>883</v>
      </c>
      <c r="I142" s="8" t="n">
        <v>50</v>
      </c>
      <c r="J142" s="7" t="n">
        <v>3</v>
      </c>
      <c r="K142" s="9" t="s">
        <v>760</v>
      </c>
      <c r="L142" s="6" t="s">
        <v>761</v>
      </c>
      <c r="M142" s="6" t="s">
        <v>762</v>
      </c>
      <c r="N142" s="10"/>
      <c r="O142" s="4" t="str">
        <f aca="false">IF(N142="","",LEN(N142))</f>
        <v/>
      </c>
    </row>
    <row r="143" customFormat="false" ht="39" hidden="false" customHeight="true" outlineLevel="0" collapsed="false">
      <c r="A143" s="4" t="n">
        <v>142</v>
      </c>
      <c r="B143" s="5" t="n">
        <f aca="false">IF(OR(C143="სხვა მოდელი წერია",I143&gt;=განმარტება!$B$4),1,IF(OR(C143="ცარიელი",I143&gt;=1),2,IF(H143&gt;=განმარტება!$B$5,3,4)))</f>
        <v>2</v>
      </c>
      <c r="C143" s="6" t="s">
        <v>15</v>
      </c>
      <c r="D143" s="6" t="s">
        <v>763</v>
      </c>
      <c r="E143" s="7" t="s">
        <v>764</v>
      </c>
      <c r="F143" s="7" t="n">
        <v>2087</v>
      </c>
      <c r="G143" s="6" t="s">
        <v>83</v>
      </c>
      <c r="H143" s="8" t="n">
        <v>299</v>
      </c>
      <c r="I143" s="8" t="n">
        <v>49</v>
      </c>
      <c r="J143" s="7" t="n">
        <v>4</v>
      </c>
      <c r="K143" s="9" t="s">
        <v>765</v>
      </c>
      <c r="L143" s="6" t="s">
        <v>766</v>
      </c>
      <c r="M143" s="6" t="s">
        <v>767</v>
      </c>
      <c r="N143" s="10"/>
      <c r="O143" s="4" t="str">
        <f aca="false">IF(N143="","",LEN(N143))</f>
        <v/>
      </c>
    </row>
    <row r="144" customFormat="false" ht="39" hidden="false" customHeight="true" outlineLevel="0" collapsed="false">
      <c r="A144" s="4" t="n">
        <v>143</v>
      </c>
      <c r="B144" s="5" t="n">
        <f aca="false">IF(OR(C144="სხვა მოდელი წერია",I144&gt;=განმარტება!$B$4),1,IF(OR(C144="ცარიელი",I144&gt;=1),2,IF(H144&gt;=განმარტება!$B$5,3,4)))</f>
        <v>2</v>
      </c>
      <c r="C144" s="6" t="s">
        <v>15</v>
      </c>
      <c r="D144" s="6" t="s">
        <v>768</v>
      </c>
      <c r="E144" s="7" t="s">
        <v>769</v>
      </c>
      <c r="F144" s="7" t="n">
        <v>3214</v>
      </c>
      <c r="G144" s="6" t="s">
        <v>770</v>
      </c>
      <c r="H144" s="8" t="n">
        <v>270</v>
      </c>
      <c r="I144" s="8" t="n">
        <v>47</v>
      </c>
      <c r="J144" s="7" t="n">
        <v>4</v>
      </c>
      <c r="K144" s="9" t="s">
        <v>771</v>
      </c>
      <c r="L144" s="6" t="s">
        <v>772</v>
      </c>
      <c r="M144" s="6" t="s">
        <v>773</v>
      </c>
      <c r="N144" s="10"/>
      <c r="O144" s="4" t="str">
        <f aca="false">IF(N144="","",LEN(N144))</f>
        <v/>
      </c>
    </row>
    <row r="145" customFormat="false" ht="39" hidden="false" customHeight="true" outlineLevel="0" collapsed="false">
      <c r="A145" s="4" t="n">
        <v>144</v>
      </c>
      <c r="B145" s="5" t="n">
        <f aca="false">IF(OR(C145="სხვა მოდელი წერია",I145&gt;=განმარტება!$B$4),1,IF(OR(C145="ცარიელი",I145&gt;=1),2,IF(H145&gt;=განმარტება!$B$5,3,4)))</f>
        <v>2</v>
      </c>
      <c r="C145" s="6" t="s">
        <v>15</v>
      </c>
      <c r="D145" s="6" t="s">
        <v>774</v>
      </c>
      <c r="E145" s="7" t="s">
        <v>775</v>
      </c>
      <c r="F145" s="7" t="n">
        <v>2453</v>
      </c>
      <c r="G145" s="6" t="s">
        <v>205</v>
      </c>
      <c r="H145" s="8" t="n">
        <v>599</v>
      </c>
      <c r="I145" s="8" t="n">
        <v>46</v>
      </c>
      <c r="J145" s="7" t="n">
        <v>4</v>
      </c>
      <c r="K145" s="9" t="s">
        <v>776</v>
      </c>
      <c r="L145" s="6" t="s">
        <v>777</v>
      </c>
      <c r="M145" s="6" t="s">
        <v>778</v>
      </c>
      <c r="N145" s="10"/>
      <c r="O145" s="4" t="str">
        <f aca="false">IF(N145="","",LEN(N145))</f>
        <v/>
      </c>
    </row>
    <row r="146" customFormat="false" ht="39" hidden="false" customHeight="true" outlineLevel="0" collapsed="false">
      <c r="A146" s="4" t="n">
        <v>145</v>
      </c>
      <c r="B146" s="5" t="n">
        <f aca="false">IF(OR(C146="სხვა მოდელი წერია",I146&gt;=განმარტება!$B$4),1,IF(OR(C146="ცარიელი",I146&gt;=1),2,IF(H146&gt;=განმარტება!$B$5,3,4)))</f>
        <v>2</v>
      </c>
      <c r="C146" s="6" t="s">
        <v>15</v>
      </c>
      <c r="D146" s="6" t="s">
        <v>779</v>
      </c>
      <c r="E146" s="7" t="s">
        <v>780</v>
      </c>
      <c r="F146" s="7" t="n">
        <v>2836</v>
      </c>
      <c r="G146" s="6" t="s">
        <v>24</v>
      </c>
      <c r="H146" s="8" t="n">
        <v>1899</v>
      </c>
      <c r="I146" s="8" t="n">
        <v>45</v>
      </c>
      <c r="J146" s="7" t="n">
        <v>8</v>
      </c>
      <c r="K146" s="9" t="s">
        <v>781</v>
      </c>
      <c r="L146" s="6" t="s">
        <v>782</v>
      </c>
      <c r="M146" s="6" t="s">
        <v>783</v>
      </c>
      <c r="N146" s="10"/>
      <c r="O146" s="4" t="str">
        <f aca="false">IF(N146="","",LEN(N146))</f>
        <v/>
      </c>
    </row>
    <row r="147" customFormat="false" ht="39" hidden="false" customHeight="true" outlineLevel="0" collapsed="false">
      <c r="A147" s="4" t="n">
        <v>146</v>
      </c>
      <c r="B147" s="5" t="n">
        <f aca="false">IF(OR(C147="სხვა მოდელი წერია",I147&gt;=განმარტება!$B$4),1,IF(OR(C147="ცარიელი",I147&gt;=1),2,IF(H147&gt;=განმარტება!$B$5,3,4)))</f>
        <v>2</v>
      </c>
      <c r="C147" s="6" t="s">
        <v>316</v>
      </c>
      <c r="D147" s="6" t="s">
        <v>784</v>
      </c>
      <c r="E147" s="7" t="s">
        <v>785</v>
      </c>
      <c r="F147" s="7" t="n">
        <v>2951</v>
      </c>
      <c r="G147" s="6" t="s">
        <v>340</v>
      </c>
      <c r="H147" s="8" t="n">
        <v>699</v>
      </c>
      <c r="I147" s="8" t="n">
        <v>44</v>
      </c>
      <c r="J147" s="7" t="n">
        <v>8</v>
      </c>
      <c r="K147" s="9" t="s">
        <v>786</v>
      </c>
      <c r="L147" s="6" t="s">
        <v>787</v>
      </c>
      <c r="M147" s="6" t="s">
        <v>788</v>
      </c>
      <c r="N147" s="10"/>
      <c r="O147" s="4" t="str">
        <f aca="false">IF(N147="","",LEN(N147))</f>
        <v/>
      </c>
    </row>
    <row r="148" customFormat="false" ht="39" hidden="false" customHeight="true" outlineLevel="0" collapsed="false">
      <c r="A148" s="4" t="n">
        <v>147</v>
      </c>
      <c r="B148" s="5" t="n">
        <f aca="false">IF(OR(C148="სხვა მოდელი წერია",I148&gt;=განმარტება!$B$4),1,IF(OR(C148="ცარიელი",I148&gt;=1),2,IF(H148&gt;=განმარტება!$B$5,3,4)))</f>
        <v>2</v>
      </c>
      <c r="C148" s="6" t="s">
        <v>15</v>
      </c>
      <c r="D148" s="6" t="s">
        <v>789</v>
      </c>
      <c r="E148" s="7" t="s">
        <v>790</v>
      </c>
      <c r="F148" s="7" t="n">
        <v>2093</v>
      </c>
      <c r="G148" s="6" t="s">
        <v>18</v>
      </c>
      <c r="H148" s="8" t="n">
        <v>619</v>
      </c>
      <c r="I148" s="8" t="n">
        <v>43</v>
      </c>
      <c r="J148" s="7" t="n">
        <v>5</v>
      </c>
      <c r="K148" s="9" t="s">
        <v>791</v>
      </c>
      <c r="L148" s="6" t="s">
        <v>792</v>
      </c>
      <c r="M148" s="6" t="s">
        <v>793</v>
      </c>
      <c r="N148" s="10"/>
      <c r="O148" s="4" t="str">
        <f aca="false">IF(N148="","",LEN(N148))</f>
        <v/>
      </c>
    </row>
    <row r="149" customFormat="false" ht="39" hidden="false" customHeight="true" outlineLevel="0" collapsed="false">
      <c r="A149" s="4" t="n">
        <v>148</v>
      </c>
      <c r="B149" s="5" t="n">
        <f aca="false">IF(OR(C149="სხვა მოდელი წერია",I149&gt;=განმარტება!$B$4),1,IF(OR(C149="ცარიელი",I149&gt;=1),2,IF(H149&gt;=განმარტება!$B$5,3,4)))</f>
        <v>2</v>
      </c>
      <c r="C149" s="6" t="s">
        <v>15</v>
      </c>
      <c r="D149" s="6" t="s">
        <v>794</v>
      </c>
      <c r="E149" s="7" t="s">
        <v>795</v>
      </c>
      <c r="F149" s="7" t="n">
        <v>773</v>
      </c>
      <c r="G149" s="6" t="s">
        <v>302</v>
      </c>
      <c r="H149" s="8" t="n">
        <v>500</v>
      </c>
      <c r="I149" s="8" t="n">
        <v>43</v>
      </c>
      <c r="J149" s="7" t="n">
        <v>4</v>
      </c>
      <c r="K149" s="9" t="s">
        <v>796</v>
      </c>
      <c r="L149" s="6" t="s">
        <v>797</v>
      </c>
      <c r="M149" s="6" t="s">
        <v>798</v>
      </c>
      <c r="N149" s="10"/>
      <c r="O149" s="4" t="str">
        <f aca="false">IF(N149="","",LEN(N149))</f>
        <v/>
      </c>
    </row>
    <row r="150" customFormat="false" ht="39" hidden="false" customHeight="true" outlineLevel="0" collapsed="false">
      <c r="A150" s="4" t="n">
        <v>149</v>
      </c>
      <c r="B150" s="5" t="n">
        <f aca="false">IF(OR(C150="სხვა მოდელი წერია",I150&gt;=განმარტება!$B$4),1,IF(OR(C150="ცარიელი",I150&gt;=1),2,IF(H150&gt;=განმარტება!$B$5,3,4)))</f>
        <v>2</v>
      </c>
      <c r="C150" s="6" t="s">
        <v>15</v>
      </c>
      <c r="D150" s="6" t="s">
        <v>799</v>
      </c>
      <c r="E150" s="7" t="s">
        <v>800</v>
      </c>
      <c r="F150" s="7" t="n">
        <v>2906</v>
      </c>
      <c r="G150" s="6" t="s">
        <v>402</v>
      </c>
      <c r="H150" s="8" t="n">
        <v>649</v>
      </c>
      <c r="I150" s="8" t="n">
        <v>42</v>
      </c>
      <c r="J150" s="7" t="n">
        <v>5</v>
      </c>
      <c r="K150" s="9" t="s">
        <v>801</v>
      </c>
      <c r="L150" s="6" t="s">
        <v>802</v>
      </c>
      <c r="M150" s="6" t="s">
        <v>803</v>
      </c>
      <c r="N150" s="10"/>
      <c r="O150" s="4" t="str">
        <f aca="false">IF(N150="","",LEN(N150))</f>
        <v/>
      </c>
    </row>
    <row r="151" customFormat="false" ht="39" hidden="false" customHeight="true" outlineLevel="0" collapsed="false">
      <c r="A151" s="4" t="n">
        <v>150</v>
      </c>
      <c r="B151" s="5" t="n">
        <f aca="false">IF(OR(C151="სხვა მოდელი წერია",I151&gt;=განმარტება!$B$4),1,IF(OR(C151="ცარიელი",I151&gt;=1),2,IF(H151&gt;=განმარტება!$B$5,3,4)))</f>
        <v>2</v>
      </c>
      <c r="C151" s="6" t="s">
        <v>15</v>
      </c>
      <c r="D151" s="6" t="s">
        <v>804</v>
      </c>
      <c r="E151" s="7" t="s">
        <v>805</v>
      </c>
      <c r="F151" s="7" t="n">
        <v>1431</v>
      </c>
      <c r="G151" s="6" t="s">
        <v>24</v>
      </c>
      <c r="H151" s="8" t="n">
        <v>1499</v>
      </c>
      <c r="I151" s="8" t="n">
        <v>40</v>
      </c>
      <c r="J151" s="7" t="n">
        <v>5</v>
      </c>
      <c r="K151" s="9" t="s">
        <v>806</v>
      </c>
      <c r="L151" s="6" t="s">
        <v>807</v>
      </c>
      <c r="M151" s="6" t="s">
        <v>808</v>
      </c>
      <c r="N151" s="10"/>
      <c r="O151" s="4" t="str">
        <f aca="false">IF(N151="","",LEN(N151))</f>
        <v/>
      </c>
    </row>
    <row r="152" customFormat="false" ht="39" hidden="false" customHeight="true" outlineLevel="0" collapsed="false">
      <c r="A152" s="4" t="n">
        <v>151</v>
      </c>
      <c r="B152" s="5" t="n">
        <f aca="false">IF(OR(C152="სხვა მოდელი წერია",I152&gt;=განმარტება!$B$4),1,IF(OR(C152="ცარიელი",I152&gt;=1),2,IF(H152&gt;=განმარტება!$B$5,3,4)))</f>
        <v>2</v>
      </c>
      <c r="C152" s="6" t="s">
        <v>15</v>
      </c>
      <c r="D152" s="6" t="s">
        <v>809</v>
      </c>
      <c r="E152" s="7" t="s">
        <v>810</v>
      </c>
      <c r="F152" s="7" t="n">
        <v>1758</v>
      </c>
      <c r="G152" s="6" t="s">
        <v>112</v>
      </c>
      <c r="H152" s="8" t="n">
        <v>1956</v>
      </c>
      <c r="I152" s="8" t="n">
        <v>38</v>
      </c>
      <c r="J152" s="7" t="n">
        <v>5</v>
      </c>
      <c r="K152" s="9" t="s">
        <v>811</v>
      </c>
      <c r="L152" s="6" t="s">
        <v>812</v>
      </c>
      <c r="M152" s="6" t="s">
        <v>813</v>
      </c>
      <c r="N152" s="10"/>
      <c r="O152" s="4" t="str">
        <f aca="false">IF(N152="","",LEN(N152))</f>
        <v/>
      </c>
    </row>
    <row r="153" customFormat="false" ht="39" hidden="false" customHeight="true" outlineLevel="0" collapsed="false">
      <c r="A153" s="4" t="n">
        <v>152</v>
      </c>
      <c r="B153" s="5" t="n">
        <f aca="false">IF(OR(C153="სხვა მოდელი წერია",I153&gt;=განმარტება!$B$4),1,IF(OR(C153="ცარიელი",I153&gt;=1),2,IF(H153&gt;=განმარტება!$B$5,3,4)))</f>
        <v>2</v>
      </c>
      <c r="C153" s="6" t="s">
        <v>15</v>
      </c>
      <c r="D153" s="6" t="s">
        <v>814</v>
      </c>
      <c r="E153" s="7" t="s">
        <v>815</v>
      </c>
      <c r="F153" s="7" t="n">
        <v>3213</v>
      </c>
      <c r="G153" s="6" t="s">
        <v>770</v>
      </c>
      <c r="H153" s="8" t="n">
        <v>310</v>
      </c>
      <c r="I153" s="8" t="n">
        <v>35</v>
      </c>
      <c r="J153" s="7" t="n">
        <v>5</v>
      </c>
      <c r="K153" s="9" t="s">
        <v>816</v>
      </c>
      <c r="L153" s="6" t="s">
        <v>817</v>
      </c>
      <c r="M153" s="6" t="s">
        <v>818</v>
      </c>
      <c r="N153" s="10"/>
      <c r="O153" s="4" t="str">
        <f aca="false">IF(N153="","",LEN(N153))</f>
        <v/>
      </c>
    </row>
    <row r="154" customFormat="false" ht="39" hidden="false" customHeight="true" outlineLevel="0" collapsed="false">
      <c r="A154" s="4" t="n">
        <v>153</v>
      </c>
      <c r="B154" s="5" t="n">
        <f aca="false">IF(OR(C154="სხვა მოდელი წერია",I154&gt;=განმარტება!$B$4),1,IF(OR(C154="ცარიელი",I154&gt;=1),2,IF(H154&gt;=განმარტება!$B$5,3,4)))</f>
        <v>2</v>
      </c>
      <c r="C154" s="6" t="s">
        <v>15</v>
      </c>
      <c r="D154" s="6" t="s">
        <v>819</v>
      </c>
      <c r="E154" s="7" t="s">
        <v>820</v>
      </c>
      <c r="F154" s="7" t="n">
        <v>768</v>
      </c>
      <c r="G154" s="6" t="s">
        <v>302</v>
      </c>
      <c r="H154" s="8" t="n">
        <v>643</v>
      </c>
      <c r="I154" s="8" t="n">
        <v>31</v>
      </c>
      <c r="J154" s="7" t="n">
        <v>4</v>
      </c>
      <c r="K154" s="9" t="s">
        <v>821</v>
      </c>
      <c r="L154" s="6" t="s">
        <v>822</v>
      </c>
      <c r="M154" s="6" t="s">
        <v>823</v>
      </c>
      <c r="N154" s="10"/>
      <c r="O154" s="4" t="str">
        <f aca="false">IF(N154="","",LEN(N154))</f>
        <v/>
      </c>
    </row>
    <row r="155" customFormat="false" ht="64.5" hidden="false" customHeight="true" outlineLevel="0" collapsed="false">
      <c r="A155" s="4" t="n">
        <v>154</v>
      </c>
      <c r="B155" s="5" t="n">
        <f aca="false">IF(OR(C155="სხვა მოდელი წერია",I155&gt;=განმარტება!$B$4),1,IF(OR(C155="ცარიელი",I155&gt;=1),2,IF(H155&gt;=განმარტება!$B$5,3,4)))</f>
        <v>2</v>
      </c>
      <c r="C155" s="6" t="s">
        <v>316</v>
      </c>
      <c r="D155" s="6" t="s">
        <v>824</v>
      </c>
      <c r="E155" s="7" t="s">
        <v>825</v>
      </c>
      <c r="F155" s="7" t="n">
        <v>3271</v>
      </c>
      <c r="G155" s="6" t="s">
        <v>54</v>
      </c>
      <c r="H155" s="8" t="n">
        <v>199</v>
      </c>
      <c r="I155" s="8" t="n">
        <v>28</v>
      </c>
      <c r="J155" s="7" t="n">
        <v>8</v>
      </c>
      <c r="K155" s="9" t="s">
        <v>826</v>
      </c>
      <c r="L155" s="6" t="s">
        <v>827</v>
      </c>
      <c r="M155" s="6" t="s">
        <v>828</v>
      </c>
      <c r="N155" s="10"/>
      <c r="O155" s="4" t="str">
        <f aca="false">IF(N155="","",LEN(N155))</f>
        <v/>
      </c>
    </row>
    <row r="156" customFormat="false" ht="51.75" hidden="false" customHeight="true" outlineLevel="0" collapsed="false">
      <c r="A156" s="4" t="n">
        <v>155</v>
      </c>
      <c r="B156" s="5" t="n">
        <f aca="false">IF(OR(C156="სხვა მოდელი წერია",I156&gt;=განმარტება!$B$4),1,IF(OR(C156="ცარიელი",I156&gt;=1),2,IF(H156&gt;=განმარტება!$B$5,3,4)))</f>
        <v>2</v>
      </c>
      <c r="C156" s="6" t="s">
        <v>15</v>
      </c>
      <c r="D156" s="6" t="s">
        <v>829</v>
      </c>
      <c r="E156" s="7" t="s">
        <v>830</v>
      </c>
      <c r="F156" s="7" t="n">
        <v>2980</v>
      </c>
      <c r="G156" s="6" t="s">
        <v>831</v>
      </c>
      <c r="H156" s="8" t="n">
        <v>169</v>
      </c>
      <c r="I156" s="8" t="n">
        <v>28</v>
      </c>
      <c r="J156" s="7" t="n">
        <v>4</v>
      </c>
      <c r="K156" s="9" t="s">
        <v>832</v>
      </c>
      <c r="L156" s="6" t="s">
        <v>833</v>
      </c>
      <c r="M156" s="6" t="s">
        <v>834</v>
      </c>
      <c r="N156" s="10"/>
      <c r="O156" s="4" t="str">
        <f aca="false">IF(N156="","",LEN(N156))</f>
        <v/>
      </c>
    </row>
    <row r="157" customFormat="false" ht="51.75" hidden="false" customHeight="true" outlineLevel="0" collapsed="false">
      <c r="A157" s="4" t="n">
        <v>156</v>
      </c>
      <c r="B157" s="5" t="n">
        <f aca="false">IF(OR(C157="სხვა მოდელი წერია",I157&gt;=განმარტება!$B$4),1,IF(OR(C157="ცარიელი",I157&gt;=1),2,IF(H157&gt;=განმარტება!$B$5,3,4)))</f>
        <v>2</v>
      </c>
      <c r="C157" s="6" t="s">
        <v>15</v>
      </c>
      <c r="D157" s="6" t="s">
        <v>835</v>
      </c>
      <c r="E157" s="7" t="s">
        <v>836</v>
      </c>
      <c r="F157" s="7" t="n">
        <v>9188</v>
      </c>
      <c r="G157" s="6" t="s">
        <v>837</v>
      </c>
      <c r="H157" s="8" t="n">
        <v>269</v>
      </c>
      <c r="I157" s="8" t="n">
        <v>27</v>
      </c>
      <c r="J157" s="7" t="n">
        <v>6</v>
      </c>
      <c r="K157" s="9" t="s">
        <v>838</v>
      </c>
      <c r="L157" s="6" t="s">
        <v>839</v>
      </c>
      <c r="M157" s="6" t="s">
        <v>840</v>
      </c>
      <c r="N157" s="10"/>
      <c r="O157" s="4" t="str">
        <f aca="false">IF(N157="","",LEN(N157))</f>
        <v/>
      </c>
    </row>
    <row r="158" customFormat="false" ht="39" hidden="false" customHeight="true" outlineLevel="0" collapsed="false">
      <c r="A158" s="4" t="n">
        <v>157</v>
      </c>
      <c r="B158" s="5" t="n">
        <f aca="false">IF(OR(C158="სხვა მოდელი წერია",I158&gt;=განმარტება!$B$4),1,IF(OR(C158="ცარიელი",I158&gt;=1),2,IF(H158&gt;=განმარტება!$B$5,3,4)))</f>
        <v>2</v>
      </c>
      <c r="C158" s="6" t="s">
        <v>15</v>
      </c>
      <c r="D158" s="6" t="s">
        <v>841</v>
      </c>
      <c r="E158" s="7" t="s">
        <v>842</v>
      </c>
      <c r="F158" s="7" t="n">
        <v>763</v>
      </c>
      <c r="G158" s="6" t="s">
        <v>302</v>
      </c>
      <c r="H158" s="8" t="n">
        <v>898</v>
      </c>
      <c r="I158" s="8" t="n">
        <v>25</v>
      </c>
      <c r="J158" s="7" t="n">
        <v>4</v>
      </c>
      <c r="K158" s="9" t="s">
        <v>843</v>
      </c>
      <c r="L158" s="6" t="s">
        <v>844</v>
      </c>
      <c r="M158" s="6" t="s">
        <v>845</v>
      </c>
      <c r="N158" s="10"/>
      <c r="O158" s="4" t="str">
        <f aca="false">IF(N158="","",LEN(N158))</f>
        <v/>
      </c>
    </row>
    <row r="159" customFormat="false" ht="39" hidden="false" customHeight="true" outlineLevel="0" collapsed="false">
      <c r="A159" s="4" t="n">
        <v>158</v>
      </c>
      <c r="B159" s="5" t="n">
        <f aca="false">IF(OR(C159="სხვა მოდელი წერია",I159&gt;=განმარტება!$B$4),1,IF(OR(C159="ცარიელი",I159&gt;=1),2,IF(H159&gt;=განმარტება!$B$5,3,4)))</f>
        <v>2</v>
      </c>
      <c r="C159" s="6" t="s">
        <v>15</v>
      </c>
      <c r="D159" s="6" t="s">
        <v>846</v>
      </c>
      <c r="E159" s="7" t="s">
        <v>847</v>
      </c>
      <c r="F159" s="7" t="n">
        <v>2122</v>
      </c>
      <c r="G159" s="6" t="s">
        <v>205</v>
      </c>
      <c r="H159" s="8" t="n">
        <v>959</v>
      </c>
      <c r="I159" s="8" t="n">
        <v>24</v>
      </c>
      <c r="J159" s="7" t="n">
        <v>4</v>
      </c>
      <c r="K159" s="9" t="s">
        <v>848</v>
      </c>
      <c r="L159" s="6" t="s">
        <v>849</v>
      </c>
      <c r="M159" s="6" t="s">
        <v>850</v>
      </c>
      <c r="N159" s="10"/>
      <c r="O159" s="4" t="str">
        <f aca="false">IF(N159="","",LEN(N159))</f>
        <v/>
      </c>
    </row>
    <row r="160" customFormat="false" ht="51.75" hidden="false" customHeight="true" outlineLevel="0" collapsed="false">
      <c r="A160" s="4" t="n">
        <v>159</v>
      </c>
      <c r="B160" s="5" t="n">
        <f aca="false">IF(OR(C160="სხვა მოდელი წერია",I160&gt;=განმარტება!$B$4),1,IF(OR(C160="ცარიელი",I160&gt;=1),2,IF(H160&gt;=განმარტება!$B$5,3,4)))</f>
        <v>2</v>
      </c>
      <c r="C160" s="6" t="s">
        <v>15</v>
      </c>
      <c r="D160" s="6" t="s">
        <v>851</v>
      </c>
      <c r="E160" s="7" t="s">
        <v>852</v>
      </c>
      <c r="F160" s="7" t="n">
        <v>2376</v>
      </c>
      <c r="G160" s="6" t="s">
        <v>48</v>
      </c>
      <c r="H160" s="8" t="n">
        <v>1799</v>
      </c>
      <c r="I160" s="8" t="n">
        <v>15</v>
      </c>
      <c r="J160" s="7" t="n">
        <v>4</v>
      </c>
      <c r="K160" s="9" t="s">
        <v>853</v>
      </c>
      <c r="L160" s="6" t="s">
        <v>854</v>
      </c>
      <c r="M160" s="6" t="s">
        <v>855</v>
      </c>
      <c r="N160" s="10"/>
      <c r="O160" s="4" t="str">
        <f aca="false">IF(N160="","",LEN(N160))</f>
        <v/>
      </c>
    </row>
    <row r="161" customFormat="false" ht="39" hidden="false" customHeight="true" outlineLevel="0" collapsed="false">
      <c r="A161" s="4" t="n">
        <v>160</v>
      </c>
      <c r="B161" s="5" t="n">
        <f aca="false">IF(OR(C161="სხვა მოდელი წერია",I161&gt;=განმარტება!$B$4),1,IF(OR(C161="ცარიელი",I161&gt;=1),2,IF(H161&gt;=განმარტება!$B$5,3,4)))</f>
        <v>2</v>
      </c>
      <c r="C161" s="6" t="s">
        <v>15</v>
      </c>
      <c r="D161" s="6" t="s">
        <v>856</v>
      </c>
      <c r="E161" s="7" t="s">
        <v>857</v>
      </c>
      <c r="F161" s="7" t="n">
        <v>1504</v>
      </c>
      <c r="G161" s="6" t="s">
        <v>858</v>
      </c>
      <c r="H161" s="8" t="n">
        <v>1995</v>
      </c>
      <c r="I161" s="8" t="n">
        <v>14</v>
      </c>
      <c r="J161" s="7" t="n">
        <v>4</v>
      </c>
      <c r="K161" s="9" t="s">
        <v>859</v>
      </c>
      <c r="L161" s="6" t="s">
        <v>860</v>
      </c>
      <c r="M161" s="6" t="s">
        <v>861</v>
      </c>
      <c r="N161" s="10"/>
      <c r="O161" s="4" t="str">
        <f aca="false">IF(N161="","",LEN(N161))</f>
        <v/>
      </c>
    </row>
    <row r="162" customFormat="false" ht="51.75" hidden="false" customHeight="true" outlineLevel="0" collapsed="false">
      <c r="A162" s="4" t="n">
        <v>161</v>
      </c>
      <c r="B162" s="5" t="n">
        <f aca="false">IF(OR(C162="სხვა მოდელი წერია",I162&gt;=განმარტება!$B$4),1,IF(OR(C162="ცარიელი",I162&gt;=1),2,IF(H162&gt;=განმარტება!$B$5,3,4)))</f>
        <v>2</v>
      </c>
      <c r="C162" s="6" t="s">
        <v>15</v>
      </c>
      <c r="D162" s="6" t="s">
        <v>862</v>
      </c>
      <c r="E162" s="7" t="s">
        <v>863</v>
      </c>
      <c r="F162" s="7" t="n">
        <v>143</v>
      </c>
      <c r="G162" s="6" t="s">
        <v>30</v>
      </c>
      <c r="H162" s="8" t="n">
        <v>378</v>
      </c>
      <c r="I162" s="8" t="n">
        <v>7</v>
      </c>
      <c r="J162" s="7" t="n">
        <v>4</v>
      </c>
      <c r="K162" s="9" t="s">
        <v>864</v>
      </c>
      <c r="L162" s="6" t="s">
        <v>865</v>
      </c>
      <c r="M162" s="6" t="s">
        <v>866</v>
      </c>
      <c r="N162" s="10"/>
      <c r="O162" s="4" t="str">
        <f aca="false">IF(N162="","",LEN(N162))</f>
        <v/>
      </c>
    </row>
    <row r="163" customFormat="false" ht="39" hidden="false" customHeight="true" outlineLevel="0" collapsed="false">
      <c r="A163" s="4" t="n">
        <v>162</v>
      </c>
      <c r="B163" s="5" t="n">
        <f aca="false">IF(OR(C163="სხვა მოდელი წერია",I163&gt;=განმარტება!$B$4),1,IF(OR(C163="ცარიელი",I163&gt;=1),2,IF(H163&gt;=განმარტება!$B$5,3,4)))</f>
        <v>2</v>
      </c>
      <c r="C163" s="6" t="s">
        <v>15</v>
      </c>
      <c r="D163" s="6" t="s">
        <v>867</v>
      </c>
      <c r="E163" s="7" t="s">
        <v>868</v>
      </c>
      <c r="F163" s="7" t="n">
        <v>757</v>
      </c>
      <c r="G163" s="6" t="s">
        <v>302</v>
      </c>
      <c r="H163" s="8" t="n">
        <v>3050</v>
      </c>
      <c r="I163" s="8" t="n">
        <v>5</v>
      </c>
      <c r="J163" s="7" t="n">
        <v>4</v>
      </c>
      <c r="K163" s="9" t="s">
        <v>869</v>
      </c>
      <c r="L163" s="6" t="s">
        <v>870</v>
      </c>
      <c r="M163" s="6" t="s">
        <v>871</v>
      </c>
      <c r="N163" s="10"/>
      <c r="O163" s="4" t="str">
        <f aca="false">IF(N163="","",LEN(N163))</f>
        <v/>
      </c>
    </row>
    <row r="164" customFormat="false" ht="39" hidden="false" customHeight="true" outlineLevel="0" collapsed="false">
      <c r="A164" s="4" t="n">
        <v>163</v>
      </c>
      <c r="B164" s="5" t="n">
        <f aca="false">IF(OR(C164="სხვა მოდელი წერია",I164&gt;=განმარტება!$B$4),1,IF(OR(C164="ცარიელი",I164&gt;=1),2,IF(H164&gt;=განმარტება!$B$5,3,4)))</f>
        <v>2</v>
      </c>
      <c r="C164" s="6" t="s">
        <v>872</v>
      </c>
      <c r="D164" s="6" t="s">
        <v>873</v>
      </c>
      <c r="E164" s="7" t="s">
        <v>874</v>
      </c>
      <c r="F164" s="7" t="n">
        <v>8523</v>
      </c>
      <c r="G164" s="6" t="s">
        <v>112</v>
      </c>
      <c r="H164" s="8" t="n">
        <v>3930</v>
      </c>
      <c r="I164" s="8" t="n">
        <v>0</v>
      </c>
      <c r="J164" s="7" t="n">
        <v>0</v>
      </c>
      <c r="K164" s="9" t="s">
        <v>875</v>
      </c>
      <c r="L164" s="6"/>
      <c r="M164" s="6" t="s">
        <v>876</v>
      </c>
      <c r="N164" s="10"/>
      <c r="O164" s="4" t="str">
        <f aca="false">IF(N164="","",LEN(N164))</f>
        <v/>
      </c>
    </row>
    <row r="165" customFormat="false" ht="26.25" hidden="false" customHeight="true" outlineLevel="0" collapsed="false">
      <c r="A165" s="4" t="n">
        <v>164</v>
      </c>
      <c r="B165" s="5" t="n">
        <f aca="false">IF(OR(C165="სხვა მოდელი წერია",I165&gt;=განმარტება!$B$4),1,IF(OR(C165="ცარიელი",I165&gt;=1),2,IF(H165&gt;=განმარტება!$B$5,3,4)))</f>
        <v>2</v>
      </c>
      <c r="C165" s="6" t="s">
        <v>872</v>
      </c>
      <c r="D165" s="6" t="s">
        <v>877</v>
      </c>
      <c r="E165" s="7" t="s">
        <v>878</v>
      </c>
      <c r="F165" s="7" t="n">
        <v>14040</v>
      </c>
      <c r="G165" s="6" t="s">
        <v>879</v>
      </c>
      <c r="H165" s="8" t="n">
        <v>3719</v>
      </c>
      <c r="I165" s="8" t="n">
        <v>0</v>
      </c>
      <c r="J165" s="7" t="n">
        <v>0</v>
      </c>
      <c r="K165" s="9" t="s">
        <v>880</v>
      </c>
      <c r="L165" s="6"/>
      <c r="M165" s="6" t="s">
        <v>881</v>
      </c>
      <c r="N165" s="10"/>
      <c r="O165" s="4" t="str">
        <f aca="false">IF(N165="","",LEN(N165))</f>
        <v/>
      </c>
    </row>
    <row r="166" customFormat="false" ht="39" hidden="false" customHeight="true" outlineLevel="0" collapsed="false">
      <c r="A166" s="4" t="n">
        <v>165</v>
      </c>
      <c r="B166" s="5" t="n">
        <f aca="false">IF(OR(C166="სხვა მოდელი წერია",I166&gt;=განმარტება!$B$4),1,IF(OR(C166="ცარიელი",I166&gt;=1),2,IF(H166&gt;=განმარტება!$B$5,3,4)))</f>
        <v>2</v>
      </c>
      <c r="C166" s="6" t="s">
        <v>872</v>
      </c>
      <c r="D166" s="6" t="s">
        <v>882</v>
      </c>
      <c r="E166" s="7" t="s">
        <v>883</v>
      </c>
      <c r="F166" s="7" t="n">
        <v>13022</v>
      </c>
      <c r="G166" s="6" t="s">
        <v>205</v>
      </c>
      <c r="H166" s="8" t="n">
        <v>1825</v>
      </c>
      <c r="I166" s="8" t="n">
        <v>0</v>
      </c>
      <c r="J166" s="7" t="n">
        <v>0</v>
      </c>
      <c r="K166" s="9" t="s">
        <v>884</v>
      </c>
      <c r="L166" s="6"/>
      <c r="M166" s="6" t="s">
        <v>885</v>
      </c>
      <c r="N166" s="10"/>
      <c r="O166" s="4" t="str">
        <f aca="false">IF(N166="","",LEN(N166))</f>
        <v/>
      </c>
    </row>
    <row r="167" customFormat="false" ht="39" hidden="false" customHeight="true" outlineLevel="0" collapsed="false">
      <c r="A167" s="4" t="n">
        <v>166</v>
      </c>
      <c r="B167" s="5" t="n">
        <f aca="false">IF(OR(C167="სხვა მოდელი წერია",I167&gt;=განმარტება!$B$4),1,IF(OR(C167="ცარიელი",I167&gt;=1),2,IF(H167&gt;=განმარტება!$B$5,3,4)))</f>
        <v>2</v>
      </c>
      <c r="C167" s="6" t="s">
        <v>872</v>
      </c>
      <c r="D167" s="6" t="s">
        <v>886</v>
      </c>
      <c r="E167" s="7" t="s">
        <v>887</v>
      </c>
      <c r="F167" s="7" t="n">
        <v>13921</v>
      </c>
      <c r="G167" s="6" t="s">
        <v>402</v>
      </c>
      <c r="H167" s="8" t="n">
        <v>579</v>
      </c>
      <c r="I167" s="8" t="n">
        <v>0</v>
      </c>
      <c r="J167" s="7" t="n">
        <v>0</v>
      </c>
      <c r="K167" s="9" t="s">
        <v>888</v>
      </c>
      <c r="L167" s="6"/>
      <c r="M167" s="6" t="s">
        <v>889</v>
      </c>
      <c r="N167" s="10"/>
      <c r="O167" s="4" t="str">
        <f aca="false">IF(N167="","",LEN(N167))</f>
        <v/>
      </c>
    </row>
    <row r="168" customFormat="false" ht="39" hidden="false" customHeight="true" outlineLevel="0" collapsed="false">
      <c r="A168" s="4" t="n">
        <v>167</v>
      </c>
      <c r="B168" s="5" t="n">
        <f aca="false">IF(OR(C168="სხვა მოდელი წერია",I168&gt;=განმარტება!$B$4),1,IF(OR(C168="ცარიელი",I168&gt;=1),2,IF(H168&gt;=განმარტება!$B$5,3,4)))</f>
        <v>3</v>
      </c>
      <c r="C168" s="6" t="s">
        <v>15</v>
      </c>
      <c r="D168" s="6" t="s">
        <v>890</v>
      </c>
      <c r="E168" s="7" t="s">
        <v>891</v>
      </c>
      <c r="F168" s="7" t="n">
        <v>1513</v>
      </c>
      <c r="G168" s="6" t="s">
        <v>858</v>
      </c>
      <c r="H168" s="8" t="n">
        <v>9490</v>
      </c>
      <c r="I168" s="8" t="n">
        <v>0</v>
      </c>
      <c r="J168" s="7" t="n">
        <v>0</v>
      </c>
      <c r="K168" s="9" t="s">
        <v>892</v>
      </c>
      <c r="L168" s="6" t="s">
        <v>893</v>
      </c>
      <c r="M168" s="6" t="s">
        <v>894</v>
      </c>
      <c r="N168" s="10"/>
      <c r="O168" s="4" t="str">
        <f aca="false">IF(N168="","",LEN(N168))</f>
        <v/>
      </c>
    </row>
    <row r="169" customFormat="false" ht="39" hidden="false" customHeight="true" outlineLevel="0" collapsed="false">
      <c r="A169" s="4" t="n">
        <v>168</v>
      </c>
      <c r="B169" s="5" t="n">
        <f aca="false">IF(OR(C169="სხვა მოდელი წერია",I169&gt;=განმარტება!$B$4),1,IF(OR(C169="ცარიელი",I169&gt;=1),2,IF(H169&gt;=განმარტება!$B$5,3,4)))</f>
        <v>3</v>
      </c>
      <c r="C169" s="6" t="s">
        <v>15</v>
      </c>
      <c r="D169" s="6" t="s">
        <v>895</v>
      </c>
      <c r="E169" s="7" t="s">
        <v>896</v>
      </c>
      <c r="F169" s="7" t="n">
        <v>3774</v>
      </c>
      <c r="G169" s="6" t="s">
        <v>118</v>
      </c>
      <c r="H169" s="8" t="n">
        <v>8499</v>
      </c>
      <c r="I169" s="8" t="n">
        <v>0</v>
      </c>
      <c r="J169" s="7" t="n">
        <v>0</v>
      </c>
      <c r="K169" s="9" t="s">
        <v>897</v>
      </c>
      <c r="L169" s="6" t="s">
        <v>898</v>
      </c>
      <c r="M169" s="6" t="s">
        <v>899</v>
      </c>
      <c r="N169" s="10"/>
      <c r="O169" s="4" t="str">
        <f aca="false">IF(N169="","",LEN(N169))</f>
        <v/>
      </c>
    </row>
    <row r="170" customFormat="false" ht="39" hidden="false" customHeight="true" outlineLevel="0" collapsed="false">
      <c r="A170" s="4" t="n">
        <v>169</v>
      </c>
      <c r="B170" s="5" t="n">
        <f aca="false">IF(OR(C170="სხვა მოდელი წერია",I170&gt;=განმარტება!$B$4),1,IF(OR(C170="ცარიელი",I170&gt;=1),2,IF(H170&gt;=განმარტება!$B$5,3,4)))</f>
        <v>3</v>
      </c>
      <c r="C170" s="6" t="s">
        <v>15</v>
      </c>
      <c r="D170" s="6" t="s">
        <v>900</v>
      </c>
      <c r="E170" s="7" t="s">
        <v>901</v>
      </c>
      <c r="F170" s="7" t="n">
        <v>3019</v>
      </c>
      <c r="G170" s="6" t="s">
        <v>24</v>
      </c>
      <c r="H170" s="8" t="n">
        <v>6499</v>
      </c>
      <c r="I170" s="8" t="n">
        <v>0</v>
      </c>
      <c r="J170" s="7" t="n">
        <v>0</v>
      </c>
      <c r="K170" s="9" t="s">
        <v>902</v>
      </c>
      <c r="L170" s="6" t="s">
        <v>903</v>
      </c>
      <c r="M170" s="6" t="s">
        <v>904</v>
      </c>
      <c r="N170" s="10"/>
      <c r="O170" s="4" t="str">
        <f aca="false">IF(N170="","",LEN(N170))</f>
        <v/>
      </c>
    </row>
    <row r="171" customFormat="false" ht="39" hidden="false" customHeight="true" outlineLevel="0" collapsed="false">
      <c r="A171" s="4" t="n">
        <v>170</v>
      </c>
      <c r="B171" s="5" t="n">
        <f aca="false">IF(OR(C171="სხვა მოდელი წერია",I171&gt;=განმარტება!$B$4),1,IF(OR(C171="ცარიელი",I171&gt;=1),2,IF(H171&gt;=განმარტება!$B$5,3,4)))</f>
        <v>3</v>
      </c>
      <c r="C171" s="6" t="s">
        <v>15</v>
      </c>
      <c r="D171" s="6" t="s">
        <v>905</v>
      </c>
      <c r="E171" s="7" t="s">
        <v>906</v>
      </c>
      <c r="F171" s="7" t="n">
        <v>1512</v>
      </c>
      <c r="G171" s="6" t="s">
        <v>858</v>
      </c>
      <c r="H171" s="8" t="n">
        <v>6490</v>
      </c>
      <c r="I171" s="8" t="n">
        <v>0</v>
      </c>
      <c r="J171" s="7" t="n">
        <v>0</v>
      </c>
      <c r="K171" s="9" t="s">
        <v>907</v>
      </c>
      <c r="L171" s="6" t="s">
        <v>908</v>
      </c>
      <c r="M171" s="6" t="s">
        <v>909</v>
      </c>
      <c r="N171" s="10"/>
      <c r="O171" s="4" t="str">
        <f aca="false">IF(N171="","",LEN(N171))</f>
        <v/>
      </c>
    </row>
    <row r="172" customFormat="false" ht="39" hidden="false" customHeight="true" outlineLevel="0" collapsed="false">
      <c r="A172" s="4" t="n">
        <v>171</v>
      </c>
      <c r="B172" s="5" t="n">
        <f aca="false">IF(OR(C172="სხვა მოდელი წერია",I172&gt;=განმარტება!$B$4),1,IF(OR(C172="ცარიელი",I172&gt;=1),2,IF(H172&gt;=განმარტება!$B$5,3,4)))</f>
        <v>3</v>
      </c>
      <c r="C172" s="6" t="s">
        <v>15</v>
      </c>
      <c r="D172" s="6" t="s">
        <v>910</v>
      </c>
      <c r="E172" s="7" t="s">
        <v>911</v>
      </c>
      <c r="F172" s="7" t="n">
        <v>1069</v>
      </c>
      <c r="G172" s="6" t="s">
        <v>112</v>
      </c>
      <c r="H172" s="8" t="n">
        <v>5870</v>
      </c>
      <c r="I172" s="8" t="n">
        <v>0</v>
      </c>
      <c r="J172" s="7" t="n">
        <v>0</v>
      </c>
      <c r="K172" s="9" t="s">
        <v>912</v>
      </c>
      <c r="L172" s="6" t="s">
        <v>913</v>
      </c>
      <c r="M172" s="6" t="s">
        <v>914</v>
      </c>
      <c r="N172" s="10"/>
      <c r="O172" s="4" t="str">
        <f aca="false">IF(N172="","",LEN(N172))</f>
        <v/>
      </c>
    </row>
    <row r="173" customFormat="false" ht="39" hidden="false" customHeight="true" outlineLevel="0" collapsed="false">
      <c r="A173" s="4" t="n">
        <v>172</v>
      </c>
      <c r="B173" s="5" t="n">
        <f aca="false">IF(OR(C173="სხვა მოდელი წერია",I173&gt;=განმარტება!$B$4),1,IF(OR(C173="ცარიელი",I173&gt;=1),2,IF(H173&gt;=განმარტება!$B$5,3,4)))</f>
        <v>3</v>
      </c>
      <c r="C173" s="6" t="s">
        <v>15</v>
      </c>
      <c r="D173" s="6" t="s">
        <v>915</v>
      </c>
      <c r="E173" s="7" t="s">
        <v>916</v>
      </c>
      <c r="F173" s="7" t="n">
        <v>3782</v>
      </c>
      <c r="G173" s="6" t="s">
        <v>118</v>
      </c>
      <c r="H173" s="8" t="n">
        <v>5745</v>
      </c>
      <c r="I173" s="8" t="n">
        <v>0</v>
      </c>
      <c r="J173" s="7" t="n">
        <v>0</v>
      </c>
      <c r="K173" s="9" t="s">
        <v>917</v>
      </c>
      <c r="L173" s="6" t="s">
        <v>918</v>
      </c>
      <c r="M173" s="6" t="s">
        <v>919</v>
      </c>
      <c r="N173" s="10"/>
      <c r="O173" s="4" t="str">
        <f aca="false">IF(N173="","",LEN(N173))</f>
        <v/>
      </c>
    </row>
    <row r="174" customFormat="false" ht="39" hidden="false" customHeight="true" outlineLevel="0" collapsed="false">
      <c r="A174" s="4" t="n">
        <v>173</v>
      </c>
      <c r="B174" s="5" t="n">
        <f aca="false">IF(OR(C174="სხვა მოდელი წერია",I174&gt;=განმარტება!$B$4),1,IF(OR(C174="ცარიელი",I174&gt;=1),2,IF(H174&gt;=განმარტება!$B$5,3,4)))</f>
        <v>3</v>
      </c>
      <c r="C174" s="6" t="s">
        <v>15</v>
      </c>
      <c r="D174" s="6" t="s">
        <v>920</v>
      </c>
      <c r="E174" s="7" t="s">
        <v>921</v>
      </c>
      <c r="F174" s="7" t="n">
        <v>1072</v>
      </c>
      <c r="G174" s="6" t="s">
        <v>112</v>
      </c>
      <c r="H174" s="8" t="n">
        <v>5700</v>
      </c>
      <c r="I174" s="8" t="n">
        <v>0</v>
      </c>
      <c r="J174" s="7" t="n">
        <v>0</v>
      </c>
      <c r="K174" s="9" t="s">
        <v>922</v>
      </c>
      <c r="L174" s="6" t="s">
        <v>923</v>
      </c>
      <c r="M174" s="6" t="s">
        <v>924</v>
      </c>
      <c r="N174" s="10"/>
      <c r="O174" s="4" t="str">
        <f aca="false">IF(N174="","",LEN(N174))</f>
        <v/>
      </c>
    </row>
    <row r="175" customFormat="false" ht="39" hidden="false" customHeight="true" outlineLevel="0" collapsed="false">
      <c r="A175" s="4" t="n">
        <v>174</v>
      </c>
      <c r="B175" s="5" t="n">
        <f aca="false">IF(OR(C175="სხვა მოდელი წერია",I175&gt;=განმარტება!$B$4),1,IF(OR(C175="ცარიელი",I175&gt;=1),2,IF(H175&gt;=განმარტება!$B$5,3,4)))</f>
        <v>3</v>
      </c>
      <c r="C175" s="6" t="s">
        <v>15</v>
      </c>
      <c r="D175" s="6" t="s">
        <v>925</v>
      </c>
      <c r="E175" s="7" t="s">
        <v>926</v>
      </c>
      <c r="F175" s="7" t="n">
        <v>3772</v>
      </c>
      <c r="G175" s="6" t="s">
        <v>118</v>
      </c>
      <c r="H175" s="8" t="n">
        <v>5359</v>
      </c>
      <c r="I175" s="8" t="n">
        <v>0</v>
      </c>
      <c r="J175" s="7" t="n">
        <v>0</v>
      </c>
      <c r="K175" s="9" t="s">
        <v>927</v>
      </c>
      <c r="L175" s="6" t="s">
        <v>928</v>
      </c>
      <c r="M175" s="6" t="s">
        <v>929</v>
      </c>
      <c r="N175" s="10"/>
      <c r="O175" s="4" t="str">
        <f aca="false">IF(N175="","",LEN(N175))</f>
        <v/>
      </c>
    </row>
    <row r="176" customFormat="false" ht="39" hidden="false" customHeight="true" outlineLevel="0" collapsed="false">
      <c r="A176" s="4" t="n">
        <v>175</v>
      </c>
      <c r="B176" s="5" t="n">
        <f aca="false">IF(OR(C176="სხვა მოდელი წერია",I176&gt;=განმარტება!$B$4),1,IF(OR(C176="ცარიელი",I176&gt;=1),2,IF(H176&gt;=განმარტება!$B$5,3,4)))</f>
        <v>3</v>
      </c>
      <c r="C176" s="6" t="s">
        <v>15</v>
      </c>
      <c r="D176" s="6" t="s">
        <v>930</v>
      </c>
      <c r="E176" s="7" t="s">
        <v>931</v>
      </c>
      <c r="F176" s="7" t="n">
        <v>2763</v>
      </c>
      <c r="G176" s="6" t="s">
        <v>112</v>
      </c>
      <c r="H176" s="8" t="n">
        <v>5299</v>
      </c>
      <c r="I176" s="8" t="n">
        <v>0</v>
      </c>
      <c r="J176" s="7" t="n">
        <v>0</v>
      </c>
      <c r="K176" s="9" t="s">
        <v>932</v>
      </c>
      <c r="L176" s="6" t="s">
        <v>933</v>
      </c>
      <c r="M176" s="6" t="s">
        <v>934</v>
      </c>
      <c r="N176" s="10"/>
      <c r="O176" s="4" t="str">
        <f aca="false">IF(N176="","",LEN(N176))</f>
        <v/>
      </c>
    </row>
    <row r="177" customFormat="false" ht="51.75" hidden="false" customHeight="true" outlineLevel="0" collapsed="false">
      <c r="A177" s="4" t="n">
        <v>176</v>
      </c>
      <c r="B177" s="5" t="n">
        <f aca="false">IF(OR(C177="სხვა მოდელი წერია",I177&gt;=განმარტება!$B$4),1,IF(OR(C177="ცარიელი",I177&gt;=1),2,IF(H177&gt;=განმარტება!$B$5,3,4)))</f>
        <v>3</v>
      </c>
      <c r="C177" s="6" t="s">
        <v>15</v>
      </c>
      <c r="D177" s="6" t="s">
        <v>935</v>
      </c>
      <c r="E177" s="7" t="s">
        <v>936</v>
      </c>
      <c r="F177" s="7" t="n">
        <v>14029</v>
      </c>
      <c r="G177" s="6" t="s">
        <v>473</v>
      </c>
      <c r="H177" s="8" t="n">
        <v>5252</v>
      </c>
      <c r="I177" s="8" t="n">
        <v>0</v>
      </c>
      <c r="J177" s="7" t="n">
        <v>0</v>
      </c>
      <c r="K177" s="9" t="s">
        <v>937</v>
      </c>
      <c r="L177" s="6" t="s">
        <v>938</v>
      </c>
      <c r="M177" s="6" t="s">
        <v>939</v>
      </c>
      <c r="N177" s="10"/>
      <c r="O177" s="4" t="str">
        <f aca="false">IF(N177="","",LEN(N177))</f>
        <v/>
      </c>
    </row>
    <row r="178" customFormat="false" ht="39" hidden="false" customHeight="true" outlineLevel="0" collapsed="false">
      <c r="A178" s="4" t="n">
        <v>177</v>
      </c>
      <c r="B178" s="5" t="n">
        <f aca="false">IF(OR(C178="სხვა მოდელი წერია",I178&gt;=განმარტება!$B$4),1,IF(OR(C178="ცარიელი",I178&gt;=1),2,IF(H178&gt;=განმარტება!$B$5,3,4)))</f>
        <v>3</v>
      </c>
      <c r="C178" s="6" t="s">
        <v>15</v>
      </c>
      <c r="D178" s="6" t="s">
        <v>940</v>
      </c>
      <c r="E178" s="7" t="s">
        <v>941</v>
      </c>
      <c r="F178" s="7" t="n">
        <v>2438</v>
      </c>
      <c r="G178" s="6" t="s">
        <v>205</v>
      </c>
      <c r="H178" s="8" t="n">
        <v>5219</v>
      </c>
      <c r="I178" s="8" t="n">
        <v>0</v>
      </c>
      <c r="J178" s="7" t="n">
        <v>0</v>
      </c>
      <c r="K178" s="9" t="s">
        <v>942</v>
      </c>
      <c r="L178" s="6" t="s">
        <v>943</v>
      </c>
      <c r="M178" s="6" t="s">
        <v>944</v>
      </c>
      <c r="N178" s="10"/>
      <c r="O178" s="4" t="str">
        <f aca="false">IF(N178="","",LEN(N178))</f>
        <v/>
      </c>
    </row>
    <row r="179" customFormat="false" ht="39" hidden="false" customHeight="true" outlineLevel="0" collapsed="false">
      <c r="A179" s="4" t="n">
        <v>178</v>
      </c>
      <c r="B179" s="5" t="n">
        <f aca="false">IF(OR(C179="სხვა მოდელი წერია",I179&gt;=განმარტება!$B$4),1,IF(OR(C179="ცარიელი",I179&gt;=1),2,IF(H179&gt;=განმარტება!$B$5,3,4)))</f>
        <v>3</v>
      </c>
      <c r="C179" s="6" t="s">
        <v>15</v>
      </c>
      <c r="D179" s="6" t="s">
        <v>945</v>
      </c>
      <c r="E179" s="7" t="s">
        <v>946</v>
      </c>
      <c r="F179" s="7" t="n">
        <v>611</v>
      </c>
      <c r="G179" s="6" t="s">
        <v>24</v>
      </c>
      <c r="H179" s="8" t="n">
        <v>5199</v>
      </c>
      <c r="I179" s="8" t="n">
        <v>0</v>
      </c>
      <c r="J179" s="7" t="n">
        <v>0</v>
      </c>
      <c r="K179" s="9" t="s">
        <v>947</v>
      </c>
      <c r="L179" s="6" t="s">
        <v>948</v>
      </c>
      <c r="M179" s="6" t="s">
        <v>949</v>
      </c>
      <c r="N179" s="10"/>
      <c r="O179" s="4" t="str">
        <f aca="false">IF(N179="","",LEN(N179))</f>
        <v/>
      </c>
    </row>
    <row r="180" customFormat="false" ht="39" hidden="false" customHeight="true" outlineLevel="0" collapsed="false">
      <c r="A180" s="4" t="n">
        <v>179</v>
      </c>
      <c r="B180" s="5" t="n">
        <f aca="false">IF(OR(C180="სხვა მოდელი წერია",I180&gt;=განმარტება!$B$4),1,IF(OR(C180="ცარიელი",I180&gt;=1),2,IF(H180&gt;=განმარტება!$B$5,3,4)))</f>
        <v>3</v>
      </c>
      <c r="C180" s="6" t="s">
        <v>15</v>
      </c>
      <c r="D180" s="6" t="s">
        <v>950</v>
      </c>
      <c r="E180" s="7" t="s">
        <v>951</v>
      </c>
      <c r="F180" s="7" t="n">
        <v>3132</v>
      </c>
      <c r="G180" s="6" t="s">
        <v>24</v>
      </c>
      <c r="H180" s="8" t="n">
        <v>5199</v>
      </c>
      <c r="I180" s="8" t="n">
        <v>0</v>
      </c>
      <c r="J180" s="7" t="n">
        <v>0</v>
      </c>
      <c r="K180" s="9" t="s">
        <v>952</v>
      </c>
      <c r="L180" s="6" t="s">
        <v>953</v>
      </c>
      <c r="M180" s="6" t="s">
        <v>954</v>
      </c>
      <c r="N180" s="10"/>
      <c r="O180" s="4" t="str">
        <f aca="false">IF(N180="","",LEN(N180))</f>
        <v/>
      </c>
    </row>
    <row r="181" customFormat="false" ht="39" hidden="false" customHeight="true" outlineLevel="0" collapsed="false">
      <c r="A181" s="4" t="n">
        <v>180</v>
      </c>
      <c r="B181" s="5" t="n">
        <f aca="false">IF(OR(C181="სხვა მოდელი წერია",I181&gt;=განმარტება!$B$4),1,IF(OR(C181="ცარიელი",I181&gt;=1),2,IF(H181&gt;=განმარტება!$B$5,3,4)))</f>
        <v>3</v>
      </c>
      <c r="C181" s="6" t="s">
        <v>15</v>
      </c>
      <c r="D181" s="6" t="s">
        <v>955</v>
      </c>
      <c r="E181" s="7" t="s">
        <v>956</v>
      </c>
      <c r="F181" s="7" t="n">
        <v>1510</v>
      </c>
      <c r="G181" s="6" t="s">
        <v>858</v>
      </c>
      <c r="H181" s="8" t="n">
        <v>5190</v>
      </c>
      <c r="I181" s="8" t="n">
        <v>0</v>
      </c>
      <c r="J181" s="7" t="n">
        <v>0</v>
      </c>
      <c r="K181" s="9" t="s">
        <v>957</v>
      </c>
      <c r="L181" s="6" t="s">
        <v>958</v>
      </c>
      <c r="M181" s="6" t="s">
        <v>959</v>
      </c>
      <c r="N181" s="10"/>
      <c r="O181" s="4" t="str">
        <f aca="false">IF(N181="","",LEN(N181))</f>
        <v/>
      </c>
    </row>
    <row r="182" customFormat="false" ht="51.75" hidden="false" customHeight="true" outlineLevel="0" collapsed="false">
      <c r="A182" s="4" t="n">
        <v>181</v>
      </c>
      <c r="B182" s="5" t="n">
        <f aca="false">IF(OR(C182="სხვა მოდელი წერია",I182&gt;=განმარტება!$B$4),1,IF(OR(C182="ცარიელი",I182&gt;=1),2,IF(H182&gt;=განმარტება!$B$5,3,4)))</f>
        <v>3</v>
      </c>
      <c r="C182" s="6" t="s">
        <v>15</v>
      </c>
      <c r="D182" s="6" t="s">
        <v>960</v>
      </c>
      <c r="E182" s="7" t="s">
        <v>961</v>
      </c>
      <c r="F182" s="7" t="n">
        <v>14031</v>
      </c>
      <c r="G182" s="6" t="s">
        <v>473</v>
      </c>
      <c r="H182" s="8" t="n">
        <v>5104</v>
      </c>
      <c r="I182" s="8" t="n">
        <v>0</v>
      </c>
      <c r="J182" s="7" t="n">
        <v>0</v>
      </c>
      <c r="K182" s="9" t="s">
        <v>962</v>
      </c>
      <c r="L182" s="6" t="s">
        <v>963</v>
      </c>
      <c r="M182" s="6" t="s">
        <v>964</v>
      </c>
      <c r="N182" s="10"/>
      <c r="O182" s="4" t="str">
        <f aca="false">IF(N182="","",LEN(N182))</f>
        <v/>
      </c>
    </row>
    <row r="183" customFormat="false" ht="64.5" hidden="false" customHeight="true" outlineLevel="0" collapsed="false">
      <c r="A183" s="4" t="n">
        <v>182</v>
      </c>
      <c r="B183" s="5" t="n">
        <f aca="false">IF(OR(C183="სხვა მოდელი წერია",I183&gt;=განმარტება!$B$4),1,IF(OR(C183="ცარიელი",I183&gt;=1),2,IF(H183&gt;=განმარტება!$B$5,3,4)))</f>
        <v>3</v>
      </c>
      <c r="C183" s="6" t="s">
        <v>316</v>
      </c>
      <c r="D183" s="6" t="s">
        <v>965</v>
      </c>
      <c r="E183" s="7" t="s">
        <v>966</v>
      </c>
      <c r="F183" s="7" t="n">
        <v>3254</v>
      </c>
      <c r="G183" s="6" t="s">
        <v>95</v>
      </c>
      <c r="H183" s="8" t="n">
        <v>4999</v>
      </c>
      <c r="I183" s="8" t="n">
        <v>0</v>
      </c>
      <c r="J183" s="7" t="n">
        <v>0</v>
      </c>
      <c r="K183" s="9" t="s">
        <v>967</v>
      </c>
      <c r="L183" s="6" t="s">
        <v>968</v>
      </c>
      <c r="M183" s="6" t="s">
        <v>969</v>
      </c>
      <c r="N183" s="10"/>
      <c r="O183" s="4" t="str">
        <f aca="false">IF(N183="","",LEN(N183))</f>
        <v/>
      </c>
    </row>
    <row r="184" customFormat="false" ht="64.5" hidden="false" customHeight="true" outlineLevel="0" collapsed="false">
      <c r="A184" s="4" t="n">
        <v>183</v>
      </c>
      <c r="B184" s="5" t="n">
        <f aca="false">IF(OR(C184="სხვა მოდელი წერია",I184&gt;=განმარტება!$B$4),1,IF(OR(C184="ცარიელი",I184&gt;=1),2,IF(H184&gt;=განმარტება!$B$5,3,4)))</f>
        <v>3</v>
      </c>
      <c r="C184" s="6" t="s">
        <v>316</v>
      </c>
      <c r="D184" s="6" t="s">
        <v>970</v>
      </c>
      <c r="E184" s="7" t="s">
        <v>971</v>
      </c>
      <c r="F184" s="7" t="n">
        <v>3217</v>
      </c>
      <c r="G184" s="6" t="s">
        <v>95</v>
      </c>
      <c r="H184" s="8" t="n">
        <v>4959</v>
      </c>
      <c r="I184" s="8" t="n">
        <v>0</v>
      </c>
      <c r="J184" s="7" t="n">
        <v>0</v>
      </c>
      <c r="K184" s="9" t="s">
        <v>972</v>
      </c>
      <c r="L184" s="6" t="s">
        <v>973</v>
      </c>
      <c r="M184" s="6" t="s">
        <v>974</v>
      </c>
      <c r="N184" s="10"/>
      <c r="O184" s="4" t="str">
        <f aca="false">IF(N184="","",LEN(N184))</f>
        <v/>
      </c>
    </row>
    <row r="185" customFormat="false" ht="39" hidden="false" customHeight="true" outlineLevel="0" collapsed="false">
      <c r="A185" s="4" t="n">
        <v>184</v>
      </c>
      <c r="B185" s="5" t="n">
        <f aca="false">IF(OR(C185="სხვა მოდელი წერია",I185&gt;=განმარტება!$B$4),1,IF(OR(C185="ცარიელი",I185&gt;=1),2,IF(H185&gt;=განმარტება!$B$5,3,4)))</f>
        <v>3</v>
      </c>
      <c r="C185" s="6" t="s">
        <v>15</v>
      </c>
      <c r="D185" s="6" t="s">
        <v>975</v>
      </c>
      <c r="E185" s="7" t="s">
        <v>976</v>
      </c>
      <c r="F185" s="7" t="n">
        <v>1064</v>
      </c>
      <c r="G185" s="6" t="s">
        <v>112</v>
      </c>
      <c r="H185" s="8" t="n">
        <v>4920</v>
      </c>
      <c r="I185" s="8" t="n">
        <v>0</v>
      </c>
      <c r="J185" s="7" t="n">
        <v>0</v>
      </c>
      <c r="K185" s="9" t="s">
        <v>977</v>
      </c>
      <c r="L185" s="6" t="s">
        <v>978</v>
      </c>
      <c r="M185" s="6" t="s">
        <v>979</v>
      </c>
      <c r="N185" s="10"/>
      <c r="O185" s="4" t="str">
        <f aca="false">IF(N185="","",LEN(N185))</f>
        <v/>
      </c>
    </row>
    <row r="186" customFormat="false" ht="51.75" hidden="false" customHeight="true" outlineLevel="0" collapsed="false">
      <c r="A186" s="4" t="n">
        <v>185</v>
      </c>
      <c r="B186" s="5" t="n">
        <f aca="false">IF(OR(C186="სხვა მოდელი წერია",I186&gt;=განმარტება!$B$4),1,IF(OR(C186="ცარიელი",I186&gt;=1),2,IF(H186&gt;=განმარტება!$B$5,3,4)))</f>
        <v>3</v>
      </c>
      <c r="C186" s="6" t="s">
        <v>15</v>
      </c>
      <c r="D186" s="6" t="s">
        <v>980</v>
      </c>
      <c r="E186" s="7" t="s">
        <v>981</v>
      </c>
      <c r="F186" s="7" t="n">
        <v>3012</v>
      </c>
      <c r="G186" s="6" t="s">
        <v>334</v>
      </c>
      <c r="H186" s="8" t="n">
        <v>4799</v>
      </c>
      <c r="I186" s="8" t="n">
        <v>0</v>
      </c>
      <c r="J186" s="7" t="n">
        <v>0</v>
      </c>
      <c r="K186" s="9" t="s">
        <v>982</v>
      </c>
      <c r="L186" s="6" t="s">
        <v>983</v>
      </c>
      <c r="M186" s="6" t="s">
        <v>984</v>
      </c>
      <c r="N186" s="10"/>
      <c r="O186" s="4" t="str">
        <f aca="false">IF(N186="","",LEN(N186))</f>
        <v/>
      </c>
    </row>
    <row r="187" customFormat="false" ht="39" hidden="false" customHeight="true" outlineLevel="0" collapsed="false">
      <c r="A187" s="4" t="n">
        <v>186</v>
      </c>
      <c r="B187" s="5" t="n">
        <f aca="false">IF(OR(C187="სხვა მოდელი წერია",I187&gt;=განმარტება!$B$4),1,IF(OR(C187="ცარიელი",I187&gt;=1),2,IF(H187&gt;=განმარტება!$B$5,3,4)))</f>
        <v>3</v>
      </c>
      <c r="C187" s="6" t="s">
        <v>15</v>
      </c>
      <c r="D187" s="6" t="s">
        <v>985</v>
      </c>
      <c r="E187" s="7" t="s">
        <v>986</v>
      </c>
      <c r="F187" s="7" t="n">
        <v>1511</v>
      </c>
      <c r="G187" s="6" t="s">
        <v>858</v>
      </c>
      <c r="H187" s="8" t="n">
        <v>4790</v>
      </c>
      <c r="I187" s="8" t="n">
        <v>0</v>
      </c>
      <c r="J187" s="7" t="n">
        <v>0</v>
      </c>
      <c r="K187" s="9" t="s">
        <v>987</v>
      </c>
      <c r="L187" s="6" t="s">
        <v>988</v>
      </c>
      <c r="M187" s="6" t="s">
        <v>989</v>
      </c>
      <c r="N187" s="10"/>
      <c r="O187" s="4" t="str">
        <f aca="false">IF(N187="","",LEN(N187))</f>
        <v/>
      </c>
    </row>
    <row r="188" customFormat="false" ht="39" hidden="false" customHeight="true" outlineLevel="0" collapsed="false">
      <c r="A188" s="4" t="n">
        <v>187</v>
      </c>
      <c r="B188" s="5" t="n">
        <f aca="false">IF(OR(C188="სხვა მოდელი წერია",I188&gt;=განმარტება!$B$4),1,IF(OR(C188="ცარიელი",I188&gt;=1),2,IF(H188&gt;=განმარტება!$B$5,3,4)))</f>
        <v>3</v>
      </c>
      <c r="C188" s="6" t="s">
        <v>15</v>
      </c>
      <c r="D188" s="6" t="s">
        <v>990</v>
      </c>
      <c r="E188" s="7" t="s">
        <v>991</v>
      </c>
      <c r="F188" s="7" t="n">
        <v>1071</v>
      </c>
      <c r="G188" s="6" t="s">
        <v>112</v>
      </c>
      <c r="H188" s="8" t="n">
        <v>4740</v>
      </c>
      <c r="I188" s="8" t="n">
        <v>0</v>
      </c>
      <c r="J188" s="7" t="n">
        <v>0</v>
      </c>
      <c r="K188" s="9" t="s">
        <v>992</v>
      </c>
      <c r="L188" s="6" t="s">
        <v>993</v>
      </c>
      <c r="M188" s="6" t="s">
        <v>994</v>
      </c>
      <c r="N188" s="10"/>
      <c r="O188" s="4" t="str">
        <f aca="false">IF(N188="","",LEN(N188))</f>
        <v/>
      </c>
    </row>
    <row r="189" customFormat="false" ht="51.75" hidden="false" customHeight="true" outlineLevel="0" collapsed="false">
      <c r="A189" s="4" t="n">
        <v>188</v>
      </c>
      <c r="B189" s="5" t="n">
        <f aca="false">IF(OR(C189="სხვა მოდელი წერია",I189&gt;=განმარტება!$B$4),1,IF(OR(C189="ცარიელი",I189&gt;=1),2,IF(H189&gt;=განმარტება!$B$5,3,4)))</f>
        <v>3</v>
      </c>
      <c r="C189" s="6" t="s">
        <v>15</v>
      </c>
      <c r="D189" s="6" t="s">
        <v>995</v>
      </c>
      <c r="E189" s="7" t="s">
        <v>996</v>
      </c>
      <c r="F189" s="7" t="n">
        <v>14030</v>
      </c>
      <c r="G189" s="6" t="s">
        <v>473</v>
      </c>
      <c r="H189" s="8" t="n">
        <v>4644</v>
      </c>
      <c r="I189" s="8" t="n">
        <v>0</v>
      </c>
      <c r="J189" s="7" t="n">
        <v>0</v>
      </c>
      <c r="K189" s="9" t="s">
        <v>997</v>
      </c>
      <c r="L189" s="6" t="s">
        <v>998</v>
      </c>
      <c r="M189" s="6" t="s">
        <v>999</v>
      </c>
      <c r="N189" s="10"/>
      <c r="O189" s="4" t="str">
        <f aca="false">IF(N189="","",LEN(N189))</f>
        <v/>
      </c>
    </row>
    <row r="190" customFormat="false" ht="39" hidden="false" customHeight="true" outlineLevel="0" collapsed="false">
      <c r="A190" s="4" t="n">
        <v>189</v>
      </c>
      <c r="B190" s="5" t="n">
        <f aca="false">IF(OR(C190="სხვა მოდელი წერია",I190&gt;=განმარტება!$B$4),1,IF(OR(C190="ცარიელი",I190&gt;=1),2,IF(H190&gt;=განმარტება!$B$5,3,4)))</f>
        <v>3</v>
      </c>
      <c r="C190" s="6" t="s">
        <v>15</v>
      </c>
      <c r="D190" s="6" t="s">
        <v>1000</v>
      </c>
      <c r="E190" s="7" t="s">
        <v>1001</v>
      </c>
      <c r="F190" s="7" t="n">
        <v>2341</v>
      </c>
      <c r="G190" s="6" t="s">
        <v>205</v>
      </c>
      <c r="H190" s="8" t="n">
        <v>4549</v>
      </c>
      <c r="I190" s="8" t="n">
        <v>0</v>
      </c>
      <c r="J190" s="7" t="n">
        <v>0</v>
      </c>
      <c r="K190" s="9" t="s">
        <v>1002</v>
      </c>
      <c r="L190" s="6" t="s">
        <v>1003</v>
      </c>
      <c r="M190" s="6" t="s">
        <v>1004</v>
      </c>
      <c r="N190" s="10"/>
      <c r="O190" s="4" t="str">
        <f aca="false">IF(N190="","",LEN(N190))</f>
        <v/>
      </c>
    </row>
    <row r="191" customFormat="false" ht="39" hidden="false" customHeight="true" outlineLevel="0" collapsed="false">
      <c r="A191" s="4" t="n">
        <v>190</v>
      </c>
      <c r="B191" s="5" t="n">
        <f aca="false">IF(OR(C191="სხვა მოდელი წერია",I191&gt;=განმარტება!$B$4),1,IF(OR(C191="ცარიელი",I191&gt;=1),2,IF(H191&gt;=განმარტება!$B$5,3,4)))</f>
        <v>3</v>
      </c>
      <c r="C191" s="6" t="s">
        <v>15</v>
      </c>
      <c r="D191" s="6" t="s">
        <v>1005</v>
      </c>
      <c r="E191" s="7" t="s">
        <v>1006</v>
      </c>
      <c r="F191" s="7" t="n">
        <v>3182</v>
      </c>
      <c r="G191" s="6" t="s">
        <v>24</v>
      </c>
      <c r="H191" s="8" t="n">
        <v>4199</v>
      </c>
      <c r="I191" s="8" t="n">
        <v>0</v>
      </c>
      <c r="J191" s="7" t="n">
        <v>0</v>
      </c>
      <c r="K191" s="9" t="s">
        <v>1007</v>
      </c>
      <c r="L191" s="6" t="s">
        <v>1008</v>
      </c>
      <c r="M191" s="6" t="s">
        <v>1009</v>
      </c>
      <c r="N191" s="10"/>
      <c r="O191" s="4" t="str">
        <f aca="false">IF(N191="","",LEN(N191))</f>
        <v/>
      </c>
    </row>
    <row r="192" customFormat="false" ht="39" hidden="false" customHeight="true" outlineLevel="0" collapsed="false">
      <c r="A192" s="4" t="n">
        <v>191</v>
      </c>
      <c r="B192" s="5" t="n">
        <f aca="false">IF(OR(C192="სხვა მოდელი წერია",I192&gt;=განმარტება!$B$4),1,IF(OR(C192="ცარიელი",I192&gt;=1),2,IF(H192&gt;=განმარტება!$B$5,3,4)))</f>
        <v>3</v>
      </c>
      <c r="C192" s="6" t="s">
        <v>15</v>
      </c>
      <c r="D192" s="6" t="s">
        <v>1010</v>
      </c>
      <c r="E192" s="7" t="s">
        <v>1011</v>
      </c>
      <c r="F192" s="7" t="n">
        <v>4018</v>
      </c>
      <c r="G192" s="6" t="s">
        <v>24</v>
      </c>
      <c r="H192" s="8" t="n">
        <v>4199</v>
      </c>
      <c r="I192" s="8" t="n">
        <v>0</v>
      </c>
      <c r="J192" s="7" t="n">
        <v>0</v>
      </c>
      <c r="K192" s="9" t="s">
        <v>1012</v>
      </c>
      <c r="L192" s="6" t="s">
        <v>1013</v>
      </c>
      <c r="M192" s="6" t="s">
        <v>1014</v>
      </c>
      <c r="N192" s="10"/>
      <c r="O192" s="4" t="str">
        <f aca="false">IF(N192="","",LEN(N192))</f>
        <v/>
      </c>
    </row>
    <row r="193" customFormat="false" ht="39" hidden="false" customHeight="true" outlineLevel="0" collapsed="false">
      <c r="A193" s="4" t="n">
        <v>192</v>
      </c>
      <c r="B193" s="5" t="n">
        <f aca="false">IF(OR(C193="სხვა მოდელი წერია",I193&gt;=განმარტება!$B$4),1,IF(OR(C193="ცარიელი",I193&gt;=1),2,IF(H193&gt;=განმარტება!$B$5,3,4)))</f>
        <v>3</v>
      </c>
      <c r="C193" s="6" t="s">
        <v>15</v>
      </c>
      <c r="D193" s="6" t="s">
        <v>1015</v>
      </c>
      <c r="E193" s="7" t="s">
        <v>1016</v>
      </c>
      <c r="F193" s="7" t="n">
        <v>1509</v>
      </c>
      <c r="G193" s="6" t="s">
        <v>858</v>
      </c>
      <c r="H193" s="8" t="n">
        <v>4195</v>
      </c>
      <c r="I193" s="8" t="n">
        <v>0</v>
      </c>
      <c r="J193" s="7" t="n">
        <v>0</v>
      </c>
      <c r="K193" s="9" t="s">
        <v>1017</v>
      </c>
      <c r="L193" s="6" t="s">
        <v>1018</v>
      </c>
      <c r="M193" s="6" t="s">
        <v>1019</v>
      </c>
      <c r="N193" s="10"/>
      <c r="O193" s="4" t="str">
        <f aca="false">IF(N193="","",LEN(N193))</f>
        <v/>
      </c>
    </row>
    <row r="194" customFormat="false" ht="39" hidden="false" customHeight="true" outlineLevel="0" collapsed="false">
      <c r="A194" s="4" t="n">
        <v>193</v>
      </c>
      <c r="B194" s="5" t="n">
        <f aca="false">IF(OR(C194="სხვა მოდელი წერია",I194&gt;=განმარტება!$B$4),1,IF(OR(C194="ცარიელი",I194&gt;=1),2,IF(H194&gt;=განმარტება!$B$5,3,4)))</f>
        <v>3</v>
      </c>
      <c r="C194" s="6" t="s">
        <v>15</v>
      </c>
      <c r="D194" s="6" t="s">
        <v>1020</v>
      </c>
      <c r="E194" s="7" t="s">
        <v>1021</v>
      </c>
      <c r="F194" s="7" t="n">
        <v>1921</v>
      </c>
      <c r="G194" s="6" t="s">
        <v>205</v>
      </c>
      <c r="H194" s="8" t="n">
        <v>4175</v>
      </c>
      <c r="I194" s="8" t="n">
        <v>0</v>
      </c>
      <c r="J194" s="7" t="n">
        <v>0</v>
      </c>
      <c r="K194" s="9" t="s">
        <v>1022</v>
      </c>
      <c r="L194" s="6" t="s">
        <v>1023</v>
      </c>
      <c r="M194" s="6" t="s">
        <v>1024</v>
      </c>
      <c r="N194" s="10"/>
      <c r="O194" s="4" t="str">
        <f aca="false">IF(N194="","",LEN(N194))</f>
        <v/>
      </c>
    </row>
    <row r="195" customFormat="false" ht="39" hidden="false" customHeight="true" outlineLevel="0" collapsed="false">
      <c r="A195" s="4" t="n">
        <v>194</v>
      </c>
      <c r="B195" s="5" t="n">
        <f aca="false">IF(OR(C195="სხვა მოდელი წერია",I195&gt;=განმარტება!$B$4),1,IF(OR(C195="ცარიელი",I195&gt;=1),2,IF(H195&gt;=განმარტება!$B$5,3,4)))</f>
        <v>3</v>
      </c>
      <c r="C195" s="6" t="s">
        <v>15</v>
      </c>
      <c r="D195" s="6" t="s">
        <v>1025</v>
      </c>
      <c r="E195" s="7" t="s">
        <v>1026</v>
      </c>
      <c r="F195" s="7" t="n">
        <v>2796</v>
      </c>
      <c r="G195" s="6" t="s">
        <v>112</v>
      </c>
      <c r="H195" s="8" t="n">
        <v>4099</v>
      </c>
      <c r="I195" s="8" t="n">
        <v>0</v>
      </c>
      <c r="J195" s="7" t="n">
        <v>0</v>
      </c>
      <c r="K195" s="9" t="s">
        <v>1027</v>
      </c>
      <c r="L195" s="6" t="s">
        <v>1028</v>
      </c>
      <c r="M195" s="6" t="s">
        <v>1029</v>
      </c>
      <c r="N195" s="10"/>
      <c r="O195" s="4" t="str">
        <f aca="false">IF(N195="","",LEN(N195))</f>
        <v/>
      </c>
    </row>
    <row r="196" customFormat="false" ht="39" hidden="false" customHeight="true" outlineLevel="0" collapsed="false">
      <c r="A196" s="4" t="n">
        <v>195</v>
      </c>
      <c r="B196" s="5" t="n">
        <f aca="false">IF(OR(C196="სხვა მოდელი წერია",I196&gt;=განმარტება!$B$4),1,IF(OR(C196="ცარიელი",I196&gt;=1),2,IF(H196&gt;=განმარტება!$B$5,3,4)))</f>
        <v>3</v>
      </c>
      <c r="C196" s="6" t="s">
        <v>15</v>
      </c>
      <c r="D196" s="6" t="s">
        <v>1030</v>
      </c>
      <c r="E196" s="7" t="s">
        <v>1031</v>
      </c>
      <c r="F196" s="7" t="n">
        <v>2807</v>
      </c>
      <c r="G196" s="6" t="s">
        <v>24</v>
      </c>
      <c r="H196" s="8" t="n">
        <v>4049</v>
      </c>
      <c r="I196" s="8" t="n">
        <v>0</v>
      </c>
      <c r="J196" s="7" t="n">
        <v>0</v>
      </c>
      <c r="K196" s="9" t="s">
        <v>1032</v>
      </c>
      <c r="L196" s="6" t="s">
        <v>1033</v>
      </c>
      <c r="M196" s="6" t="s">
        <v>1034</v>
      </c>
      <c r="N196" s="10"/>
      <c r="O196" s="4" t="str">
        <f aca="false">IF(N196="","",LEN(N196))</f>
        <v/>
      </c>
    </row>
    <row r="197" customFormat="false" ht="39" hidden="false" customHeight="true" outlineLevel="0" collapsed="false">
      <c r="A197" s="4" t="n">
        <v>196</v>
      </c>
      <c r="B197" s="5" t="n">
        <f aca="false">IF(OR(C197="სხვა მოდელი წერია",I197&gt;=განმარტება!$B$4),1,IF(OR(C197="ცარიელი",I197&gt;=1),2,IF(H197&gt;=განმარტება!$B$5,3,4)))</f>
        <v>3</v>
      </c>
      <c r="C197" s="6" t="s">
        <v>15</v>
      </c>
      <c r="D197" s="6" t="s">
        <v>1035</v>
      </c>
      <c r="E197" s="7" t="s">
        <v>1036</v>
      </c>
      <c r="F197" s="7" t="n">
        <v>535</v>
      </c>
      <c r="G197" s="6" t="s">
        <v>24</v>
      </c>
      <c r="H197" s="8" t="n">
        <v>4049</v>
      </c>
      <c r="I197" s="8" t="n">
        <v>0</v>
      </c>
      <c r="J197" s="7" t="n">
        <v>0</v>
      </c>
      <c r="K197" s="9" t="s">
        <v>1037</v>
      </c>
      <c r="L197" s="6" t="s">
        <v>1038</v>
      </c>
      <c r="M197" s="6" t="s">
        <v>1039</v>
      </c>
      <c r="N197" s="10"/>
      <c r="O197" s="4" t="str">
        <f aca="false">IF(N197="","",LEN(N197))</f>
        <v/>
      </c>
    </row>
    <row r="198" customFormat="false" ht="39" hidden="false" customHeight="true" outlineLevel="0" collapsed="false">
      <c r="A198" s="4" t="n">
        <v>197</v>
      </c>
      <c r="B198" s="5" t="n">
        <f aca="false">IF(OR(C198="სხვა მოდელი წერია",I198&gt;=განმარტება!$B$4),1,IF(OR(C198="ცარიელი",I198&gt;=1),2,IF(H198&gt;=განმარტება!$B$5,3,4)))</f>
        <v>3</v>
      </c>
      <c r="C198" s="6" t="s">
        <v>15</v>
      </c>
      <c r="D198" s="6" t="s">
        <v>1040</v>
      </c>
      <c r="E198" s="7" t="s">
        <v>1041</v>
      </c>
      <c r="F198" s="7" t="n">
        <v>564</v>
      </c>
      <c r="G198" s="6" t="s">
        <v>24</v>
      </c>
      <c r="H198" s="8" t="n">
        <v>3999</v>
      </c>
      <c r="I198" s="8" t="n">
        <v>0</v>
      </c>
      <c r="J198" s="7" t="n">
        <v>0</v>
      </c>
      <c r="K198" s="9" t="s">
        <v>1042</v>
      </c>
      <c r="L198" s="6" t="s">
        <v>1043</v>
      </c>
      <c r="M198" s="6" t="s">
        <v>1044</v>
      </c>
      <c r="N198" s="10"/>
      <c r="O198" s="4" t="str">
        <f aca="false">IF(N198="","",LEN(N198))</f>
        <v/>
      </c>
    </row>
    <row r="199" customFormat="false" ht="39" hidden="false" customHeight="true" outlineLevel="0" collapsed="false">
      <c r="A199" s="4" t="n">
        <v>198</v>
      </c>
      <c r="B199" s="5" t="n">
        <f aca="false">IF(OR(C199="სხვა მოდელი წერია",I199&gt;=განმარტება!$B$4),1,IF(OR(C199="ცარიელი",I199&gt;=1),2,IF(H199&gt;=განმარტება!$B$5,3,4)))</f>
        <v>3</v>
      </c>
      <c r="C199" s="6" t="s">
        <v>15</v>
      </c>
      <c r="D199" s="6" t="s">
        <v>1045</v>
      </c>
      <c r="E199" s="7" t="s">
        <v>1046</v>
      </c>
      <c r="F199" s="7" t="n">
        <v>3184</v>
      </c>
      <c r="G199" s="6" t="s">
        <v>24</v>
      </c>
      <c r="H199" s="8" t="n">
        <v>3999</v>
      </c>
      <c r="I199" s="8" t="n">
        <v>0</v>
      </c>
      <c r="J199" s="7" t="n">
        <v>0</v>
      </c>
      <c r="K199" s="9" t="s">
        <v>1047</v>
      </c>
      <c r="L199" s="6" t="s">
        <v>1008</v>
      </c>
      <c r="M199" s="6" t="s">
        <v>1048</v>
      </c>
      <c r="N199" s="10"/>
      <c r="O199" s="4" t="str">
        <f aca="false">IF(N199="","",LEN(N199))</f>
        <v/>
      </c>
    </row>
    <row r="200" customFormat="false" ht="39" hidden="false" customHeight="true" outlineLevel="0" collapsed="false">
      <c r="A200" s="4" t="n">
        <v>199</v>
      </c>
      <c r="B200" s="5" t="n">
        <f aca="false">IF(OR(C200="სხვა მოდელი წერია",I200&gt;=განმარტება!$B$4),1,IF(OR(C200="ცარიელი",I200&gt;=1),2,IF(H200&gt;=განმარტება!$B$5,3,4)))</f>
        <v>3</v>
      </c>
      <c r="C200" s="6" t="s">
        <v>15</v>
      </c>
      <c r="D200" s="6" t="s">
        <v>1049</v>
      </c>
      <c r="E200" s="7" t="s">
        <v>1050</v>
      </c>
      <c r="F200" s="7" t="n">
        <v>3150</v>
      </c>
      <c r="G200" s="6" t="s">
        <v>24</v>
      </c>
      <c r="H200" s="8" t="n">
        <v>3999</v>
      </c>
      <c r="I200" s="8" t="n">
        <v>0</v>
      </c>
      <c r="J200" s="7" t="n">
        <v>0</v>
      </c>
      <c r="K200" s="9" t="s">
        <v>1051</v>
      </c>
      <c r="L200" s="6" t="s">
        <v>1052</v>
      </c>
      <c r="M200" s="6" t="s">
        <v>1053</v>
      </c>
      <c r="N200" s="10"/>
      <c r="O200" s="4" t="str">
        <f aca="false">IF(N200="","",LEN(N200))</f>
        <v/>
      </c>
    </row>
    <row r="201" customFormat="false" ht="39" hidden="false" customHeight="true" outlineLevel="0" collapsed="false">
      <c r="A201" s="4" t="n">
        <v>200</v>
      </c>
      <c r="B201" s="5" t="n">
        <f aca="false">IF(OR(C201="სხვა მოდელი წერია",I201&gt;=განმარტება!$B$4),1,IF(OR(C201="ცარიელი",I201&gt;=1),2,IF(H201&gt;=განმარტება!$B$5,3,4)))</f>
        <v>3</v>
      </c>
      <c r="C201" s="6" t="s">
        <v>15</v>
      </c>
      <c r="D201" s="6" t="s">
        <v>1054</v>
      </c>
      <c r="E201" s="7" t="s">
        <v>1055</v>
      </c>
      <c r="F201" s="7" t="n">
        <v>3173</v>
      </c>
      <c r="G201" s="6" t="s">
        <v>24</v>
      </c>
      <c r="H201" s="8" t="n">
        <v>3799</v>
      </c>
      <c r="I201" s="8" t="n">
        <v>0</v>
      </c>
      <c r="J201" s="7" t="n">
        <v>0</v>
      </c>
      <c r="K201" s="9" t="s">
        <v>1056</v>
      </c>
      <c r="L201" s="6" t="s">
        <v>1057</v>
      </c>
      <c r="M201" s="6" t="s">
        <v>1058</v>
      </c>
      <c r="N201" s="10"/>
      <c r="O201" s="4" t="str">
        <f aca="false">IF(N201="","",LEN(N201))</f>
        <v/>
      </c>
    </row>
    <row r="202" customFormat="false" ht="39" hidden="false" customHeight="true" outlineLevel="0" collapsed="false">
      <c r="A202" s="4" t="n">
        <v>201</v>
      </c>
      <c r="B202" s="5" t="n">
        <f aca="false">IF(OR(C202="სხვა მოდელი წერია",I202&gt;=განმარტება!$B$4),1,IF(OR(C202="ცარიელი",I202&gt;=1),2,IF(H202&gt;=განმარტება!$B$5,3,4)))</f>
        <v>3</v>
      </c>
      <c r="C202" s="6" t="s">
        <v>15</v>
      </c>
      <c r="D202" s="6" t="s">
        <v>1059</v>
      </c>
      <c r="E202" s="7" t="s">
        <v>1060</v>
      </c>
      <c r="F202" s="7" t="n">
        <v>3183</v>
      </c>
      <c r="G202" s="6" t="s">
        <v>24</v>
      </c>
      <c r="H202" s="8" t="n">
        <v>3699</v>
      </c>
      <c r="I202" s="8" t="n">
        <v>0</v>
      </c>
      <c r="J202" s="7" t="n">
        <v>0</v>
      </c>
      <c r="K202" s="9" t="s">
        <v>1061</v>
      </c>
      <c r="L202" s="6" t="s">
        <v>1008</v>
      </c>
      <c r="M202" s="6" t="s">
        <v>1062</v>
      </c>
      <c r="N202" s="10"/>
      <c r="O202" s="4" t="str">
        <f aca="false">IF(N202="","",LEN(N202))</f>
        <v/>
      </c>
    </row>
    <row r="203" customFormat="false" ht="39" hidden="false" customHeight="true" outlineLevel="0" collapsed="false">
      <c r="A203" s="4" t="n">
        <v>202</v>
      </c>
      <c r="B203" s="5" t="n">
        <f aca="false">IF(OR(C203="სხვა მოდელი წერია",I203&gt;=განმარტება!$B$4),1,IF(OR(C203="ცარიელი",I203&gt;=1),2,IF(H203&gt;=განმარტება!$B$5,3,4)))</f>
        <v>3</v>
      </c>
      <c r="C203" s="6" t="s">
        <v>15</v>
      </c>
      <c r="D203" s="6" t="s">
        <v>1063</v>
      </c>
      <c r="E203" s="7" t="s">
        <v>1064</v>
      </c>
      <c r="F203" s="7" t="n">
        <v>3163</v>
      </c>
      <c r="G203" s="6" t="s">
        <v>24</v>
      </c>
      <c r="H203" s="8" t="n">
        <v>3699</v>
      </c>
      <c r="I203" s="8" t="n">
        <v>0</v>
      </c>
      <c r="J203" s="7" t="n">
        <v>0</v>
      </c>
      <c r="K203" s="9" t="s">
        <v>1065</v>
      </c>
      <c r="L203" s="6" t="s">
        <v>721</v>
      </c>
      <c r="M203" s="6" t="s">
        <v>1066</v>
      </c>
      <c r="N203" s="10"/>
      <c r="O203" s="4" t="str">
        <f aca="false">IF(N203="","",LEN(N203))</f>
        <v/>
      </c>
    </row>
    <row r="204" customFormat="false" ht="39" hidden="false" customHeight="true" outlineLevel="0" collapsed="false">
      <c r="A204" s="4" t="n">
        <v>203</v>
      </c>
      <c r="B204" s="5" t="n">
        <f aca="false">IF(OR(C204="სხვა მოდელი წერია",I204&gt;=განმარტება!$B$4),1,IF(OR(C204="ცარიელი",I204&gt;=1),2,IF(H204&gt;=განმარტება!$B$5,3,4)))</f>
        <v>3</v>
      </c>
      <c r="C204" s="6" t="s">
        <v>15</v>
      </c>
      <c r="D204" s="6" t="s">
        <v>1067</v>
      </c>
      <c r="E204" s="7" t="s">
        <v>1068</v>
      </c>
      <c r="F204" s="7" t="n">
        <v>1508</v>
      </c>
      <c r="G204" s="6" t="s">
        <v>858</v>
      </c>
      <c r="H204" s="8" t="n">
        <v>3690</v>
      </c>
      <c r="I204" s="8" t="n">
        <v>0</v>
      </c>
      <c r="J204" s="7" t="n">
        <v>0</v>
      </c>
      <c r="K204" s="9" t="s">
        <v>1069</v>
      </c>
      <c r="L204" s="6" t="s">
        <v>1070</v>
      </c>
      <c r="M204" s="6" t="s">
        <v>1071</v>
      </c>
      <c r="N204" s="10"/>
      <c r="O204" s="4" t="str">
        <f aca="false">IF(N204="","",LEN(N204))</f>
        <v/>
      </c>
    </row>
    <row r="205" customFormat="false" ht="39" hidden="false" customHeight="true" outlineLevel="0" collapsed="false">
      <c r="A205" s="4" t="n">
        <v>204</v>
      </c>
      <c r="B205" s="5" t="n">
        <f aca="false">IF(OR(C205="სხვა მოდელი წერია",I205&gt;=განმარტება!$B$4),1,IF(OR(C205="ცარიელი",I205&gt;=1),2,IF(H205&gt;=განმარტება!$B$5,3,4)))</f>
        <v>3</v>
      </c>
      <c r="C205" s="6" t="s">
        <v>15</v>
      </c>
      <c r="D205" s="6" t="s">
        <v>1072</v>
      </c>
      <c r="E205" s="7" t="s">
        <v>1073</v>
      </c>
      <c r="F205" s="7" t="n">
        <v>3876</v>
      </c>
      <c r="G205" s="6" t="s">
        <v>24</v>
      </c>
      <c r="H205" s="8" t="n">
        <v>3600</v>
      </c>
      <c r="I205" s="8" t="n">
        <v>0</v>
      </c>
      <c r="J205" s="7" t="n">
        <v>0</v>
      </c>
      <c r="K205" s="9" t="s">
        <v>1074</v>
      </c>
      <c r="L205" s="6" t="s">
        <v>1075</v>
      </c>
      <c r="M205" s="6" t="s">
        <v>1076</v>
      </c>
      <c r="N205" s="10"/>
      <c r="O205" s="4" t="str">
        <f aca="false">IF(N205="","",LEN(N205))</f>
        <v/>
      </c>
    </row>
    <row r="206" customFormat="false" ht="39" hidden="false" customHeight="true" outlineLevel="0" collapsed="false">
      <c r="A206" s="4" t="n">
        <v>205</v>
      </c>
      <c r="B206" s="5" t="n">
        <f aca="false">IF(OR(C206="სხვა მოდელი წერია",I206&gt;=განმარტება!$B$4),1,IF(OR(C206="ცარიელი",I206&gt;=1),2,IF(H206&gt;=განმარტება!$B$5,3,4)))</f>
        <v>3</v>
      </c>
      <c r="C206" s="6" t="s">
        <v>15</v>
      </c>
      <c r="D206" s="6" t="s">
        <v>1077</v>
      </c>
      <c r="E206" s="7" t="s">
        <v>1078</v>
      </c>
      <c r="F206" s="7" t="n">
        <v>2986</v>
      </c>
      <c r="G206" s="6" t="s">
        <v>112</v>
      </c>
      <c r="H206" s="8" t="n">
        <v>3599</v>
      </c>
      <c r="I206" s="8" t="n">
        <v>0</v>
      </c>
      <c r="J206" s="7" t="n">
        <v>0</v>
      </c>
      <c r="K206" s="9" t="s">
        <v>1079</v>
      </c>
      <c r="L206" s="6" t="s">
        <v>1080</v>
      </c>
      <c r="M206" s="6" t="s">
        <v>1081</v>
      </c>
      <c r="N206" s="10"/>
      <c r="O206" s="4" t="str">
        <f aca="false">IF(N206="","",LEN(N206))</f>
        <v/>
      </c>
    </row>
    <row r="207" customFormat="false" ht="39" hidden="false" customHeight="true" outlineLevel="0" collapsed="false">
      <c r="A207" s="4" t="n">
        <v>206</v>
      </c>
      <c r="B207" s="5" t="n">
        <f aca="false">IF(OR(C207="სხვა მოდელი წერია",I207&gt;=განმარტება!$B$4),1,IF(OR(C207="ცარიელი",I207&gt;=1),2,IF(H207&gt;=განმარტება!$B$5,3,4)))</f>
        <v>3</v>
      </c>
      <c r="C207" s="6" t="s">
        <v>15</v>
      </c>
      <c r="D207" s="6" t="s">
        <v>1082</v>
      </c>
      <c r="E207" s="7" t="s">
        <v>1083</v>
      </c>
      <c r="F207" s="7" t="n">
        <v>533</v>
      </c>
      <c r="G207" s="6" t="s">
        <v>24</v>
      </c>
      <c r="H207" s="8" t="n">
        <v>3599</v>
      </c>
      <c r="I207" s="8" t="n">
        <v>0</v>
      </c>
      <c r="J207" s="7" t="n">
        <v>0</v>
      </c>
      <c r="K207" s="9" t="s">
        <v>1084</v>
      </c>
      <c r="L207" s="6" t="s">
        <v>1085</v>
      </c>
      <c r="M207" s="6" t="s">
        <v>1086</v>
      </c>
      <c r="N207" s="10"/>
      <c r="O207" s="4" t="str">
        <f aca="false">IF(N207="","",LEN(N207))</f>
        <v/>
      </c>
    </row>
    <row r="208" customFormat="false" ht="39" hidden="false" customHeight="true" outlineLevel="0" collapsed="false">
      <c r="A208" s="4" t="n">
        <v>207</v>
      </c>
      <c r="B208" s="5" t="n">
        <f aca="false">IF(OR(C208="სხვა მოდელი წერია",I208&gt;=განმარტება!$B$4),1,IF(OR(C208="ცარიელი",I208&gt;=1),2,IF(H208&gt;=განმარტება!$B$5,3,4)))</f>
        <v>3</v>
      </c>
      <c r="C208" s="6" t="s">
        <v>15</v>
      </c>
      <c r="D208" s="6" t="s">
        <v>1087</v>
      </c>
      <c r="E208" s="7" t="s">
        <v>1088</v>
      </c>
      <c r="F208" s="7" t="n">
        <v>3065</v>
      </c>
      <c r="G208" s="6" t="s">
        <v>24</v>
      </c>
      <c r="H208" s="8" t="n">
        <v>3599</v>
      </c>
      <c r="I208" s="8" t="n">
        <v>0</v>
      </c>
      <c r="J208" s="7" t="n">
        <v>0</v>
      </c>
      <c r="K208" s="9" t="s">
        <v>1089</v>
      </c>
      <c r="L208" s="6" t="s">
        <v>1090</v>
      </c>
      <c r="M208" s="6" t="s">
        <v>1091</v>
      </c>
      <c r="N208" s="10"/>
      <c r="O208" s="4" t="str">
        <f aca="false">IF(N208="","",LEN(N208))</f>
        <v/>
      </c>
    </row>
    <row r="209" customFormat="false" ht="51.75" hidden="false" customHeight="true" outlineLevel="0" collapsed="false">
      <c r="A209" s="4" t="n">
        <v>208</v>
      </c>
      <c r="B209" s="5" t="n">
        <f aca="false">IF(OR(C209="სხვა მოდელი წერია",I209&gt;=განმარტება!$B$4),1,IF(OR(C209="ცარიელი",I209&gt;=1),2,IF(H209&gt;=განმარტება!$B$5,3,4)))</f>
        <v>3</v>
      </c>
      <c r="C209" s="6" t="s">
        <v>15</v>
      </c>
      <c r="D209" s="6" t="s">
        <v>1092</v>
      </c>
      <c r="E209" s="7" t="s">
        <v>1093</v>
      </c>
      <c r="F209" s="7" t="n">
        <v>3049</v>
      </c>
      <c r="G209" s="6" t="s">
        <v>211</v>
      </c>
      <c r="H209" s="8" t="n">
        <v>3599</v>
      </c>
      <c r="I209" s="8" t="n">
        <v>0</v>
      </c>
      <c r="J209" s="7" t="n">
        <v>0</v>
      </c>
      <c r="K209" s="9" t="s">
        <v>1094</v>
      </c>
      <c r="L209" s="6" t="s">
        <v>1095</v>
      </c>
      <c r="M209" s="6" t="s">
        <v>1096</v>
      </c>
      <c r="N209" s="10"/>
      <c r="O209" s="4" t="str">
        <f aca="false">IF(N209="","",LEN(N209))</f>
        <v/>
      </c>
    </row>
    <row r="210" customFormat="false" ht="39" hidden="false" customHeight="true" outlineLevel="0" collapsed="false">
      <c r="A210" s="4" t="n">
        <v>209</v>
      </c>
      <c r="B210" s="5" t="n">
        <f aca="false">IF(OR(C210="სხვა მოდელი წერია",I210&gt;=განმარტება!$B$4),1,IF(OR(C210="ცარიელი",I210&gt;=1),2,IF(H210&gt;=განმარტება!$B$5,3,4)))</f>
        <v>3</v>
      </c>
      <c r="C210" s="6" t="s">
        <v>15</v>
      </c>
      <c r="D210" s="6" t="s">
        <v>1097</v>
      </c>
      <c r="E210" s="7" t="s">
        <v>1098</v>
      </c>
      <c r="F210" s="7" t="n">
        <v>2474</v>
      </c>
      <c r="G210" s="6" t="s">
        <v>205</v>
      </c>
      <c r="H210" s="8" t="n">
        <v>3595</v>
      </c>
      <c r="I210" s="8" t="n">
        <v>0</v>
      </c>
      <c r="J210" s="7" t="n">
        <v>0</v>
      </c>
      <c r="K210" s="9" t="s">
        <v>1099</v>
      </c>
      <c r="L210" s="6" t="s">
        <v>1100</v>
      </c>
      <c r="M210" s="6" t="s">
        <v>1101</v>
      </c>
      <c r="N210" s="10"/>
      <c r="O210" s="4" t="str">
        <f aca="false">IF(N210="","",LEN(N210))</f>
        <v/>
      </c>
    </row>
    <row r="211" customFormat="false" ht="39" hidden="false" customHeight="true" outlineLevel="0" collapsed="false">
      <c r="A211" s="4" t="n">
        <v>210</v>
      </c>
      <c r="B211" s="5" t="n">
        <f aca="false">IF(OR(C211="სხვა მოდელი წერია",I211&gt;=განმარტება!$B$4),1,IF(OR(C211="ცარიელი",I211&gt;=1),2,IF(H211&gt;=განმარტება!$B$5,3,4)))</f>
        <v>3</v>
      </c>
      <c r="C211" s="6" t="s">
        <v>15</v>
      </c>
      <c r="D211" s="6" t="s">
        <v>1102</v>
      </c>
      <c r="E211" s="7" t="s">
        <v>1103</v>
      </c>
      <c r="F211" s="7" t="n">
        <v>1063</v>
      </c>
      <c r="G211" s="6" t="s">
        <v>112</v>
      </c>
      <c r="H211" s="8" t="n">
        <v>3570</v>
      </c>
      <c r="I211" s="8" t="n">
        <v>0</v>
      </c>
      <c r="J211" s="7" t="n">
        <v>0</v>
      </c>
      <c r="K211" s="9" t="s">
        <v>1104</v>
      </c>
      <c r="L211" s="6" t="s">
        <v>1105</v>
      </c>
      <c r="M211" s="6" t="s">
        <v>1106</v>
      </c>
      <c r="N211" s="10"/>
      <c r="O211" s="4" t="str">
        <f aca="false">IF(N211="","",LEN(N211))</f>
        <v/>
      </c>
    </row>
    <row r="212" customFormat="false" ht="39" hidden="false" customHeight="true" outlineLevel="0" collapsed="false">
      <c r="A212" s="4" t="n">
        <v>211</v>
      </c>
      <c r="B212" s="5" t="n">
        <f aca="false">IF(OR(C212="სხვა მოდელი წერია",I212&gt;=განმარტება!$B$4),1,IF(OR(C212="ცარიელი",I212&gt;=1),2,IF(H212&gt;=განმარტება!$B$5,3,4)))</f>
        <v>3</v>
      </c>
      <c r="C212" s="6" t="s">
        <v>15</v>
      </c>
      <c r="D212" s="6" t="s">
        <v>1107</v>
      </c>
      <c r="E212" s="7" t="s">
        <v>1108</v>
      </c>
      <c r="F212" s="7" t="n">
        <v>1493</v>
      </c>
      <c r="G212" s="6" t="s">
        <v>106</v>
      </c>
      <c r="H212" s="8" t="n">
        <v>3550</v>
      </c>
      <c r="I212" s="8" t="n">
        <v>0</v>
      </c>
      <c r="J212" s="7" t="n">
        <v>0</v>
      </c>
      <c r="K212" s="9" t="s">
        <v>1109</v>
      </c>
      <c r="L212" s="6" t="s">
        <v>1110</v>
      </c>
      <c r="M212" s="6" t="s">
        <v>1111</v>
      </c>
      <c r="N212" s="10"/>
      <c r="O212" s="4" t="str">
        <f aca="false">IF(N212="","",LEN(N212))</f>
        <v/>
      </c>
    </row>
    <row r="213" customFormat="false" ht="39" hidden="false" customHeight="true" outlineLevel="0" collapsed="false">
      <c r="A213" s="4" t="n">
        <v>212</v>
      </c>
      <c r="B213" s="5" t="n">
        <f aca="false">IF(OR(C213="სხვა მოდელი წერია",I213&gt;=განმარტება!$B$4),1,IF(OR(C213="ცარიელი",I213&gt;=1),2,IF(H213&gt;=განმარტება!$B$5,3,4)))</f>
        <v>3</v>
      </c>
      <c r="C213" s="6" t="s">
        <v>15</v>
      </c>
      <c r="D213" s="6" t="s">
        <v>1112</v>
      </c>
      <c r="E213" s="7" t="s">
        <v>1113</v>
      </c>
      <c r="F213" s="7" t="n">
        <v>1911</v>
      </c>
      <c r="G213" s="6" t="s">
        <v>118</v>
      </c>
      <c r="H213" s="8" t="n">
        <v>3499</v>
      </c>
      <c r="I213" s="8" t="n">
        <v>0</v>
      </c>
      <c r="J213" s="7" t="n">
        <v>0</v>
      </c>
      <c r="K213" s="9" t="s">
        <v>1114</v>
      </c>
      <c r="L213" s="6" t="s">
        <v>1115</v>
      </c>
      <c r="M213" s="6" t="s">
        <v>1116</v>
      </c>
      <c r="N213" s="10"/>
      <c r="O213" s="4" t="str">
        <f aca="false">IF(N213="","",LEN(N213))</f>
        <v/>
      </c>
    </row>
    <row r="214" customFormat="false" ht="39" hidden="false" customHeight="true" outlineLevel="0" collapsed="false">
      <c r="A214" s="4" t="n">
        <v>213</v>
      </c>
      <c r="B214" s="5" t="n">
        <f aca="false">IF(OR(C214="სხვა მოდელი წერია",I214&gt;=განმარტება!$B$4),1,IF(OR(C214="ცარიელი",I214&gt;=1),2,IF(H214&gt;=განმარტება!$B$5,3,4)))</f>
        <v>3</v>
      </c>
      <c r="C214" s="6" t="s">
        <v>15</v>
      </c>
      <c r="D214" s="6" t="s">
        <v>1117</v>
      </c>
      <c r="E214" s="7" t="s">
        <v>1118</v>
      </c>
      <c r="F214" s="7" t="n">
        <v>2787</v>
      </c>
      <c r="G214" s="6" t="s">
        <v>112</v>
      </c>
      <c r="H214" s="8" t="n">
        <v>3499</v>
      </c>
      <c r="I214" s="8" t="n">
        <v>0</v>
      </c>
      <c r="J214" s="7" t="n">
        <v>0</v>
      </c>
      <c r="K214" s="9" t="s">
        <v>1119</v>
      </c>
      <c r="L214" s="6" t="s">
        <v>1120</v>
      </c>
      <c r="M214" s="6" t="s">
        <v>1121</v>
      </c>
      <c r="N214" s="10"/>
      <c r="O214" s="4" t="str">
        <f aca="false">IF(N214="","",LEN(N214))</f>
        <v/>
      </c>
    </row>
    <row r="215" customFormat="false" ht="39" hidden="false" customHeight="true" outlineLevel="0" collapsed="false">
      <c r="A215" s="4" t="n">
        <v>214</v>
      </c>
      <c r="B215" s="5" t="n">
        <f aca="false">IF(OR(C215="სხვა მოდელი წერია",I215&gt;=განმარტება!$B$4),1,IF(OR(C215="ცარიელი",I215&gt;=1),2,IF(H215&gt;=განმარტება!$B$5,3,4)))</f>
        <v>3</v>
      </c>
      <c r="C215" s="6" t="s">
        <v>15</v>
      </c>
      <c r="D215" s="6" t="s">
        <v>1122</v>
      </c>
      <c r="E215" s="7" t="s">
        <v>1123</v>
      </c>
      <c r="F215" s="7" t="n">
        <v>2958</v>
      </c>
      <c r="G215" s="6" t="s">
        <v>24</v>
      </c>
      <c r="H215" s="8" t="n">
        <v>3499</v>
      </c>
      <c r="I215" s="8" t="n">
        <v>0</v>
      </c>
      <c r="J215" s="7" t="n">
        <v>0</v>
      </c>
      <c r="K215" s="9" t="s">
        <v>1124</v>
      </c>
      <c r="L215" s="6" t="s">
        <v>1125</v>
      </c>
      <c r="M215" s="6" t="s">
        <v>1126</v>
      </c>
      <c r="N215" s="10"/>
      <c r="O215" s="4" t="str">
        <f aca="false">IF(N215="","",LEN(N215))</f>
        <v/>
      </c>
    </row>
    <row r="216" customFormat="false" ht="39" hidden="false" customHeight="true" outlineLevel="0" collapsed="false">
      <c r="A216" s="4" t="n">
        <v>215</v>
      </c>
      <c r="B216" s="5" t="n">
        <f aca="false">IF(OR(C216="სხვა მოდელი წერია",I216&gt;=განმარტება!$B$4),1,IF(OR(C216="ცარიელი",I216&gt;=1),2,IF(H216&gt;=განმარტება!$B$5,3,4)))</f>
        <v>3</v>
      </c>
      <c r="C216" s="6" t="s">
        <v>15</v>
      </c>
      <c r="D216" s="6" t="s">
        <v>1127</v>
      </c>
      <c r="E216" s="7" t="s">
        <v>1128</v>
      </c>
      <c r="F216" s="7" t="n">
        <v>2375</v>
      </c>
      <c r="G216" s="6" t="s">
        <v>205</v>
      </c>
      <c r="H216" s="8" t="n">
        <v>3479</v>
      </c>
      <c r="I216" s="8" t="n">
        <v>0</v>
      </c>
      <c r="J216" s="7" t="n">
        <v>0</v>
      </c>
      <c r="K216" s="9" t="s">
        <v>1129</v>
      </c>
      <c r="L216" s="6" t="s">
        <v>1130</v>
      </c>
      <c r="M216" s="6" t="s">
        <v>1131</v>
      </c>
      <c r="N216" s="10"/>
      <c r="O216" s="4" t="str">
        <f aca="false">IF(N216="","",LEN(N216))</f>
        <v/>
      </c>
    </row>
    <row r="217" customFormat="false" ht="39" hidden="false" customHeight="true" outlineLevel="0" collapsed="false">
      <c r="A217" s="4" t="n">
        <v>216</v>
      </c>
      <c r="B217" s="5" t="n">
        <f aca="false">IF(OR(C217="სხვა მოდელი წერია",I217&gt;=განმარტება!$B$4),1,IF(OR(C217="ცარიელი",I217&gt;=1),2,IF(H217&gt;=განმარტება!$B$5,3,4)))</f>
        <v>3</v>
      </c>
      <c r="C217" s="6" t="s">
        <v>15</v>
      </c>
      <c r="D217" s="6" t="s">
        <v>1132</v>
      </c>
      <c r="E217" s="7" t="s">
        <v>1133</v>
      </c>
      <c r="F217" s="7" t="n">
        <v>5089</v>
      </c>
      <c r="G217" s="6" t="s">
        <v>402</v>
      </c>
      <c r="H217" s="8" t="n">
        <v>3399</v>
      </c>
      <c r="I217" s="8" t="n">
        <v>0</v>
      </c>
      <c r="J217" s="7" t="n">
        <v>0</v>
      </c>
      <c r="K217" s="9" t="s">
        <v>1134</v>
      </c>
      <c r="L217" s="6" t="s">
        <v>1135</v>
      </c>
      <c r="M217" s="6" t="s">
        <v>1136</v>
      </c>
      <c r="N217" s="10"/>
      <c r="O217" s="4" t="str">
        <f aca="false">IF(N217="","",LEN(N217))</f>
        <v/>
      </c>
    </row>
    <row r="218" customFormat="false" ht="39" hidden="false" customHeight="true" outlineLevel="0" collapsed="false">
      <c r="A218" s="4" t="n">
        <v>217</v>
      </c>
      <c r="B218" s="5" t="n">
        <f aca="false">IF(OR(C218="სხვა მოდელი წერია",I218&gt;=განმარტება!$B$4),1,IF(OR(C218="ცარიელი",I218&gt;=1),2,IF(H218&gt;=განმარტება!$B$5,3,4)))</f>
        <v>3</v>
      </c>
      <c r="C218" s="6" t="s">
        <v>15</v>
      </c>
      <c r="D218" s="6" t="s">
        <v>1137</v>
      </c>
      <c r="E218" s="7" t="s">
        <v>1138</v>
      </c>
      <c r="F218" s="7" t="n">
        <v>1507</v>
      </c>
      <c r="G218" s="6" t="s">
        <v>858</v>
      </c>
      <c r="H218" s="8" t="n">
        <v>3350</v>
      </c>
      <c r="I218" s="8" t="n">
        <v>0</v>
      </c>
      <c r="J218" s="7" t="n">
        <v>0</v>
      </c>
      <c r="K218" s="9" t="s">
        <v>1139</v>
      </c>
      <c r="L218" s="6" t="s">
        <v>1140</v>
      </c>
      <c r="M218" s="6" t="s">
        <v>1141</v>
      </c>
      <c r="N218" s="10"/>
      <c r="O218" s="4" t="str">
        <f aca="false">IF(N218="","",LEN(N218))</f>
        <v/>
      </c>
    </row>
    <row r="219" customFormat="false" ht="39" hidden="false" customHeight="true" outlineLevel="0" collapsed="false">
      <c r="A219" s="4" t="n">
        <v>218</v>
      </c>
      <c r="B219" s="5" t="n">
        <f aca="false">IF(OR(C219="სხვა მოდელი წერია",I219&gt;=განმარტება!$B$4),1,IF(OR(C219="ცარიელი",I219&gt;=1),2,IF(H219&gt;=განმარტება!$B$5,3,4)))</f>
        <v>3</v>
      </c>
      <c r="C219" s="6" t="s">
        <v>15</v>
      </c>
      <c r="D219" s="6" t="s">
        <v>1142</v>
      </c>
      <c r="E219" s="7" t="s">
        <v>1143</v>
      </c>
      <c r="F219" s="7" t="n">
        <v>2792</v>
      </c>
      <c r="G219" s="6" t="s">
        <v>112</v>
      </c>
      <c r="H219" s="8" t="n">
        <v>3349</v>
      </c>
      <c r="I219" s="8" t="n">
        <v>0</v>
      </c>
      <c r="J219" s="7" t="n">
        <v>0</v>
      </c>
      <c r="K219" s="9" t="s">
        <v>1144</v>
      </c>
      <c r="L219" s="6" t="s">
        <v>1145</v>
      </c>
      <c r="M219" s="6" t="s">
        <v>1146</v>
      </c>
      <c r="N219" s="10"/>
      <c r="O219" s="4" t="str">
        <f aca="false">IF(N219="","",LEN(N219))</f>
        <v/>
      </c>
    </row>
    <row r="220" customFormat="false" ht="39" hidden="false" customHeight="true" outlineLevel="0" collapsed="false">
      <c r="A220" s="4" t="n">
        <v>219</v>
      </c>
      <c r="B220" s="5" t="n">
        <f aca="false">IF(OR(C220="სხვა მოდელი წერია",I220&gt;=განმარტება!$B$4),1,IF(OR(C220="ცარიელი",I220&gt;=1),2,IF(H220&gt;=განმარტება!$B$5,3,4)))</f>
        <v>3</v>
      </c>
      <c r="C220" s="6" t="s">
        <v>15</v>
      </c>
      <c r="D220" s="6" t="s">
        <v>1147</v>
      </c>
      <c r="E220" s="7" t="s">
        <v>1148</v>
      </c>
      <c r="F220" s="7" t="n">
        <v>2388</v>
      </c>
      <c r="G220" s="6" t="s">
        <v>205</v>
      </c>
      <c r="H220" s="8" t="n">
        <v>3349</v>
      </c>
      <c r="I220" s="8" t="n">
        <v>0</v>
      </c>
      <c r="J220" s="7" t="n">
        <v>0</v>
      </c>
      <c r="K220" s="9" t="s">
        <v>1149</v>
      </c>
      <c r="L220" s="6" t="s">
        <v>1150</v>
      </c>
      <c r="M220" s="6" t="s">
        <v>1151</v>
      </c>
      <c r="N220" s="10"/>
      <c r="O220" s="4" t="str">
        <f aca="false">IF(N220="","",LEN(N220))</f>
        <v/>
      </c>
    </row>
    <row r="221" customFormat="false" ht="39" hidden="false" customHeight="true" outlineLevel="0" collapsed="false">
      <c r="A221" s="4" t="n">
        <v>220</v>
      </c>
      <c r="B221" s="5" t="n">
        <f aca="false">IF(OR(C221="სხვა მოდელი წერია",I221&gt;=განმარტება!$B$4),1,IF(OR(C221="ცარიელი",I221&gt;=1),2,IF(H221&gt;=განმარტება!$B$5,3,4)))</f>
        <v>3</v>
      </c>
      <c r="C221" s="6" t="s">
        <v>15</v>
      </c>
      <c r="D221" s="6" t="s">
        <v>1152</v>
      </c>
      <c r="E221" s="7" t="s">
        <v>1153</v>
      </c>
      <c r="F221" s="7" t="n">
        <v>1332</v>
      </c>
      <c r="G221" s="6" t="s">
        <v>106</v>
      </c>
      <c r="H221" s="8" t="n">
        <v>3300</v>
      </c>
      <c r="I221" s="8" t="n">
        <v>0</v>
      </c>
      <c r="J221" s="7" t="n">
        <v>0</v>
      </c>
      <c r="K221" s="9" t="s">
        <v>1154</v>
      </c>
      <c r="L221" s="6" t="s">
        <v>1155</v>
      </c>
      <c r="M221" s="6" t="s">
        <v>1156</v>
      </c>
      <c r="N221" s="10"/>
      <c r="O221" s="4" t="str">
        <f aca="false">IF(N221="","",LEN(N221))</f>
        <v/>
      </c>
    </row>
    <row r="222" customFormat="false" ht="39" hidden="false" customHeight="true" outlineLevel="0" collapsed="false">
      <c r="A222" s="4" t="n">
        <v>221</v>
      </c>
      <c r="B222" s="5" t="n">
        <f aca="false">IF(OR(C222="სხვა მოდელი წერია",I222&gt;=განმარტება!$B$4),1,IF(OR(C222="ცარიელი",I222&gt;=1),2,IF(H222&gt;=განმარტება!$B$5,3,4)))</f>
        <v>3</v>
      </c>
      <c r="C222" s="6" t="s">
        <v>15</v>
      </c>
      <c r="D222" s="6" t="s">
        <v>1157</v>
      </c>
      <c r="E222" s="7" t="s">
        <v>1158</v>
      </c>
      <c r="F222" s="7" t="n">
        <v>3181</v>
      </c>
      <c r="G222" s="6" t="s">
        <v>24</v>
      </c>
      <c r="H222" s="8" t="n">
        <v>3299</v>
      </c>
      <c r="I222" s="8" t="n">
        <v>0</v>
      </c>
      <c r="J222" s="7" t="n">
        <v>0</v>
      </c>
      <c r="K222" s="9" t="s">
        <v>1159</v>
      </c>
      <c r="L222" s="6" t="s">
        <v>1008</v>
      </c>
      <c r="M222" s="6" t="s">
        <v>1160</v>
      </c>
      <c r="N222" s="10"/>
      <c r="O222" s="4" t="str">
        <f aca="false">IF(N222="","",LEN(N222))</f>
        <v/>
      </c>
    </row>
    <row r="223" customFormat="false" ht="51.75" hidden="false" customHeight="true" outlineLevel="0" collapsed="false">
      <c r="A223" s="4" t="n">
        <v>222</v>
      </c>
      <c r="B223" s="5" t="n">
        <f aca="false">IF(OR(C223="სხვა მოდელი წერია",I223&gt;=განმარტება!$B$4),1,IF(OR(C223="ცარიელი",I223&gt;=1),2,IF(H223&gt;=განმარტება!$B$5,3,4)))</f>
        <v>3</v>
      </c>
      <c r="C223" s="6" t="s">
        <v>15</v>
      </c>
      <c r="D223" s="6" t="s">
        <v>1161</v>
      </c>
      <c r="E223" s="7" t="s">
        <v>1162</v>
      </c>
      <c r="F223" s="7" t="n">
        <v>3016</v>
      </c>
      <c r="G223" s="6" t="s">
        <v>211</v>
      </c>
      <c r="H223" s="8" t="n">
        <v>3299</v>
      </c>
      <c r="I223" s="8" t="n">
        <v>0</v>
      </c>
      <c r="J223" s="7" t="n">
        <v>0</v>
      </c>
      <c r="K223" s="9" t="s">
        <v>1163</v>
      </c>
      <c r="L223" s="6" t="s">
        <v>1164</v>
      </c>
      <c r="M223" s="6" t="s">
        <v>1165</v>
      </c>
      <c r="N223" s="10"/>
      <c r="O223" s="4" t="str">
        <f aca="false">IF(N223="","",LEN(N223))</f>
        <v/>
      </c>
    </row>
    <row r="224" customFormat="false" ht="51.75" hidden="false" customHeight="true" outlineLevel="0" collapsed="false">
      <c r="A224" s="4" t="n">
        <v>223</v>
      </c>
      <c r="B224" s="5" t="n">
        <f aca="false">IF(OR(C224="სხვა მოდელი წერია",I224&gt;=განმარტება!$B$4),1,IF(OR(C224="ცარიელი",I224&gt;=1),2,IF(H224&gt;=განმარტება!$B$5,3,4)))</f>
        <v>3</v>
      </c>
      <c r="C224" s="6" t="s">
        <v>15</v>
      </c>
      <c r="D224" s="6" t="s">
        <v>1166</v>
      </c>
      <c r="E224" s="7" t="s">
        <v>1167</v>
      </c>
      <c r="F224" s="7" t="n">
        <v>2983</v>
      </c>
      <c r="G224" s="6" t="s">
        <v>211</v>
      </c>
      <c r="H224" s="8" t="n">
        <v>3299</v>
      </c>
      <c r="I224" s="8" t="n">
        <v>0</v>
      </c>
      <c r="J224" s="7" t="n">
        <v>0</v>
      </c>
      <c r="K224" s="9" t="s">
        <v>1168</v>
      </c>
      <c r="L224" s="6" t="s">
        <v>1169</v>
      </c>
      <c r="M224" s="6" t="s">
        <v>1170</v>
      </c>
      <c r="N224" s="10"/>
      <c r="O224" s="4" t="str">
        <f aca="false">IF(N224="","",LEN(N224))</f>
        <v/>
      </c>
    </row>
    <row r="225" customFormat="false" ht="51.75" hidden="false" customHeight="true" outlineLevel="0" collapsed="false">
      <c r="A225" s="4" t="n">
        <v>224</v>
      </c>
      <c r="B225" s="5" t="n">
        <f aca="false">IF(OR(C225="სხვა მოდელი წერია",I225&gt;=განმარტება!$B$4),1,IF(OR(C225="ცარიელი",I225&gt;=1),2,IF(H225&gt;=განმარტება!$B$5,3,4)))</f>
        <v>3</v>
      </c>
      <c r="C225" s="6" t="s">
        <v>15</v>
      </c>
      <c r="D225" s="6" t="s">
        <v>1171</v>
      </c>
      <c r="E225" s="7" t="s">
        <v>1172</v>
      </c>
      <c r="F225" s="7" t="n">
        <v>2537</v>
      </c>
      <c r="G225" s="6" t="s">
        <v>1173</v>
      </c>
      <c r="H225" s="8" t="n">
        <v>3299</v>
      </c>
      <c r="I225" s="8" t="n">
        <v>0</v>
      </c>
      <c r="J225" s="7" t="n">
        <v>0</v>
      </c>
      <c r="K225" s="9" t="s">
        <v>1174</v>
      </c>
      <c r="L225" s="6" t="s">
        <v>1175</v>
      </c>
      <c r="M225" s="6" t="s">
        <v>1176</v>
      </c>
      <c r="N225" s="10"/>
      <c r="O225" s="4" t="str">
        <f aca="false">IF(N225="","",LEN(N225))</f>
        <v/>
      </c>
    </row>
    <row r="226" customFormat="false" ht="51.75" hidden="false" customHeight="true" outlineLevel="0" collapsed="false">
      <c r="A226" s="4" t="n">
        <v>225</v>
      </c>
      <c r="B226" s="5" t="n">
        <f aca="false">IF(OR(C226="სხვა მოდელი წერია",I226&gt;=განმარტება!$B$4),1,IF(OR(C226="ცარიელი",I226&gt;=1),2,IF(H226&gt;=განმარტება!$B$5,3,4)))</f>
        <v>3</v>
      </c>
      <c r="C226" s="6" t="s">
        <v>15</v>
      </c>
      <c r="D226" s="6" t="s">
        <v>1177</v>
      </c>
      <c r="E226" s="7" t="s">
        <v>1178</v>
      </c>
      <c r="F226" s="7" t="n">
        <v>2822</v>
      </c>
      <c r="G226" s="6" t="s">
        <v>48</v>
      </c>
      <c r="H226" s="8" t="n">
        <v>3299</v>
      </c>
      <c r="I226" s="8" t="n">
        <v>0</v>
      </c>
      <c r="J226" s="7" t="n">
        <v>0</v>
      </c>
      <c r="K226" s="9" t="s">
        <v>1179</v>
      </c>
      <c r="L226" s="6" t="s">
        <v>1180</v>
      </c>
      <c r="M226" s="6" t="s">
        <v>1181</v>
      </c>
      <c r="N226" s="10"/>
      <c r="O226" s="4" t="str">
        <f aca="false">IF(N226="","",LEN(N226))</f>
        <v/>
      </c>
    </row>
    <row r="227" customFormat="false" ht="39" hidden="false" customHeight="true" outlineLevel="0" collapsed="false">
      <c r="A227" s="4" t="n">
        <v>226</v>
      </c>
      <c r="B227" s="5" t="n">
        <f aca="false">IF(OR(C227="სხვა მოდელი წერია",I227&gt;=განმარტება!$B$4),1,IF(OR(C227="ცარიელი",I227&gt;=1),2,IF(H227&gt;=განმარტება!$B$5,3,4)))</f>
        <v>3</v>
      </c>
      <c r="C227" s="6" t="s">
        <v>15</v>
      </c>
      <c r="D227" s="6" t="s">
        <v>1182</v>
      </c>
      <c r="E227" s="7" t="s">
        <v>1183</v>
      </c>
      <c r="F227" s="7" t="n">
        <v>1505</v>
      </c>
      <c r="G227" s="6" t="s">
        <v>858</v>
      </c>
      <c r="H227" s="8" t="n">
        <v>3290</v>
      </c>
      <c r="I227" s="8" t="n">
        <v>0</v>
      </c>
      <c r="J227" s="7" t="n">
        <v>0</v>
      </c>
      <c r="K227" s="9" t="s">
        <v>1184</v>
      </c>
      <c r="L227" s="6" t="s">
        <v>1185</v>
      </c>
      <c r="M227" s="6" t="s">
        <v>1186</v>
      </c>
      <c r="N227" s="10"/>
      <c r="O227" s="4" t="str">
        <f aca="false">IF(N227="","",LEN(N227))</f>
        <v/>
      </c>
    </row>
    <row r="228" customFormat="false" ht="51.75" hidden="false" customHeight="true" outlineLevel="0" collapsed="false">
      <c r="A228" s="4" t="n">
        <v>227</v>
      </c>
      <c r="B228" s="5" t="n">
        <f aca="false">IF(OR(C228="სხვა მოდელი წერია",I228&gt;=განმარტება!$B$4),1,IF(OR(C228="ცარიელი",I228&gt;=1),2,IF(H228&gt;=განმარტება!$B$5,3,4)))</f>
        <v>3</v>
      </c>
      <c r="C228" s="6" t="s">
        <v>15</v>
      </c>
      <c r="D228" s="6" t="s">
        <v>1187</v>
      </c>
      <c r="E228" s="7" t="s">
        <v>1188</v>
      </c>
      <c r="F228" s="7" t="n">
        <v>14012</v>
      </c>
      <c r="G228" s="6" t="s">
        <v>473</v>
      </c>
      <c r="H228" s="8" t="n">
        <v>3270</v>
      </c>
      <c r="I228" s="8" t="n">
        <v>0</v>
      </c>
      <c r="J228" s="7" t="n">
        <v>0</v>
      </c>
      <c r="K228" s="9" t="s">
        <v>1189</v>
      </c>
      <c r="L228" s="6" t="s">
        <v>1190</v>
      </c>
      <c r="M228" s="6" t="s">
        <v>1191</v>
      </c>
      <c r="N228" s="10"/>
      <c r="O228" s="4" t="str">
        <f aca="false">IF(N228="","",LEN(N228))</f>
        <v/>
      </c>
    </row>
    <row r="229" customFormat="false" ht="39" hidden="false" customHeight="true" outlineLevel="0" collapsed="false">
      <c r="A229" s="4" t="n">
        <v>228</v>
      </c>
      <c r="B229" s="5" t="n">
        <f aca="false">IF(OR(C229="სხვა მოდელი წერია",I229&gt;=განმარტება!$B$4),1,IF(OR(C229="ცარიელი",I229&gt;=1),2,IF(H229&gt;=განმარტება!$B$5,3,4)))</f>
        <v>3</v>
      </c>
      <c r="C229" s="6" t="s">
        <v>15</v>
      </c>
      <c r="D229" s="6" t="s">
        <v>1192</v>
      </c>
      <c r="E229" s="7" t="s">
        <v>1193</v>
      </c>
      <c r="F229" s="7" t="n">
        <v>156</v>
      </c>
      <c r="G229" s="6" t="s">
        <v>205</v>
      </c>
      <c r="H229" s="8" t="n">
        <v>3249</v>
      </c>
      <c r="I229" s="8" t="n">
        <v>0</v>
      </c>
      <c r="J229" s="7" t="n">
        <v>0</v>
      </c>
      <c r="K229" s="9" t="s">
        <v>1194</v>
      </c>
      <c r="L229" s="6" t="s">
        <v>1195</v>
      </c>
      <c r="M229" s="6" t="s">
        <v>1196</v>
      </c>
      <c r="N229" s="10"/>
      <c r="O229" s="4" t="str">
        <f aca="false">IF(N229="","",LEN(N229))</f>
        <v/>
      </c>
    </row>
    <row r="230" customFormat="false" ht="39" hidden="false" customHeight="true" outlineLevel="0" collapsed="false">
      <c r="A230" s="4" t="n">
        <v>229</v>
      </c>
      <c r="B230" s="5" t="n">
        <f aca="false">IF(OR(C230="სხვა მოდელი წერია",I230&gt;=განმარტება!$B$4),1,IF(OR(C230="ცარიელი",I230&gt;=1),2,IF(H230&gt;=განმარტება!$B$5,3,4)))</f>
        <v>3</v>
      </c>
      <c r="C230" s="6" t="s">
        <v>15</v>
      </c>
      <c r="D230" s="6" t="s">
        <v>1197</v>
      </c>
      <c r="E230" s="7" t="s">
        <v>1198</v>
      </c>
      <c r="F230" s="7" t="n">
        <v>3060</v>
      </c>
      <c r="G230" s="6" t="s">
        <v>24</v>
      </c>
      <c r="H230" s="8" t="n">
        <v>3199</v>
      </c>
      <c r="I230" s="8" t="n">
        <v>0</v>
      </c>
      <c r="J230" s="7" t="n">
        <v>0</v>
      </c>
      <c r="K230" s="9" t="s">
        <v>1199</v>
      </c>
      <c r="L230" s="6" t="s">
        <v>1200</v>
      </c>
      <c r="M230" s="6" t="s">
        <v>1201</v>
      </c>
      <c r="N230" s="10"/>
      <c r="O230" s="4" t="str">
        <f aca="false">IF(N230="","",LEN(N230))</f>
        <v/>
      </c>
    </row>
    <row r="231" customFormat="false" ht="51.75" hidden="false" customHeight="true" outlineLevel="0" collapsed="false">
      <c r="A231" s="4" t="n">
        <v>230</v>
      </c>
      <c r="B231" s="5" t="n">
        <f aca="false">IF(OR(C231="სხვა მოდელი წერია",I231&gt;=განმარტება!$B$4),1,IF(OR(C231="ცარიელი",I231&gt;=1),2,IF(H231&gt;=განმარტება!$B$5,3,4)))</f>
        <v>3</v>
      </c>
      <c r="C231" s="6" t="s">
        <v>15</v>
      </c>
      <c r="D231" s="6" t="s">
        <v>1202</v>
      </c>
      <c r="E231" s="7" t="s">
        <v>1203</v>
      </c>
      <c r="F231" s="7" t="n">
        <v>3032</v>
      </c>
      <c r="G231" s="6" t="s">
        <v>211</v>
      </c>
      <c r="H231" s="8" t="n">
        <v>3199</v>
      </c>
      <c r="I231" s="8" t="n">
        <v>0</v>
      </c>
      <c r="J231" s="7" t="n">
        <v>0</v>
      </c>
      <c r="K231" s="9" t="s">
        <v>1204</v>
      </c>
      <c r="L231" s="6" t="s">
        <v>1164</v>
      </c>
      <c r="M231" s="6" t="s">
        <v>1205</v>
      </c>
      <c r="N231" s="10"/>
      <c r="O231" s="4" t="str">
        <f aca="false">IF(N231="","",LEN(N231))</f>
        <v/>
      </c>
    </row>
    <row r="232" customFormat="false" ht="39" hidden="false" customHeight="true" outlineLevel="0" collapsed="false">
      <c r="A232" s="4" t="n">
        <v>231</v>
      </c>
      <c r="B232" s="5" t="n">
        <f aca="false">IF(OR(C232="სხვა მოდელი წერია",I232&gt;=განმარტება!$B$4),1,IF(OR(C232="ცარიელი",I232&gt;=1),2,IF(H232&gt;=განმარტება!$B$5,3,4)))</f>
        <v>3</v>
      </c>
      <c r="C232" s="6" t="s">
        <v>15</v>
      </c>
      <c r="D232" s="6" t="s">
        <v>1206</v>
      </c>
      <c r="E232" s="7" t="s">
        <v>1207</v>
      </c>
      <c r="F232" s="7" t="n">
        <v>12994</v>
      </c>
      <c r="G232" s="6" t="s">
        <v>205</v>
      </c>
      <c r="H232" s="8" t="n">
        <v>3199</v>
      </c>
      <c r="I232" s="8" t="n">
        <v>0</v>
      </c>
      <c r="J232" s="7" t="n">
        <v>0</v>
      </c>
      <c r="K232" s="9" t="s">
        <v>1208</v>
      </c>
      <c r="L232" s="6" t="s">
        <v>1209</v>
      </c>
      <c r="M232" s="6" t="s">
        <v>1210</v>
      </c>
      <c r="N232" s="10"/>
      <c r="O232" s="4" t="str">
        <f aca="false">IF(N232="","",LEN(N232))</f>
        <v/>
      </c>
    </row>
    <row r="233" customFormat="false" ht="39" hidden="false" customHeight="true" outlineLevel="0" collapsed="false">
      <c r="A233" s="4" t="n">
        <v>232</v>
      </c>
      <c r="B233" s="5" t="n">
        <f aca="false">IF(OR(C233="სხვა მოდელი წერია",I233&gt;=განმარტება!$B$4),1,IF(OR(C233="ცარიელი",I233&gt;=1),2,IF(H233&gt;=განმარტება!$B$5,3,4)))</f>
        <v>3</v>
      </c>
      <c r="C233" s="6" t="s">
        <v>15</v>
      </c>
      <c r="D233" s="6" t="s">
        <v>1211</v>
      </c>
      <c r="E233" s="7" t="s">
        <v>1212</v>
      </c>
      <c r="F233" s="7" t="n">
        <v>2857</v>
      </c>
      <c r="G233" s="6" t="s">
        <v>205</v>
      </c>
      <c r="H233" s="8" t="n">
        <v>3199</v>
      </c>
      <c r="I233" s="8" t="n">
        <v>0</v>
      </c>
      <c r="J233" s="7" t="n">
        <v>0</v>
      </c>
      <c r="K233" s="9" t="s">
        <v>1213</v>
      </c>
      <c r="L233" s="6" t="s">
        <v>1214</v>
      </c>
      <c r="M233" s="6" t="s">
        <v>1215</v>
      </c>
      <c r="N233" s="10"/>
      <c r="O233" s="4" t="str">
        <f aca="false">IF(N233="","",LEN(N233))</f>
        <v/>
      </c>
    </row>
    <row r="234" customFormat="false" ht="39" hidden="false" customHeight="true" outlineLevel="0" collapsed="false">
      <c r="A234" s="4" t="n">
        <v>233</v>
      </c>
      <c r="B234" s="5" t="n">
        <f aca="false">IF(OR(C234="სხვა მოდელი წერია",I234&gt;=განმარტება!$B$4),1,IF(OR(C234="ცარიელი",I234&gt;=1),2,IF(H234&gt;=განმარტება!$B$5,3,4)))</f>
        <v>3</v>
      </c>
      <c r="C234" s="6" t="s">
        <v>15</v>
      </c>
      <c r="D234" s="6" t="s">
        <v>1216</v>
      </c>
      <c r="E234" s="7" t="s">
        <v>1217</v>
      </c>
      <c r="F234" s="7" t="n">
        <v>3766</v>
      </c>
      <c r="G234" s="6" t="s">
        <v>106</v>
      </c>
      <c r="H234" s="8" t="n">
        <v>3100</v>
      </c>
      <c r="I234" s="8" t="n">
        <v>0</v>
      </c>
      <c r="J234" s="7" t="n">
        <v>0</v>
      </c>
      <c r="K234" s="9" t="s">
        <v>1218</v>
      </c>
      <c r="L234" s="6" t="s">
        <v>1219</v>
      </c>
      <c r="M234" s="6" t="s">
        <v>1220</v>
      </c>
      <c r="N234" s="10"/>
      <c r="O234" s="4" t="str">
        <f aca="false">IF(N234="","",LEN(N234))</f>
        <v/>
      </c>
    </row>
    <row r="235" customFormat="false" ht="39" hidden="false" customHeight="true" outlineLevel="0" collapsed="false">
      <c r="A235" s="4" t="n">
        <v>234</v>
      </c>
      <c r="B235" s="5" t="n">
        <f aca="false">IF(OR(C235="სხვა მოდელი წერია",I235&gt;=განმარტება!$B$4),1,IF(OR(C235="ცარიელი",I235&gt;=1),2,IF(H235&gt;=განმარტება!$B$5,3,4)))</f>
        <v>3</v>
      </c>
      <c r="C235" s="6" t="s">
        <v>15</v>
      </c>
      <c r="D235" s="6" t="s">
        <v>1221</v>
      </c>
      <c r="E235" s="7" t="s">
        <v>1222</v>
      </c>
      <c r="F235" s="7" t="n">
        <v>2799</v>
      </c>
      <c r="G235" s="6" t="s">
        <v>112</v>
      </c>
      <c r="H235" s="8" t="n">
        <v>3099</v>
      </c>
      <c r="I235" s="8" t="n">
        <v>0</v>
      </c>
      <c r="J235" s="7" t="n">
        <v>0</v>
      </c>
      <c r="K235" s="9" t="s">
        <v>1223</v>
      </c>
      <c r="L235" s="6" t="s">
        <v>1224</v>
      </c>
      <c r="M235" s="6" t="s">
        <v>1225</v>
      </c>
      <c r="N235" s="10"/>
      <c r="O235" s="4" t="str">
        <f aca="false">IF(N235="","",LEN(N235))</f>
        <v/>
      </c>
    </row>
    <row r="236" customFormat="false" ht="39" hidden="false" customHeight="true" outlineLevel="0" collapsed="false">
      <c r="A236" s="4" t="n">
        <v>235</v>
      </c>
      <c r="B236" s="5" t="n">
        <f aca="false">IF(OR(C236="სხვა მოდელი წერია",I236&gt;=განმარტება!$B$4),1,IF(OR(C236="ცარიელი",I236&gt;=1),2,IF(H236&gt;=განმარტება!$B$5,3,4)))</f>
        <v>3</v>
      </c>
      <c r="C236" s="6" t="s">
        <v>15</v>
      </c>
      <c r="D236" s="6" t="s">
        <v>1226</v>
      </c>
      <c r="E236" s="7" t="s">
        <v>1227</v>
      </c>
      <c r="F236" s="7" t="n">
        <v>3172</v>
      </c>
      <c r="G236" s="6" t="s">
        <v>24</v>
      </c>
      <c r="H236" s="8" t="n">
        <v>3099</v>
      </c>
      <c r="I236" s="8" t="n">
        <v>0</v>
      </c>
      <c r="J236" s="7" t="n">
        <v>0</v>
      </c>
      <c r="K236" s="9" t="s">
        <v>1228</v>
      </c>
      <c r="L236" s="6" t="s">
        <v>1229</v>
      </c>
      <c r="M236" s="6" t="s">
        <v>1230</v>
      </c>
      <c r="N236" s="10"/>
      <c r="O236" s="4" t="str">
        <f aca="false">IF(N236="","",LEN(N236))</f>
        <v/>
      </c>
    </row>
    <row r="237" customFormat="false" ht="39" hidden="false" customHeight="true" outlineLevel="0" collapsed="false">
      <c r="A237" s="4" t="n">
        <v>236</v>
      </c>
      <c r="B237" s="5" t="n">
        <f aca="false">IF(OR(C237="სხვა მოდელი წერია",I237&gt;=განმარტება!$B$4),1,IF(OR(C237="ცარიელი",I237&gt;=1),2,IF(H237&gt;=განმარტება!$B$5,3,4)))</f>
        <v>3</v>
      </c>
      <c r="C237" s="6" t="s">
        <v>15</v>
      </c>
      <c r="D237" s="6" t="s">
        <v>1231</v>
      </c>
      <c r="E237" s="7" t="s">
        <v>1232</v>
      </c>
      <c r="F237" s="7" t="n">
        <v>583</v>
      </c>
      <c r="G237" s="6" t="s">
        <v>24</v>
      </c>
      <c r="H237" s="8" t="n">
        <v>3099</v>
      </c>
      <c r="I237" s="8" t="n">
        <v>0</v>
      </c>
      <c r="J237" s="7" t="n">
        <v>0</v>
      </c>
      <c r="K237" s="9" t="s">
        <v>1233</v>
      </c>
      <c r="L237" s="6" t="s">
        <v>1234</v>
      </c>
      <c r="M237" s="6" t="s">
        <v>1235</v>
      </c>
      <c r="N237" s="10"/>
      <c r="O237" s="4" t="str">
        <f aca="false">IF(N237="","",LEN(N237))</f>
        <v/>
      </c>
    </row>
    <row r="238" customFormat="false" ht="39" hidden="false" customHeight="true" outlineLevel="0" collapsed="false">
      <c r="A238" s="4" t="n">
        <v>237</v>
      </c>
      <c r="B238" s="5" t="n">
        <f aca="false">IF(OR(C238="სხვა მოდელი წერია",I238&gt;=განმარტება!$B$4),1,IF(OR(C238="ცარიელი",I238&gt;=1),2,IF(H238&gt;=განმარტება!$B$5,3,4)))</f>
        <v>3</v>
      </c>
      <c r="C238" s="6" t="s">
        <v>15</v>
      </c>
      <c r="D238" s="6" t="s">
        <v>1236</v>
      </c>
      <c r="E238" s="7" t="s">
        <v>1237</v>
      </c>
      <c r="F238" s="7" t="n">
        <v>2475</v>
      </c>
      <c r="G238" s="6" t="s">
        <v>24</v>
      </c>
      <c r="H238" s="8" t="n">
        <v>2999</v>
      </c>
      <c r="I238" s="8" t="n">
        <v>0</v>
      </c>
      <c r="J238" s="7" t="n">
        <v>0</v>
      </c>
      <c r="K238" s="9" t="s">
        <v>1238</v>
      </c>
      <c r="L238" s="6" t="s">
        <v>1239</v>
      </c>
      <c r="M238" s="6" t="s">
        <v>1240</v>
      </c>
      <c r="N238" s="10"/>
      <c r="O238" s="4" t="str">
        <f aca="false">IF(N238="","",LEN(N238))</f>
        <v/>
      </c>
    </row>
    <row r="239" customFormat="false" ht="39" hidden="false" customHeight="true" outlineLevel="0" collapsed="false">
      <c r="A239" s="4" t="n">
        <v>238</v>
      </c>
      <c r="B239" s="5" t="n">
        <f aca="false">IF(OR(C239="სხვა მოდელი წერია",I239&gt;=განმარტება!$B$4),1,IF(OR(C239="ცარიელი",I239&gt;=1),2,IF(H239&gt;=განმარტება!$B$5,3,4)))</f>
        <v>3</v>
      </c>
      <c r="C239" s="6" t="s">
        <v>15</v>
      </c>
      <c r="D239" s="6" t="s">
        <v>1241</v>
      </c>
      <c r="E239" s="7" t="s">
        <v>1242</v>
      </c>
      <c r="F239" s="7" t="n">
        <v>472</v>
      </c>
      <c r="G239" s="6" t="s">
        <v>24</v>
      </c>
      <c r="H239" s="8" t="n">
        <v>2999</v>
      </c>
      <c r="I239" s="8" t="n">
        <v>0</v>
      </c>
      <c r="J239" s="7" t="n">
        <v>0</v>
      </c>
      <c r="K239" s="9" t="s">
        <v>1243</v>
      </c>
      <c r="L239" s="6" t="s">
        <v>1244</v>
      </c>
      <c r="M239" s="6" t="s">
        <v>1245</v>
      </c>
      <c r="N239" s="10"/>
      <c r="O239" s="4" t="str">
        <f aca="false">IF(N239="","",LEN(N239))</f>
        <v/>
      </c>
    </row>
    <row r="240" customFormat="false" ht="39" hidden="false" customHeight="true" outlineLevel="0" collapsed="false">
      <c r="A240" s="4" t="n">
        <v>239</v>
      </c>
      <c r="B240" s="5" t="n">
        <f aca="false">IF(OR(C240="სხვა მოდელი წერია",I240&gt;=განმარტება!$B$4),1,IF(OR(C240="ცარიელი",I240&gt;=1),2,IF(H240&gt;=განმარტება!$B$5,3,4)))</f>
        <v>3</v>
      </c>
      <c r="C240" s="6" t="s">
        <v>15</v>
      </c>
      <c r="D240" s="6" t="s">
        <v>1246</v>
      </c>
      <c r="E240" s="7" t="s">
        <v>1247</v>
      </c>
      <c r="F240" s="7" t="n">
        <v>978</v>
      </c>
      <c r="G240" s="6" t="s">
        <v>24</v>
      </c>
      <c r="H240" s="8" t="n">
        <v>2999</v>
      </c>
      <c r="I240" s="8" t="n">
        <v>0</v>
      </c>
      <c r="J240" s="7" t="n">
        <v>0</v>
      </c>
      <c r="K240" s="9" t="s">
        <v>1248</v>
      </c>
      <c r="L240" s="6" t="s">
        <v>1249</v>
      </c>
      <c r="M240" s="6" t="s">
        <v>1250</v>
      </c>
      <c r="N240" s="10"/>
      <c r="O240" s="4" t="str">
        <f aca="false">IF(N240="","",LEN(N240))</f>
        <v/>
      </c>
    </row>
    <row r="241" customFormat="false" ht="39" hidden="false" customHeight="true" outlineLevel="0" collapsed="false">
      <c r="A241" s="4" t="n">
        <v>240</v>
      </c>
      <c r="B241" s="5" t="n">
        <f aca="false">IF(OR(C241="სხვა მოდელი წერია",I241&gt;=განმარტება!$B$4),1,IF(OR(C241="ცარიელი",I241&gt;=1),2,IF(H241&gt;=განმარტება!$B$5,3,4)))</f>
        <v>3</v>
      </c>
      <c r="C241" s="6" t="s">
        <v>15</v>
      </c>
      <c r="D241" s="6" t="s">
        <v>1251</v>
      </c>
      <c r="E241" s="7" t="s">
        <v>1252</v>
      </c>
      <c r="F241" s="7" t="n">
        <v>3911</v>
      </c>
      <c r="G241" s="6" t="s">
        <v>24</v>
      </c>
      <c r="H241" s="8" t="n">
        <v>2999</v>
      </c>
      <c r="I241" s="8" t="n">
        <v>0</v>
      </c>
      <c r="J241" s="7" t="n">
        <v>0</v>
      </c>
      <c r="K241" s="9" t="s">
        <v>1253</v>
      </c>
      <c r="L241" s="6" t="s">
        <v>1075</v>
      </c>
      <c r="M241" s="6" t="s">
        <v>1254</v>
      </c>
      <c r="N241" s="10"/>
      <c r="O241" s="4" t="str">
        <f aca="false">IF(N241="","",LEN(N241))</f>
        <v/>
      </c>
    </row>
    <row r="242" customFormat="false" ht="51.75" hidden="false" customHeight="true" outlineLevel="0" collapsed="false">
      <c r="A242" s="4" t="n">
        <v>241</v>
      </c>
      <c r="B242" s="5" t="n">
        <f aca="false">IF(OR(C242="სხვა მოდელი წერია",I242&gt;=განმარტება!$B$4),1,IF(OR(C242="ცარიელი",I242&gt;=1),2,IF(H242&gt;=განმარტება!$B$5,3,4)))</f>
        <v>3</v>
      </c>
      <c r="C242" s="6" t="s">
        <v>15</v>
      </c>
      <c r="D242" s="6" t="s">
        <v>1255</v>
      </c>
      <c r="E242" s="7" t="s">
        <v>1256</v>
      </c>
      <c r="F242" s="7" t="n">
        <v>901</v>
      </c>
      <c r="G242" s="6" t="s">
        <v>211</v>
      </c>
      <c r="H242" s="8" t="n">
        <v>2999</v>
      </c>
      <c r="I242" s="8" t="n">
        <v>0</v>
      </c>
      <c r="J242" s="7" t="n">
        <v>0</v>
      </c>
      <c r="K242" s="9" t="s">
        <v>1257</v>
      </c>
      <c r="L242" s="6" t="s">
        <v>1258</v>
      </c>
      <c r="M242" s="6" t="s">
        <v>1259</v>
      </c>
      <c r="N242" s="10"/>
      <c r="O242" s="4" t="str">
        <f aca="false">IF(N242="","",LEN(N242))</f>
        <v/>
      </c>
    </row>
    <row r="243" customFormat="false" ht="51.75" hidden="false" customHeight="true" outlineLevel="0" collapsed="false">
      <c r="A243" s="4" t="n">
        <v>242</v>
      </c>
      <c r="B243" s="5" t="n">
        <f aca="false">IF(OR(C243="სხვა მოდელი წერია",I243&gt;=განმარტება!$B$4),1,IF(OR(C243="ცარიელი",I243&gt;=1),2,IF(H243&gt;=განმარტება!$B$5,3,4)))</f>
        <v>3</v>
      </c>
      <c r="C243" s="6" t="s">
        <v>15</v>
      </c>
      <c r="D243" s="6" t="s">
        <v>1260</v>
      </c>
      <c r="E243" s="7" t="s">
        <v>1261</v>
      </c>
      <c r="F243" s="7" t="n">
        <v>3171</v>
      </c>
      <c r="G243" s="6" t="s">
        <v>48</v>
      </c>
      <c r="H243" s="8" t="n">
        <v>2999</v>
      </c>
      <c r="I243" s="8" t="n">
        <v>0</v>
      </c>
      <c r="J243" s="7" t="n">
        <v>0</v>
      </c>
      <c r="K243" s="9" t="s">
        <v>1262</v>
      </c>
      <c r="L243" s="6" t="s">
        <v>1263</v>
      </c>
      <c r="M243" s="6" t="s">
        <v>1264</v>
      </c>
      <c r="N243" s="10"/>
      <c r="O243" s="4" t="str">
        <f aca="false">IF(N243="","",LEN(N243))</f>
        <v/>
      </c>
    </row>
    <row r="244" customFormat="false" ht="39" hidden="false" customHeight="true" outlineLevel="0" collapsed="false">
      <c r="A244" s="4" t="n">
        <v>243</v>
      </c>
      <c r="B244" s="5" t="n">
        <f aca="false">IF(OR(C244="სხვა მოდელი წერია",I244&gt;=განმარტება!$B$4),1,IF(OR(C244="ცარიელი",I244&gt;=1),2,IF(H244&gt;=განმარტება!$B$5,3,4)))</f>
        <v>3</v>
      </c>
      <c r="C244" s="6" t="s">
        <v>15</v>
      </c>
      <c r="D244" s="6" t="s">
        <v>1265</v>
      </c>
      <c r="E244" s="7" t="s">
        <v>1266</v>
      </c>
      <c r="F244" s="7" t="n">
        <v>8934</v>
      </c>
      <c r="G244" s="6" t="s">
        <v>1267</v>
      </c>
      <c r="H244" s="8" t="n">
        <v>2998</v>
      </c>
      <c r="I244" s="8" t="n">
        <v>0</v>
      </c>
      <c r="J244" s="7" t="n">
        <v>0</v>
      </c>
      <c r="K244" s="9" t="s">
        <v>1268</v>
      </c>
      <c r="L244" s="6" t="s">
        <v>1269</v>
      </c>
      <c r="M244" s="6" t="s">
        <v>1270</v>
      </c>
      <c r="N244" s="10"/>
      <c r="O244" s="4" t="str">
        <f aca="false">IF(N244="","",LEN(N244))</f>
        <v/>
      </c>
    </row>
    <row r="245" customFormat="false" ht="51.75" hidden="false" customHeight="true" outlineLevel="0" collapsed="false">
      <c r="A245" s="4" t="n">
        <v>244</v>
      </c>
      <c r="B245" s="5" t="n">
        <f aca="false">IF(OR(C245="სხვა მოდელი წერია",I245&gt;=განმარტება!$B$4),1,IF(OR(C245="ცარიელი",I245&gt;=1),2,IF(H245&gt;=განმარტება!$B$5,3,4)))</f>
        <v>3</v>
      </c>
      <c r="C245" s="6" t="s">
        <v>15</v>
      </c>
      <c r="D245" s="6" t="s">
        <v>1271</v>
      </c>
      <c r="E245" s="7" t="s">
        <v>1272</v>
      </c>
      <c r="F245" s="7" t="n">
        <v>2713</v>
      </c>
      <c r="G245" s="6" t="s">
        <v>112</v>
      </c>
      <c r="H245" s="8" t="n">
        <v>2959</v>
      </c>
      <c r="I245" s="8" t="n">
        <v>0</v>
      </c>
      <c r="J245" s="7" t="n">
        <v>0</v>
      </c>
      <c r="K245" s="9" t="s">
        <v>1273</v>
      </c>
      <c r="L245" s="6" t="s">
        <v>1274</v>
      </c>
      <c r="M245" s="6" t="s">
        <v>1275</v>
      </c>
      <c r="N245" s="10"/>
      <c r="O245" s="4" t="str">
        <f aca="false">IF(N245="","",LEN(N245))</f>
        <v/>
      </c>
    </row>
    <row r="246" customFormat="false" ht="39" hidden="false" customHeight="true" outlineLevel="0" collapsed="false">
      <c r="A246" s="4" t="n">
        <v>245</v>
      </c>
      <c r="B246" s="5" t="n">
        <f aca="false">IF(OR(C246="სხვა მოდელი წერია",I246&gt;=განმარტება!$B$4),1,IF(OR(C246="ცარიელი",I246&gt;=1),2,IF(H246&gt;=განმარტება!$B$5,3,4)))</f>
        <v>3</v>
      </c>
      <c r="C246" s="6" t="s">
        <v>15</v>
      </c>
      <c r="D246" s="6" t="s">
        <v>1276</v>
      </c>
      <c r="E246" s="7" t="s">
        <v>1277</v>
      </c>
      <c r="F246" s="7" t="n">
        <v>1410</v>
      </c>
      <c r="G246" s="6" t="s">
        <v>24</v>
      </c>
      <c r="H246" s="8" t="n">
        <v>2899</v>
      </c>
      <c r="I246" s="8" t="n">
        <v>0</v>
      </c>
      <c r="J246" s="7" t="n">
        <v>0</v>
      </c>
      <c r="K246" s="9" t="s">
        <v>1278</v>
      </c>
      <c r="L246" s="6" t="s">
        <v>1279</v>
      </c>
      <c r="M246" s="6" t="s">
        <v>1280</v>
      </c>
      <c r="N246" s="10"/>
      <c r="O246" s="4" t="str">
        <f aca="false">IF(N246="","",LEN(N246))</f>
        <v/>
      </c>
    </row>
    <row r="247" customFormat="false" ht="39" hidden="false" customHeight="true" outlineLevel="0" collapsed="false">
      <c r="A247" s="4" t="n">
        <v>246</v>
      </c>
      <c r="B247" s="5" t="n">
        <f aca="false">IF(OR(C247="სხვა მოდელი წერია",I247&gt;=განმარტება!$B$4),1,IF(OR(C247="ცარიელი",I247&gt;=1),2,IF(H247&gt;=განმარტება!$B$5,3,4)))</f>
        <v>3</v>
      </c>
      <c r="C247" s="6" t="s">
        <v>15</v>
      </c>
      <c r="D247" s="6" t="s">
        <v>1281</v>
      </c>
      <c r="E247" s="7" t="s">
        <v>1282</v>
      </c>
      <c r="F247" s="7" t="n">
        <v>4024</v>
      </c>
      <c r="G247" s="6" t="s">
        <v>24</v>
      </c>
      <c r="H247" s="8" t="n">
        <v>2899</v>
      </c>
      <c r="I247" s="8" t="n">
        <v>0</v>
      </c>
      <c r="J247" s="7" t="n">
        <v>0</v>
      </c>
      <c r="K247" s="9" t="s">
        <v>1283</v>
      </c>
      <c r="L247" s="6" t="s">
        <v>1284</v>
      </c>
      <c r="M247" s="6" t="s">
        <v>1285</v>
      </c>
      <c r="N247" s="10"/>
      <c r="O247" s="4" t="str">
        <f aca="false">IF(N247="","",LEN(N247))</f>
        <v/>
      </c>
    </row>
    <row r="248" customFormat="false" ht="39" hidden="false" customHeight="true" outlineLevel="0" collapsed="false">
      <c r="A248" s="4" t="n">
        <v>247</v>
      </c>
      <c r="B248" s="5" t="n">
        <f aca="false">IF(OR(C248="სხვა მოდელი წერია",I248&gt;=განმარტება!$B$4),1,IF(OR(C248="ცარიელი",I248&gt;=1),2,IF(H248&gt;=განმარტება!$B$5,3,4)))</f>
        <v>3</v>
      </c>
      <c r="C248" s="6" t="s">
        <v>15</v>
      </c>
      <c r="D248" s="6" t="s">
        <v>1286</v>
      </c>
      <c r="E248" s="7" t="s">
        <v>1287</v>
      </c>
      <c r="F248" s="7" t="n">
        <v>548</v>
      </c>
      <c r="G248" s="6" t="s">
        <v>24</v>
      </c>
      <c r="H248" s="8" t="n">
        <v>2899</v>
      </c>
      <c r="I248" s="8" t="n">
        <v>0</v>
      </c>
      <c r="J248" s="7" t="n">
        <v>0</v>
      </c>
      <c r="K248" s="9" t="s">
        <v>1288</v>
      </c>
      <c r="L248" s="6" t="s">
        <v>1289</v>
      </c>
      <c r="M248" s="6" t="s">
        <v>1290</v>
      </c>
      <c r="N248" s="10"/>
      <c r="O248" s="4" t="str">
        <f aca="false">IF(N248="","",LEN(N248))</f>
        <v/>
      </c>
    </row>
    <row r="249" customFormat="false" ht="51.75" hidden="false" customHeight="true" outlineLevel="0" collapsed="false">
      <c r="A249" s="4" t="n">
        <v>248</v>
      </c>
      <c r="B249" s="5" t="n">
        <f aca="false">IF(OR(C249="სხვა მოდელი წერია",I249&gt;=განმარტება!$B$4),1,IF(OR(C249="ცარიელი",I249&gt;=1),2,IF(H249&gt;=განმარტება!$B$5,3,4)))</f>
        <v>3</v>
      </c>
      <c r="C249" s="6" t="s">
        <v>15</v>
      </c>
      <c r="D249" s="6" t="s">
        <v>1291</v>
      </c>
      <c r="E249" s="7" t="s">
        <v>1292</v>
      </c>
      <c r="F249" s="7" t="n">
        <v>2447</v>
      </c>
      <c r="G249" s="6" t="s">
        <v>48</v>
      </c>
      <c r="H249" s="8" t="n">
        <v>2899</v>
      </c>
      <c r="I249" s="8" t="n">
        <v>0</v>
      </c>
      <c r="J249" s="7" t="n">
        <v>0</v>
      </c>
      <c r="K249" s="9" t="s">
        <v>1293</v>
      </c>
      <c r="L249" s="6" t="s">
        <v>1294</v>
      </c>
      <c r="M249" s="6" t="s">
        <v>1295</v>
      </c>
      <c r="N249" s="10"/>
      <c r="O249" s="4" t="str">
        <f aca="false">IF(N249="","",LEN(N249))</f>
        <v/>
      </c>
    </row>
    <row r="250" customFormat="false" ht="51.75" hidden="false" customHeight="true" outlineLevel="0" collapsed="false">
      <c r="A250" s="4" t="n">
        <v>249</v>
      </c>
      <c r="B250" s="5" t="n">
        <f aca="false">IF(OR(C250="სხვა მოდელი წერია",I250&gt;=განმარტება!$B$4),1,IF(OR(C250="ცარიელი",I250&gt;=1),2,IF(H250&gt;=განმარტება!$B$5,3,4)))</f>
        <v>3</v>
      </c>
      <c r="C250" s="6" t="s">
        <v>15</v>
      </c>
      <c r="D250" s="6" t="s">
        <v>1296</v>
      </c>
      <c r="E250" s="7" t="s">
        <v>1297</v>
      </c>
      <c r="F250" s="7" t="n">
        <v>865</v>
      </c>
      <c r="G250" s="6" t="s">
        <v>211</v>
      </c>
      <c r="H250" s="8" t="n">
        <v>2799</v>
      </c>
      <c r="I250" s="8" t="n">
        <v>0</v>
      </c>
      <c r="J250" s="7" t="n">
        <v>0</v>
      </c>
      <c r="K250" s="9" t="s">
        <v>1298</v>
      </c>
      <c r="L250" s="6" t="s">
        <v>1299</v>
      </c>
      <c r="M250" s="6" t="s">
        <v>1300</v>
      </c>
      <c r="N250" s="10"/>
      <c r="O250" s="4" t="str">
        <f aca="false">IF(N250="","",LEN(N250))</f>
        <v/>
      </c>
    </row>
    <row r="251" customFormat="false" ht="51.75" hidden="false" customHeight="true" outlineLevel="0" collapsed="false">
      <c r="A251" s="4" t="n">
        <v>250</v>
      </c>
      <c r="B251" s="5" t="n">
        <f aca="false">IF(OR(C251="სხვა მოდელი წერია",I251&gt;=განმარტება!$B$4),1,IF(OR(C251="ცარიელი",I251&gt;=1),2,IF(H251&gt;=განმარტება!$B$5,3,4)))</f>
        <v>3</v>
      </c>
      <c r="C251" s="6" t="s">
        <v>15</v>
      </c>
      <c r="D251" s="6" t="s">
        <v>1301</v>
      </c>
      <c r="E251" s="7" t="s">
        <v>1302</v>
      </c>
      <c r="F251" s="7" t="n">
        <v>3093</v>
      </c>
      <c r="G251" s="6" t="s">
        <v>211</v>
      </c>
      <c r="H251" s="8" t="n">
        <v>2799</v>
      </c>
      <c r="I251" s="8" t="n">
        <v>0</v>
      </c>
      <c r="J251" s="7" t="n">
        <v>0</v>
      </c>
      <c r="K251" s="9" t="s">
        <v>1303</v>
      </c>
      <c r="L251" s="6" t="s">
        <v>1304</v>
      </c>
      <c r="M251" s="6" t="s">
        <v>1305</v>
      </c>
      <c r="N251" s="10"/>
      <c r="O251" s="4" t="str">
        <f aca="false">IF(N251="","",LEN(N251))</f>
        <v/>
      </c>
    </row>
    <row r="252" customFormat="false" ht="51.75" hidden="false" customHeight="true" outlineLevel="0" collapsed="false">
      <c r="A252" s="4" t="n">
        <v>251</v>
      </c>
      <c r="B252" s="5" t="n">
        <f aca="false">IF(OR(C252="სხვა მოდელი წერია",I252&gt;=განმარტება!$B$4),1,IF(OR(C252="ცარიელი",I252&gt;=1),2,IF(H252&gt;=განმარტება!$B$5,3,4)))</f>
        <v>3</v>
      </c>
      <c r="C252" s="6" t="s">
        <v>15</v>
      </c>
      <c r="D252" s="6" t="s">
        <v>1306</v>
      </c>
      <c r="E252" s="7" t="s">
        <v>1307</v>
      </c>
      <c r="F252" s="7" t="n">
        <v>912</v>
      </c>
      <c r="G252" s="6" t="s">
        <v>211</v>
      </c>
      <c r="H252" s="8" t="n">
        <v>2799</v>
      </c>
      <c r="I252" s="8" t="n">
        <v>0</v>
      </c>
      <c r="J252" s="7" t="n">
        <v>0</v>
      </c>
      <c r="K252" s="9" t="s">
        <v>1308</v>
      </c>
      <c r="L252" s="6" t="s">
        <v>1309</v>
      </c>
      <c r="M252" s="6" t="s">
        <v>1310</v>
      </c>
      <c r="N252" s="10"/>
      <c r="O252" s="4" t="str">
        <f aca="false">IF(N252="","",LEN(N252))</f>
        <v/>
      </c>
    </row>
    <row r="253" customFormat="false" ht="39" hidden="false" customHeight="true" outlineLevel="0" collapsed="false">
      <c r="A253" s="4" t="n">
        <v>252</v>
      </c>
      <c r="B253" s="5" t="n">
        <f aca="false">IF(OR(C253="სხვა მოდელი წერია",I253&gt;=განმარტება!$B$4),1,IF(OR(C253="ცარიელი",I253&gt;=1),2,IF(H253&gt;=განმარტება!$B$5,3,4)))</f>
        <v>3</v>
      </c>
      <c r="C253" s="6" t="s">
        <v>15</v>
      </c>
      <c r="D253" s="6" t="s">
        <v>1311</v>
      </c>
      <c r="E253" s="7" t="s">
        <v>1312</v>
      </c>
      <c r="F253" s="7" t="n">
        <v>2771</v>
      </c>
      <c r="G253" s="6" t="s">
        <v>112</v>
      </c>
      <c r="H253" s="8" t="n">
        <v>2699</v>
      </c>
      <c r="I253" s="8" t="n">
        <v>0</v>
      </c>
      <c r="J253" s="7" t="n">
        <v>0</v>
      </c>
      <c r="K253" s="9" t="s">
        <v>1313</v>
      </c>
      <c r="L253" s="6" t="s">
        <v>1314</v>
      </c>
      <c r="M253" s="6" t="s">
        <v>1315</v>
      </c>
      <c r="N253" s="10"/>
      <c r="O253" s="4" t="str">
        <f aca="false">IF(N253="","",LEN(N253))</f>
        <v/>
      </c>
    </row>
    <row r="254" customFormat="false" ht="39" hidden="false" customHeight="true" outlineLevel="0" collapsed="false">
      <c r="A254" s="4" t="n">
        <v>253</v>
      </c>
      <c r="B254" s="5" t="n">
        <f aca="false">IF(OR(C254="სხვა მოდელი წერია",I254&gt;=განმარტება!$B$4),1,IF(OR(C254="ცარიელი",I254&gt;=1),2,IF(H254&gt;=განმარტება!$B$5,3,4)))</f>
        <v>3</v>
      </c>
      <c r="C254" s="6" t="s">
        <v>15</v>
      </c>
      <c r="D254" s="6" t="s">
        <v>1316</v>
      </c>
      <c r="E254" s="7" t="s">
        <v>1317</v>
      </c>
      <c r="F254" s="7" t="n">
        <v>2918</v>
      </c>
      <c r="G254" s="6" t="s">
        <v>24</v>
      </c>
      <c r="H254" s="8" t="n">
        <v>2699</v>
      </c>
      <c r="I254" s="8" t="n">
        <v>0</v>
      </c>
      <c r="J254" s="7" t="n">
        <v>0</v>
      </c>
      <c r="K254" s="9" t="s">
        <v>1318</v>
      </c>
      <c r="L254" s="6" t="s">
        <v>1319</v>
      </c>
      <c r="M254" s="6" t="s">
        <v>1320</v>
      </c>
      <c r="N254" s="10"/>
      <c r="O254" s="4" t="str">
        <f aca="false">IF(N254="","",LEN(N254))</f>
        <v/>
      </c>
    </row>
    <row r="255" customFormat="false" ht="39" hidden="false" customHeight="true" outlineLevel="0" collapsed="false">
      <c r="A255" s="4" t="n">
        <v>254</v>
      </c>
      <c r="B255" s="5" t="n">
        <f aca="false">IF(OR(C255="სხვა მოდელი წერია",I255&gt;=განმარტება!$B$4),1,IF(OR(C255="ცარიელი",I255&gt;=1),2,IF(H255&gt;=განმარტება!$B$5,3,4)))</f>
        <v>3</v>
      </c>
      <c r="C255" s="6" t="s">
        <v>15</v>
      </c>
      <c r="D255" s="6" t="s">
        <v>1321</v>
      </c>
      <c r="E255" s="7" t="s">
        <v>1322</v>
      </c>
      <c r="F255" s="7" t="n">
        <v>2222</v>
      </c>
      <c r="G255" s="6" t="s">
        <v>205</v>
      </c>
      <c r="H255" s="8" t="n">
        <v>2699</v>
      </c>
      <c r="I255" s="8" t="n">
        <v>0</v>
      </c>
      <c r="J255" s="7" t="n">
        <v>0</v>
      </c>
      <c r="K255" s="9" t="s">
        <v>1323</v>
      </c>
      <c r="L255" s="6" t="s">
        <v>1324</v>
      </c>
      <c r="M255" s="6" t="s">
        <v>1325</v>
      </c>
      <c r="N255" s="10"/>
      <c r="O255" s="4" t="str">
        <f aca="false">IF(N255="","",LEN(N255))</f>
        <v/>
      </c>
    </row>
    <row r="256" customFormat="false" ht="39" hidden="false" customHeight="true" outlineLevel="0" collapsed="false">
      <c r="A256" s="4" t="n">
        <v>255</v>
      </c>
      <c r="B256" s="5" t="n">
        <f aca="false">IF(OR(C256="სხვა მოდელი წერია",I256&gt;=განმარტება!$B$4),1,IF(OR(C256="ცარიელი",I256&gt;=1),2,IF(H256&gt;=განმარტება!$B$5,3,4)))</f>
        <v>3</v>
      </c>
      <c r="C256" s="6" t="s">
        <v>15</v>
      </c>
      <c r="D256" s="6" t="s">
        <v>1326</v>
      </c>
      <c r="E256" s="7" t="s">
        <v>1327</v>
      </c>
      <c r="F256" s="7" t="n">
        <v>3802</v>
      </c>
      <c r="G256" s="6" t="s">
        <v>89</v>
      </c>
      <c r="H256" s="8" t="n">
        <v>2630</v>
      </c>
      <c r="I256" s="8" t="n">
        <v>0</v>
      </c>
      <c r="J256" s="7" t="n">
        <v>0</v>
      </c>
      <c r="K256" s="9" t="s">
        <v>1328</v>
      </c>
      <c r="L256" s="6" t="s">
        <v>1329</v>
      </c>
      <c r="M256" s="6" t="s">
        <v>1330</v>
      </c>
      <c r="N256" s="10"/>
      <c r="O256" s="4" t="str">
        <f aca="false">IF(N256="","",LEN(N256))</f>
        <v/>
      </c>
    </row>
    <row r="257" customFormat="false" ht="39" hidden="false" customHeight="true" outlineLevel="0" collapsed="false">
      <c r="A257" s="4" t="n">
        <v>256</v>
      </c>
      <c r="B257" s="5" t="n">
        <f aca="false">IF(OR(C257="სხვა მოდელი წერია",I257&gt;=განმარტება!$B$4),1,IF(OR(C257="ცარიელი",I257&gt;=1),2,IF(H257&gt;=განმარტება!$B$5,3,4)))</f>
        <v>3</v>
      </c>
      <c r="C257" s="6" t="s">
        <v>15</v>
      </c>
      <c r="D257" s="6" t="s">
        <v>1331</v>
      </c>
      <c r="E257" s="7" t="s">
        <v>1332</v>
      </c>
      <c r="F257" s="7" t="n">
        <v>1062</v>
      </c>
      <c r="G257" s="6" t="s">
        <v>112</v>
      </c>
      <c r="H257" s="8" t="n">
        <v>2610</v>
      </c>
      <c r="I257" s="8" t="n">
        <v>0</v>
      </c>
      <c r="J257" s="7" t="n">
        <v>0</v>
      </c>
      <c r="K257" s="9" t="s">
        <v>1333</v>
      </c>
      <c r="L257" s="6" t="s">
        <v>1334</v>
      </c>
      <c r="M257" s="6" t="s">
        <v>1335</v>
      </c>
      <c r="N257" s="10"/>
      <c r="O257" s="4" t="str">
        <f aca="false">IF(N257="","",LEN(N257))</f>
        <v/>
      </c>
    </row>
    <row r="258" customFormat="false" ht="39" hidden="false" customHeight="true" outlineLevel="0" collapsed="false">
      <c r="A258" s="4" t="n">
        <v>257</v>
      </c>
      <c r="B258" s="5" t="n">
        <f aca="false">IF(OR(C258="სხვა მოდელი წერია",I258&gt;=განმარტება!$B$4),1,IF(OR(C258="ცარიელი",I258&gt;=1),2,IF(H258&gt;=განმარტება!$B$5,3,4)))</f>
        <v>3</v>
      </c>
      <c r="C258" s="6" t="s">
        <v>15</v>
      </c>
      <c r="D258" s="6" t="s">
        <v>1336</v>
      </c>
      <c r="E258" s="7" t="s">
        <v>1337</v>
      </c>
      <c r="F258" s="7" t="n">
        <v>1864</v>
      </c>
      <c r="G258" s="6" t="s">
        <v>112</v>
      </c>
      <c r="H258" s="8" t="n">
        <v>2599</v>
      </c>
      <c r="I258" s="8" t="n">
        <v>0</v>
      </c>
      <c r="J258" s="7" t="n">
        <v>0</v>
      </c>
      <c r="K258" s="9" t="s">
        <v>1338</v>
      </c>
      <c r="L258" s="6" t="s">
        <v>1339</v>
      </c>
      <c r="M258" s="6" t="s">
        <v>1340</v>
      </c>
      <c r="N258" s="10"/>
      <c r="O258" s="4" t="str">
        <f aca="false">IF(N258="","",LEN(N258))</f>
        <v/>
      </c>
    </row>
    <row r="259" customFormat="false" ht="39" hidden="false" customHeight="true" outlineLevel="0" collapsed="false">
      <c r="A259" s="4" t="n">
        <v>258</v>
      </c>
      <c r="B259" s="5" t="n">
        <f aca="false">IF(OR(C259="სხვა მოდელი წერია",I259&gt;=განმარტება!$B$4),1,IF(OR(C259="ცარიელი",I259&gt;=1),2,IF(H259&gt;=განმარტება!$B$5,3,4)))</f>
        <v>3</v>
      </c>
      <c r="C259" s="6" t="s">
        <v>15</v>
      </c>
      <c r="D259" s="6" t="s">
        <v>1341</v>
      </c>
      <c r="E259" s="7" t="s">
        <v>1342</v>
      </c>
      <c r="F259" s="7" t="n">
        <v>3176</v>
      </c>
      <c r="G259" s="6" t="s">
        <v>24</v>
      </c>
      <c r="H259" s="8" t="n">
        <v>2599</v>
      </c>
      <c r="I259" s="8" t="n">
        <v>0</v>
      </c>
      <c r="J259" s="7" t="n">
        <v>0</v>
      </c>
      <c r="K259" s="9" t="s">
        <v>1343</v>
      </c>
      <c r="L259" s="6" t="s">
        <v>1344</v>
      </c>
      <c r="M259" s="6" t="s">
        <v>1345</v>
      </c>
      <c r="N259" s="10"/>
      <c r="O259" s="4" t="str">
        <f aca="false">IF(N259="","",LEN(N259))</f>
        <v/>
      </c>
    </row>
    <row r="260" customFormat="false" ht="39" hidden="false" customHeight="true" outlineLevel="0" collapsed="false">
      <c r="A260" s="4" t="n">
        <v>259</v>
      </c>
      <c r="B260" s="5" t="n">
        <f aca="false">IF(OR(C260="სხვა მოდელი წერია",I260&gt;=განმარტება!$B$4),1,IF(OR(C260="ცარიელი",I260&gt;=1),2,IF(H260&gt;=განმარტება!$B$5,3,4)))</f>
        <v>3</v>
      </c>
      <c r="C260" s="6" t="s">
        <v>15</v>
      </c>
      <c r="D260" s="6" t="s">
        <v>1346</v>
      </c>
      <c r="E260" s="7" t="s">
        <v>1347</v>
      </c>
      <c r="F260" s="7" t="n">
        <v>1413</v>
      </c>
      <c r="G260" s="6" t="s">
        <v>24</v>
      </c>
      <c r="H260" s="8" t="n">
        <v>2599</v>
      </c>
      <c r="I260" s="8" t="n">
        <v>0</v>
      </c>
      <c r="J260" s="7" t="n">
        <v>0</v>
      </c>
      <c r="K260" s="9" t="s">
        <v>1348</v>
      </c>
      <c r="L260" s="6" t="s">
        <v>1349</v>
      </c>
      <c r="M260" s="6" t="s">
        <v>1350</v>
      </c>
      <c r="N260" s="10"/>
      <c r="O260" s="4" t="str">
        <f aca="false">IF(N260="","",LEN(N260))</f>
        <v/>
      </c>
    </row>
    <row r="261" customFormat="false" ht="51.75" hidden="false" customHeight="true" outlineLevel="0" collapsed="false">
      <c r="A261" s="4" t="n">
        <v>260</v>
      </c>
      <c r="B261" s="5" t="n">
        <f aca="false">IF(OR(C261="სხვა მოდელი წერია",I261&gt;=განმარტება!$B$4),1,IF(OR(C261="ცარიელი",I261&gt;=1),2,IF(H261&gt;=განმარტება!$B$5,3,4)))</f>
        <v>3</v>
      </c>
      <c r="C261" s="6" t="s">
        <v>15</v>
      </c>
      <c r="D261" s="6" t="s">
        <v>1351</v>
      </c>
      <c r="E261" s="7" t="s">
        <v>1352</v>
      </c>
      <c r="F261" s="7" t="n">
        <v>890</v>
      </c>
      <c r="G261" s="6" t="s">
        <v>211</v>
      </c>
      <c r="H261" s="8" t="n">
        <v>2599</v>
      </c>
      <c r="I261" s="8" t="n">
        <v>0</v>
      </c>
      <c r="J261" s="7" t="n">
        <v>0</v>
      </c>
      <c r="K261" s="9" t="s">
        <v>1353</v>
      </c>
      <c r="L261" s="6" t="s">
        <v>1354</v>
      </c>
      <c r="M261" s="6" t="s">
        <v>1355</v>
      </c>
      <c r="N261" s="10"/>
      <c r="O261" s="4" t="str">
        <f aca="false">IF(N261="","",LEN(N261))</f>
        <v/>
      </c>
    </row>
    <row r="262" customFormat="false" ht="51.75" hidden="false" customHeight="true" outlineLevel="0" collapsed="false">
      <c r="A262" s="4" t="n">
        <v>261</v>
      </c>
      <c r="B262" s="5" t="n">
        <f aca="false">IF(OR(C262="სხვა მოდელი წერია",I262&gt;=განმარტება!$B$4),1,IF(OR(C262="ცარიელი",I262&gt;=1),2,IF(H262&gt;=განმარტება!$B$5,3,4)))</f>
        <v>3</v>
      </c>
      <c r="C262" s="6" t="s">
        <v>15</v>
      </c>
      <c r="D262" s="6" t="s">
        <v>1356</v>
      </c>
      <c r="E262" s="7" t="s">
        <v>1357</v>
      </c>
      <c r="F262" s="7" t="n">
        <v>3993</v>
      </c>
      <c r="G262" s="6" t="s">
        <v>48</v>
      </c>
      <c r="H262" s="8" t="n">
        <v>2599</v>
      </c>
      <c r="I262" s="8" t="n">
        <v>0</v>
      </c>
      <c r="J262" s="7" t="n">
        <v>0</v>
      </c>
      <c r="K262" s="9" t="s">
        <v>1358</v>
      </c>
      <c r="L262" s="6" t="s">
        <v>1359</v>
      </c>
      <c r="M262" s="6" t="s">
        <v>1360</v>
      </c>
      <c r="N262" s="10"/>
      <c r="O262" s="4" t="str">
        <f aca="false">IF(N262="","",LEN(N262))</f>
        <v/>
      </c>
    </row>
    <row r="263" customFormat="false" ht="39" hidden="false" customHeight="true" outlineLevel="0" collapsed="false">
      <c r="A263" s="4" t="n">
        <v>262</v>
      </c>
      <c r="B263" s="5" t="n">
        <f aca="false">IF(OR(C263="სხვა მოდელი წერია",I263&gt;=განმარტება!$B$4),1,IF(OR(C263="ცარიელი",I263&gt;=1),2,IF(H263&gt;=განმარტება!$B$5,3,4)))</f>
        <v>3</v>
      </c>
      <c r="C263" s="6" t="s">
        <v>15</v>
      </c>
      <c r="D263" s="6" t="s">
        <v>1361</v>
      </c>
      <c r="E263" s="7" t="s">
        <v>1362</v>
      </c>
      <c r="F263" s="7" t="n">
        <v>2704</v>
      </c>
      <c r="G263" s="6" t="s">
        <v>112</v>
      </c>
      <c r="H263" s="8" t="n">
        <v>2519</v>
      </c>
      <c r="I263" s="8" t="n">
        <v>0</v>
      </c>
      <c r="J263" s="7" t="n">
        <v>0</v>
      </c>
      <c r="K263" s="9" t="s">
        <v>1363</v>
      </c>
      <c r="L263" s="6" t="s">
        <v>1364</v>
      </c>
      <c r="M263" s="6" t="s">
        <v>1365</v>
      </c>
      <c r="N263" s="10"/>
      <c r="O263" s="4" t="str">
        <f aca="false">IF(N263="","",LEN(N263))</f>
        <v/>
      </c>
    </row>
    <row r="264" customFormat="false" ht="39" hidden="false" customHeight="true" outlineLevel="0" collapsed="false">
      <c r="A264" s="4" t="n">
        <v>263</v>
      </c>
      <c r="B264" s="5" t="n">
        <f aca="false">IF(OR(C264="სხვა მოდელი წერია",I264&gt;=განმარტება!$B$4),1,IF(OR(C264="ცარიელი",I264&gt;=1),2,IF(H264&gt;=განმარტება!$B$5,3,4)))</f>
        <v>3</v>
      </c>
      <c r="C264" s="6" t="s">
        <v>15</v>
      </c>
      <c r="D264" s="6" t="s">
        <v>1366</v>
      </c>
      <c r="E264" s="7" t="s">
        <v>1367</v>
      </c>
      <c r="F264" s="7" t="n">
        <v>3779</v>
      </c>
      <c r="G264" s="6" t="s">
        <v>118</v>
      </c>
      <c r="H264" s="8" t="n">
        <v>2509</v>
      </c>
      <c r="I264" s="8" t="n">
        <v>0</v>
      </c>
      <c r="J264" s="7" t="n">
        <v>0</v>
      </c>
      <c r="K264" s="9" t="s">
        <v>1368</v>
      </c>
      <c r="L264" s="6" t="s">
        <v>1369</v>
      </c>
      <c r="M264" s="6" t="s">
        <v>1370</v>
      </c>
      <c r="N264" s="10"/>
      <c r="O264" s="4" t="str">
        <f aca="false">IF(N264="","",LEN(N264))</f>
        <v/>
      </c>
    </row>
    <row r="265" customFormat="false" ht="39" hidden="false" customHeight="true" outlineLevel="0" collapsed="false">
      <c r="A265" s="4" t="n">
        <v>264</v>
      </c>
      <c r="B265" s="5" t="n">
        <f aca="false">IF(OR(C265="სხვა მოდელი წერია",I265&gt;=განმარტება!$B$4),1,IF(OR(C265="ცარიელი",I265&gt;=1),2,IF(H265&gt;=განმარტება!$B$5,3,4)))</f>
        <v>3</v>
      </c>
      <c r="C265" s="6" t="s">
        <v>15</v>
      </c>
      <c r="D265" s="6" t="s">
        <v>1371</v>
      </c>
      <c r="E265" s="7" t="s">
        <v>1372</v>
      </c>
      <c r="F265" s="7" t="n">
        <v>1492</v>
      </c>
      <c r="G265" s="6" t="s">
        <v>106</v>
      </c>
      <c r="H265" s="8" t="n">
        <v>2500</v>
      </c>
      <c r="I265" s="8" t="n">
        <v>0</v>
      </c>
      <c r="J265" s="7" t="n">
        <v>0</v>
      </c>
      <c r="K265" s="9" t="s">
        <v>1373</v>
      </c>
      <c r="L265" s="6" t="s">
        <v>1374</v>
      </c>
      <c r="M265" s="6" t="s">
        <v>1375</v>
      </c>
      <c r="N265" s="10"/>
      <c r="O265" s="4" t="str">
        <f aca="false">IF(N265="","",LEN(N265))</f>
        <v/>
      </c>
    </row>
    <row r="266" customFormat="false" ht="39" hidden="false" customHeight="true" outlineLevel="0" collapsed="false">
      <c r="A266" s="4" t="n">
        <v>265</v>
      </c>
      <c r="B266" s="5" t="n">
        <f aca="false">IF(OR(C266="სხვა მოდელი წერია",I266&gt;=განმარტება!$B$4),1,IF(OR(C266="ცარიელი",I266&gt;=1),2,IF(H266&gt;=განმარტება!$B$5,3,4)))</f>
        <v>3</v>
      </c>
      <c r="C266" s="6" t="s">
        <v>15</v>
      </c>
      <c r="D266" s="6" t="s">
        <v>1376</v>
      </c>
      <c r="E266" s="7" t="s">
        <v>1377</v>
      </c>
      <c r="F266" s="7" t="n">
        <v>2894</v>
      </c>
      <c r="G266" s="6" t="s">
        <v>24</v>
      </c>
      <c r="H266" s="8" t="n">
        <v>2499</v>
      </c>
      <c r="I266" s="8" t="n">
        <v>0</v>
      </c>
      <c r="J266" s="7" t="n">
        <v>0</v>
      </c>
      <c r="K266" s="9" t="s">
        <v>1378</v>
      </c>
      <c r="L266" s="6" t="s">
        <v>1379</v>
      </c>
      <c r="M266" s="6" t="s">
        <v>1380</v>
      </c>
      <c r="N266" s="10"/>
      <c r="O266" s="4" t="str">
        <f aca="false">IF(N266="","",LEN(N266))</f>
        <v/>
      </c>
    </row>
    <row r="267" customFormat="false" ht="39" hidden="false" customHeight="true" outlineLevel="0" collapsed="false">
      <c r="A267" s="4" t="n">
        <v>266</v>
      </c>
      <c r="B267" s="5" t="n">
        <f aca="false">IF(OR(C267="სხვა მოდელი წერია",I267&gt;=განმარტება!$B$4),1,IF(OR(C267="ცარიელი",I267&gt;=1),2,IF(H267&gt;=განმარტება!$B$5,3,4)))</f>
        <v>3</v>
      </c>
      <c r="C267" s="6" t="s">
        <v>15</v>
      </c>
      <c r="D267" s="6" t="s">
        <v>1381</v>
      </c>
      <c r="E267" s="7" t="s">
        <v>1382</v>
      </c>
      <c r="F267" s="7" t="n">
        <v>3767</v>
      </c>
      <c r="G267" s="6" t="s">
        <v>118</v>
      </c>
      <c r="H267" s="8" t="n">
        <v>2495</v>
      </c>
      <c r="I267" s="8" t="n">
        <v>0</v>
      </c>
      <c r="J267" s="7" t="n">
        <v>0</v>
      </c>
      <c r="K267" s="9" t="s">
        <v>1383</v>
      </c>
      <c r="L267" s="6" t="s">
        <v>1384</v>
      </c>
      <c r="M267" s="6" t="s">
        <v>1385</v>
      </c>
      <c r="N267" s="10"/>
      <c r="O267" s="4" t="str">
        <f aca="false">IF(N267="","",LEN(N267))</f>
        <v/>
      </c>
    </row>
    <row r="268" customFormat="false" ht="39" hidden="false" customHeight="true" outlineLevel="0" collapsed="false">
      <c r="A268" s="4" t="n">
        <v>267</v>
      </c>
      <c r="B268" s="5" t="n">
        <f aca="false">IF(OR(C268="სხვა მოდელი წერია",I268&gt;=განმარტება!$B$4),1,IF(OR(C268="ცარიელი",I268&gt;=1),2,IF(H268&gt;=განმარტება!$B$5,3,4)))</f>
        <v>3</v>
      </c>
      <c r="C268" s="6" t="s">
        <v>15</v>
      </c>
      <c r="D268" s="6" t="s">
        <v>1386</v>
      </c>
      <c r="E268" s="7" t="s">
        <v>1387</v>
      </c>
      <c r="F268" s="7" t="n">
        <v>2786</v>
      </c>
      <c r="G268" s="6" t="s">
        <v>112</v>
      </c>
      <c r="H268" s="8" t="n">
        <v>2479</v>
      </c>
      <c r="I268" s="8" t="n">
        <v>0</v>
      </c>
      <c r="J268" s="7" t="n">
        <v>0</v>
      </c>
      <c r="K268" s="9" t="s">
        <v>1388</v>
      </c>
      <c r="L268" s="6" t="s">
        <v>1389</v>
      </c>
      <c r="M268" s="6" t="s">
        <v>1390</v>
      </c>
      <c r="N268" s="10"/>
      <c r="O268" s="4" t="str">
        <f aca="false">IF(N268="","",LEN(N268))</f>
        <v/>
      </c>
    </row>
    <row r="269" customFormat="false" ht="39" hidden="false" customHeight="true" outlineLevel="0" collapsed="false">
      <c r="A269" s="4" t="n">
        <v>268</v>
      </c>
      <c r="B269" s="5" t="n">
        <f aca="false">IF(OR(C269="სხვა მოდელი წერია",I269&gt;=განმარტება!$B$4),1,IF(OR(C269="ცარიელი",I269&gt;=1),2,IF(H269&gt;=განმარტება!$B$5,3,4)))</f>
        <v>3</v>
      </c>
      <c r="C269" s="6" t="s">
        <v>15</v>
      </c>
      <c r="D269" s="6" t="s">
        <v>1391</v>
      </c>
      <c r="E269" s="7" t="s">
        <v>1392</v>
      </c>
      <c r="F269" s="7" t="n">
        <v>1346</v>
      </c>
      <c r="G269" s="6" t="s">
        <v>106</v>
      </c>
      <c r="H269" s="8" t="n">
        <v>2450</v>
      </c>
      <c r="I269" s="8" t="n">
        <v>0</v>
      </c>
      <c r="J269" s="7" t="n">
        <v>0</v>
      </c>
      <c r="K269" s="9" t="s">
        <v>1393</v>
      </c>
      <c r="L269" s="6" t="s">
        <v>1394</v>
      </c>
      <c r="M269" s="6" t="s">
        <v>1395</v>
      </c>
      <c r="N269" s="10"/>
      <c r="O269" s="4" t="str">
        <f aca="false">IF(N269="","",LEN(N269))</f>
        <v/>
      </c>
    </row>
    <row r="270" customFormat="false" ht="39" hidden="false" customHeight="true" outlineLevel="0" collapsed="false">
      <c r="A270" s="4" t="n">
        <v>269</v>
      </c>
      <c r="B270" s="5" t="n">
        <f aca="false">IF(OR(C270="სხვა მოდელი წერია",I270&gt;=განმარტება!$B$4),1,IF(OR(C270="ცარიელი",I270&gt;=1),2,IF(H270&gt;=განმარტება!$B$5,3,4)))</f>
        <v>3</v>
      </c>
      <c r="C270" s="6" t="s">
        <v>15</v>
      </c>
      <c r="D270" s="6" t="s">
        <v>1396</v>
      </c>
      <c r="E270" s="7" t="s">
        <v>1397</v>
      </c>
      <c r="F270" s="7" t="n">
        <v>8933</v>
      </c>
      <c r="G270" s="6" t="s">
        <v>1267</v>
      </c>
      <c r="H270" s="8" t="n">
        <v>2443</v>
      </c>
      <c r="I270" s="8" t="n">
        <v>0</v>
      </c>
      <c r="J270" s="7" t="n">
        <v>0</v>
      </c>
      <c r="K270" s="9" t="s">
        <v>1398</v>
      </c>
      <c r="L270" s="6" t="s">
        <v>1399</v>
      </c>
      <c r="M270" s="6" t="s">
        <v>1400</v>
      </c>
      <c r="N270" s="10"/>
      <c r="O270" s="4" t="str">
        <f aca="false">IF(N270="","",LEN(N270))</f>
        <v/>
      </c>
    </row>
    <row r="271" customFormat="false" ht="39" hidden="false" customHeight="true" outlineLevel="0" collapsed="false">
      <c r="A271" s="4" t="n">
        <v>270</v>
      </c>
      <c r="B271" s="5" t="n">
        <f aca="false">IF(OR(C271="სხვა მოდელი წერია",I271&gt;=განმარტება!$B$4),1,IF(OR(C271="ცარიელი",I271&gt;=1),2,IF(H271&gt;=განმარტება!$B$5,3,4)))</f>
        <v>3</v>
      </c>
      <c r="C271" s="6" t="s">
        <v>15</v>
      </c>
      <c r="D271" s="6" t="s">
        <v>1401</v>
      </c>
      <c r="E271" s="7" t="s">
        <v>1402</v>
      </c>
      <c r="F271" s="7" t="n">
        <v>8905</v>
      </c>
      <c r="G271" s="6" t="s">
        <v>1267</v>
      </c>
      <c r="H271" s="8" t="n">
        <v>2399</v>
      </c>
      <c r="I271" s="8" t="n">
        <v>0</v>
      </c>
      <c r="J271" s="7" t="n">
        <v>0</v>
      </c>
      <c r="K271" s="9" t="s">
        <v>1403</v>
      </c>
      <c r="L271" s="6" t="s">
        <v>1404</v>
      </c>
      <c r="M271" s="6" t="s">
        <v>1405</v>
      </c>
      <c r="N271" s="10"/>
      <c r="O271" s="4" t="str">
        <f aca="false">IF(N271="","",LEN(N271))</f>
        <v/>
      </c>
    </row>
    <row r="272" customFormat="false" ht="39" hidden="false" customHeight="true" outlineLevel="0" collapsed="false">
      <c r="A272" s="4" t="n">
        <v>271</v>
      </c>
      <c r="B272" s="5" t="n">
        <f aca="false">IF(OR(C272="სხვა მოდელი წერია",I272&gt;=განმარტება!$B$4),1,IF(OR(C272="ცარიელი",I272&gt;=1),2,IF(H272&gt;=განმარტება!$B$5,3,4)))</f>
        <v>3</v>
      </c>
      <c r="C272" s="6" t="s">
        <v>15</v>
      </c>
      <c r="D272" s="6" t="s">
        <v>1406</v>
      </c>
      <c r="E272" s="7" t="s">
        <v>1407</v>
      </c>
      <c r="F272" s="7" t="n">
        <v>3021</v>
      </c>
      <c r="G272" s="6" t="s">
        <v>24</v>
      </c>
      <c r="H272" s="8" t="n">
        <v>2399</v>
      </c>
      <c r="I272" s="8" t="n">
        <v>0</v>
      </c>
      <c r="J272" s="7" t="n">
        <v>0</v>
      </c>
      <c r="K272" s="9" t="s">
        <v>1408</v>
      </c>
      <c r="L272" s="6" t="s">
        <v>1409</v>
      </c>
      <c r="M272" s="6" t="s">
        <v>1410</v>
      </c>
      <c r="N272" s="10"/>
      <c r="O272" s="4" t="str">
        <f aca="false">IF(N272="","",LEN(N272))</f>
        <v/>
      </c>
    </row>
    <row r="273" customFormat="false" ht="39" hidden="false" customHeight="true" outlineLevel="0" collapsed="false">
      <c r="A273" s="4" t="n">
        <v>272</v>
      </c>
      <c r="B273" s="5" t="n">
        <f aca="false">IF(OR(C273="სხვა მოდელი წერია",I273&gt;=განმარტება!$B$4),1,IF(OR(C273="ცარიელი",I273&gt;=1),2,IF(H273&gt;=განმარტება!$B$5,3,4)))</f>
        <v>3</v>
      </c>
      <c r="C273" s="6" t="s">
        <v>15</v>
      </c>
      <c r="D273" s="6" t="s">
        <v>1411</v>
      </c>
      <c r="E273" s="7" t="s">
        <v>1412</v>
      </c>
      <c r="F273" s="7" t="n">
        <v>853</v>
      </c>
      <c r="G273" s="6" t="s">
        <v>24</v>
      </c>
      <c r="H273" s="8" t="n">
        <v>2399</v>
      </c>
      <c r="I273" s="8" t="n">
        <v>0</v>
      </c>
      <c r="J273" s="7" t="n">
        <v>0</v>
      </c>
      <c r="K273" s="9" t="s">
        <v>1413</v>
      </c>
      <c r="L273" s="6" t="s">
        <v>1414</v>
      </c>
      <c r="M273" s="6" t="s">
        <v>1415</v>
      </c>
      <c r="N273" s="10"/>
      <c r="O273" s="4" t="str">
        <f aca="false">IF(N273="","",LEN(N273))</f>
        <v/>
      </c>
    </row>
    <row r="274" customFormat="false" ht="77.25" hidden="false" customHeight="true" outlineLevel="0" collapsed="false">
      <c r="A274" s="4" t="n">
        <v>273</v>
      </c>
      <c r="B274" s="5" t="n">
        <f aca="false">IF(OR(C274="სხვა მოდელი წერია",I274&gt;=განმარტება!$B$4),1,IF(OR(C274="ცარიელი",I274&gt;=1),2,IF(H274&gt;=განმარტება!$B$5,3,4)))</f>
        <v>3</v>
      </c>
      <c r="C274" s="6" t="s">
        <v>15</v>
      </c>
      <c r="D274" s="6" t="s">
        <v>1416</v>
      </c>
      <c r="E274" s="7" t="s">
        <v>1417</v>
      </c>
      <c r="F274" s="7" t="n">
        <v>2097</v>
      </c>
      <c r="G274" s="6" t="s">
        <v>1418</v>
      </c>
      <c r="H274" s="8" t="n">
        <v>2384</v>
      </c>
      <c r="I274" s="8" t="n">
        <v>0</v>
      </c>
      <c r="J274" s="7" t="n">
        <v>0</v>
      </c>
      <c r="K274" s="9" t="s">
        <v>1419</v>
      </c>
      <c r="L274" s="6" t="s">
        <v>1420</v>
      </c>
      <c r="M274" s="6" t="s">
        <v>1421</v>
      </c>
      <c r="N274" s="10"/>
      <c r="O274" s="4" t="str">
        <f aca="false">IF(N274="","",LEN(N274))</f>
        <v/>
      </c>
    </row>
    <row r="275" customFormat="false" ht="39" hidden="false" customHeight="true" outlineLevel="0" collapsed="false">
      <c r="A275" s="4" t="n">
        <v>274</v>
      </c>
      <c r="B275" s="5" t="n">
        <f aca="false">IF(OR(C275="სხვა მოდელი წერია",I275&gt;=განმარტება!$B$4),1,IF(OR(C275="ცარიელი",I275&gt;=1),2,IF(H275&gt;=განმარტება!$B$5,3,4)))</f>
        <v>3</v>
      </c>
      <c r="C275" s="6" t="s">
        <v>15</v>
      </c>
      <c r="D275" s="6" t="s">
        <v>1422</v>
      </c>
      <c r="E275" s="7" t="s">
        <v>1423</v>
      </c>
      <c r="F275" s="7" t="n">
        <v>8924</v>
      </c>
      <c r="G275" s="6" t="s">
        <v>1267</v>
      </c>
      <c r="H275" s="8" t="n">
        <v>2349</v>
      </c>
      <c r="I275" s="8" t="n">
        <v>0</v>
      </c>
      <c r="J275" s="7" t="n">
        <v>0</v>
      </c>
      <c r="K275" s="9" t="s">
        <v>1424</v>
      </c>
      <c r="L275" s="6" t="s">
        <v>1425</v>
      </c>
      <c r="M275" s="6" t="s">
        <v>1426</v>
      </c>
      <c r="N275" s="10"/>
      <c r="O275" s="4" t="str">
        <f aca="false">IF(N275="","",LEN(N275))</f>
        <v/>
      </c>
    </row>
    <row r="276" customFormat="false" ht="39" hidden="false" customHeight="true" outlineLevel="0" collapsed="false">
      <c r="A276" s="4" t="n">
        <v>275</v>
      </c>
      <c r="B276" s="5" t="n">
        <f aca="false">IF(OR(C276="სხვა მოდელი წერია",I276&gt;=განმარტება!$B$4),1,IF(OR(C276="ცარიელი",I276&gt;=1),2,IF(H276&gt;=განმარტება!$B$5,3,4)))</f>
        <v>3</v>
      </c>
      <c r="C276" s="6" t="s">
        <v>15</v>
      </c>
      <c r="D276" s="6" t="s">
        <v>1427</v>
      </c>
      <c r="E276" s="7" t="s">
        <v>1428</v>
      </c>
      <c r="F276" s="7" t="n">
        <v>2794</v>
      </c>
      <c r="G276" s="6" t="s">
        <v>112</v>
      </c>
      <c r="H276" s="8" t="n">
        <v>2349</v>
      </c>
      <c r="I276" s="8" t="n">
        <v>0</v>
      </c>
      <c r="J276" s="7" t="n">
        <v>0</v>
      </c>
      <c r="K276" s="9" t="s">
        <v>1429</v>
      </c>
      <c r="L276" s="6" t="s">
        <v>1430</v>
      </c>
      <c r="M276" s="6" t="s">
        <v>1431</v>
      </c>
      <c r="N276" s="10"/>
      <c r="O276" s="4" t="str">
        <f aca="false">IF(N276="","",LEN(N276))</f>
        <v/>
      </c>
    </row>
    <row r="277" customFormat="false" ht="39" hidden="false" customHeight="true" outlineLevel="0" collapsed="false">
      <c r="A277" s="4" t="n">
        <v>276</v>
      </c>
      <c r="B277" s="5" t="n">
        <f aca="false">IF(OR(C277="სხვა მოდელი წერია",I277&gt;=განმარტება!$B$4),1,IF(OR(C277="ცარიელი",I277&gt;=1),2,IF(H277&gt;=განმარტება!$B$5,3,4)))</f>
        <v>3</v>
      </c>
      <c r="C277" s="6" t="s">
        <v>15</v>
      </c>
      <c r="D277" s="6" t="s">
        <v>1432</v>
      </c>
      <c r="E277" s="7" t="s">
        <v>1433</v>
      </c>
      <c r="F277" s="7" t="n">
        <v>3957</v>
      </c>
      <c r="G277" s="6" t="s">
        <v>24</v>
      </c>
      <c r="H277" s="8" t="n">
        <v>2339</v>
      </c>
      <c r="I277" s="8" t="n">
        <v>0</v>
      </c>
      <c r="J277" s="7" t="n">
        <v>0</v>
      </c>
      <c r="K277" s="9" t="s">
        <v>1434</v>
      </c>
      <c r="L277" s="6" t="s">
        <v>1435</v>
      </c>
      <c r="M277" s="6" t="s">
        <v>1436</v>
      </c>
      <c r="N277" s="10"/>
      <c r="O277" s="4" t="str">
        <f aca="false">IF(N277="","",LEN(N277))</f>
        <v/>
      </c>
    </row>
    <row r="278" customFormat="false" ht="51.75" hidden="false" customHeight="true" outlineLevel="0" collapsed="false">
      <c r="A278" s="4" t="n">
        <v>277</v>
      </c>
      <c r="B278" s="5" t="n">
        <f aca="false">IF(OR(C278="სხვა მოდელი წერია",I278&gt;=განმარტება!$B$4),1,IF(OR(C278="ცარიელი",I278&gt;=1),2,IF(H278&gt;=განმარტება!$B$5,3,4)))</f>
        <v>3</v>
      </c>
      <c r="C278" s="6" t="s">
        <v>15</v>
      </c>
      <c r="D278" s="6" t="s">
        <v>1437</v>
      </c>
      <c r="E278" s="7" t="s">
        <v>1438</v>
      </c>
      <c r="F278" s="7" t="n">
        <v>1943</v>
      </c>
      <c r="G278" s="6" t="s">
        <v>36</v>
      </c>
      <c r="H278" s="8" t="n">
        <v>2300</v>
      </c>
      <c r="I278" s="8" t="n">
        <v>0</v>
      </c>
      <c r="J278" s="7" t="n">
        <v>0</v>
      </c>
      <c r="K278" s="9" t="s">
        <v>1439</v>
      </c>
      <c r="L278" s="6" t="s">
        <v>1440</v>
      </c>
      <c r="M278" s="6" t="s">
        <v>1441</v>
      </c>
      <c r="N278" s="10"/>
      <c r="O278" s="4" t="str">
        <f aca="false">IF(N278="","",LEN(N278))</f>
        <v/>
      </c>
    </row>
    <row r="279" customFormat="false" ht="39" hidden="false" customHeight="true" outlineLevel="0" collapsed="false">
      <c r="A279" s="4" t="n">
        <v>278</v>
      </c>
      <c r="B279" s="5" t="n">
        <f aca="false">IF(OR(C279="სხვა მოდელი წერია",I279&gt;=განმარტება!$B$4),1,IF(OR(C279="ცარიელი",I279&gt;=1),2,IF(H279&gt;=განმარტება!$B$5,3,4)))</f>
        <v>3</v>
      </c>
      <c r="C279" s="6" t="s">
        <v>15</v>
      </c>
      <c r="D279" s="6" t="s">
        <v>1442</v>
      </c>
      <c r="E279" s="7" t="s">
        <v>1443</v>
      </c>
      <c r="F279" s="7" t="n">
        <v>2777</v>
      </c>
      <c r="G279" s="6" t="s">
        <v>112</v>
      </c>
      <c r="H279" s="8" t="n">
        <v>2299</v>
      </c>
      <c r="I279" s="8" t="n">
        <v>0</v>
      </c>
      <c r="J279" s="7" t="n">
        <v>0</v>
      </c>
      <c r="K279" s="9" t="s">
        <v>1444</v>
      </c>
      <c r="L279" s="6" t="s">
        <v>1445</v>
      </c>
      <c r="M279" s="6" t="s">
        <v>1446</v>
      </c>
      <c r="N279" s="10"/>
      <c r="O279" s="4" t="str">
        <f aca="false">IF(N279="","",LEN(N279))</f>
        <v/>
      </c>
    </row>
    <row r="280" customFormat="false" ht="39" hidden="false" customHeight="true" outlineLevel="0" collapsed="false">
      <c r="A280" s="4" t="n">
        <v>279</v>
      </c>
      <c r="B280" s="5" t="n">
        <f aca="false">IF(OR(C280="სხვა მოდელი წერია",I280&gt;=განმარტება!$B$4),1,IF(OR(C280="ცარიელი",I280&gt;=1),2,IF(H280&gt;=განმარტება!$B$5,3,4)))</f>
        <v>3</v>
      </c>
      <c r="C280" s="6" t="s">
        <v>15</v>
      </c>
      <c r="D280" s="6" t="s">
        <v>1447</v>
      </c>
      <c r="E280" s="7" t="s">
        <v>1448</v>
      </c>
      <c r="F280" s="7" t="n">
        <v>257</v>
      </c>
      <c r="G280" s="6" t="s">
        <v>112</v>
      </c>
      <c r="H280" s="8" t="n">
        <v>2299</v>
      </c>
      <c r="I280" s="8" t="n">
        <v>0</v>
      </c>
      <c r="J280" s="7" t="n">
        <v>0</v>
      </c>
      <c r="K280" s="9" t="s">
        <v>1449</v>
      </c>
      <c r="L280" s="6" t="s">
        <v>1450</v>
      </c>
      <c r="M280" s="6" t="s">
        <v>1451</v>
      </c>
      <c r="N280" s="10"/>
      <c r="O280" s="4" t="str">
        <f aca="false">IF(N280="","",LEN(N280))</f>
        <v/>
      </c>
    </row>
    <row r="281" customFormat="false" ht="39" hidden="false" customHeight="true" outlineLevel="0" collapsed="false">
      <c r="A281" s="4" t="n">
        <v>280</v>
      </c>
      <c r="B281" s="5" t="n">
        <f aca="false">IF(OR(C281="სხვა მოდელი წერია",I281&gt;=განმარტება!$B$4),1,IF(OR(C281="ცარიელი",I281&gt;=1),2,IF(H281&gt;=განმარტება!$B$5,3,4)))</f>
        <v>3</v>
      </c>
      <c r="C281" s="6" t="s">
        <v>15</v>
      </c>
      <c r="D281" s="6" t="s">
        <v>1452</v>
      </c>
      <c r="E281" s="7" t="s">
        <v>1453</v>
      </c>
      <c r="F281" s="7" t="n">
        <v>2703</v>
      </c>
      <c r="G281" s="6" t="s">
        <v>112</v>
      </c>
      <c r="H281" s="8" t="n">
        <v>2299</v>
      </c>
      <c r="I281" s="8" t="n">
        <v>0</v>
      </c>
      <c r="J281" s="7" t="n">
        <v>0</v>
      </c>
      <c r="K281" s="9" t="s">
        <v>1454</v>
      </c>
      <c r="L281" s="6" t="s">
        <v>1455</v>
      </c>
      <c r="M281" s="6" t="s">
        <v>1456</v>
      </c>
      <c r="N281" s="10"/>
      <c r="O281" s="4" t="str">
        <f aca="false">IF(N281="","",LEN(N281))</f>
        <v/>
      </c>
    </row>
    <row r="282" customFormat="false" ht="39" hidden="false" customHeight="true" outlineLevel="0" collapsed="false">
      <c r="A282" s="4" t="n">
        <v>281</v>
      </c>
      <c r="B282" s="5" t="n">
        <f aca="false">IF(OR(C282="სხვა მოდელი წერია",I282&gt;=განმარტება!$B$4),1,IF(OR(C282="ცარიელი",I282&gt;=1),2,IF(H282&gt;=განმარტება!$B$5,3,4)))</f>
        <v>3</v>
      </c>
      <c r="C282" s="6" t="s">
        <v>15</v>
      </c>
      <c r="D282" s="6" t="s">
        <v>1457</v>
      </c>
      <c r="E282" s="7" t="s">
        <v>1458</v>
      </c>
      <c r="F282" s="7" t="n">
        <v>517</v>
      </c>
      <c r="G282" s="6" t="s">
        <v>24</v>
      </c>
      <c r="H282" s="8" t="n">
        <v>2299</v>
      </c>
      <c r="I282" s="8" t="n">
        <v>0</v>
      </c>
      <c r="J282" s="7" t="n">
        <v>0</v>
      </c>
      <c r="K282" s="9" t="s">
        <v>1459</v>
      </c>
      <c r="L282" s="6" t="s">
        <v>1460</v>
      </c>
      <c r="M282" s="6" t="s">
        <v>1461</v>
      </c>
      <c r="N282" s="10"/>
      <c r="O282" s="4" t="str">
        <f aca="false">IF(N282="","",LEN(N282))</f>
        <v/>
      </c>
    </row>
    <row r="283" customFormat="false" ht="39" hidden="false" customHeight="true" outlineLevel="0" collapsed="false">
      <c r="A283" s="4" t="n">
        <v>282</v>
      </c>
      <c r="B283" s="5" t="n">
        <f aca="false">IF(OR(C283="სხვა მოდელი წერია",I283&gt;=განმარტება!$B$4),1,IF(OR(C283="ცარიელი",I283&gt;=1),2,IF(H283&gt;=განმარტება!$B$5,3,4)))</f>
        <v>3</v>
      </c>
      <c r="C283" s="6" t="s">
        <v>15</v>
      </c>
      <c r="D283" s="6" t="s">
        <v>1462</v>
      </c>
      <c r="E283" s="7" t="s">
        <v>1463</v>
      </c>
      <c r="F283" s="7" t="n">
        <v>3956</v>
      </c>
      <c r="G283" s="6" t="s">
        <v>24</v>
      </c>
      <c r="H283" s="8" t="n">
        <v>2299</v>
      </c>
      <c r="I283" s="8" t="n">
        <v>0</v>
      </c>
      <c r="J283" s="7" t="n">
        <v>0</v>
      </c>
      <c r="K283" s="9" t="s">
        <v>1464</v>
      </c>
      <c r="L283" s="6" t="s">
        <v>1465</v>
      </c>
      <c r="M283" s="6" t="s">
        <v>1466</v>
      </c>
      <c r="N283" s="10"/>
      <c r="O283" s="4" t="str">
        <f aca="false">IF(N283="","",LEN(N283))</f>
        <v/>
      </c>
    </row>
    <row r="284" customFormat="false" ht="51.75" hidden="false" customHeight="true" outlineLevel="0" collapsed="false">
      <c r="A284" s="4" t="n">
        <v>283</v>
      </c>
      <c r="B284" s="5" t="n">
        <f aca="false">IF(OR(C284="სხვა მოდელი წერია",I284&gt;=განმარტება!$B$4),1,IF(OR(C284="ცარიელი",I284&gt;=1),2,IF(H284&gt;=განმარტება!$B$5,3,4)))</f>
        <v>3</v>
      </c>
      <c r="C284" s="6" t="s">
        <v>15</v>
      </c>
      <c r="D284" s="6" t="s">
        <v>1467</v>
      </c>
      <c r="E284" s="7" t="s">
        <v>1468</v>
      </c>
      <c r="F284" s="7" t="n">
        <v>3035</v>
      </c>
      <c r="G284" s="6" t="s">
        <v>211</v>
      </c>
      <c r="H284" s="8" t="n">
        <v>2299</v>
      </c>
      <c r="I284" s="8" t="n">
        <v>0</v>
      </c>
      <c r="J284" s="7" t="n">
        <v>0</v>
      </c>
      <c r="K284" s="9" t="s">
        <v>1469</v>
      </c>
      <c r="L284" s="6" t="s">
        <v>1470</v>
      </c>
      <c r="M284" s="6" t="s">
        <v>1471</v>
      </c>
      <c r="N284" s="10"/>
      <c r="O284" s="4" t="str">
        <f aca="false">IF(N284="","",LEN(N284))</f>
        <v/>
      </c>
    </row>
    <row r="285" customFormat="false" ht="51.75" hidden="false" customHeight="true" outlineLevel="0" collapsed="false">
      <c r="A285" s="4" t="n">
        <v>284</v>
      </c>
      <c r="B285" s="5" t="n">
        <f aca="false">IF(OR(C285="სხვა მოდელი წერია",I285&gt;=განმარტება!$B$4),1,IF(OR(C285="ცარიელი",I285&gt;=1),2,IF(H285&gt;=განმარტება!$B$5,3,4)))</f>
        <v>3</v>
      </c>
      <c r="C285" s="6" t="s">
        <v>15</v>
      </c>
      <c r="D285" s="6" t="s">
        <v>1472</v>
      </c>
      <c r="E285" s="7" t="s">
        <v>1473</v>
      </c>
      <c r="F285" s="7" t="n">
        <v>2834</v>
      </c>
      <c r="G285" s="6" t="s">
        <v>48</v>
      </c>
      <c r="H285" s="8" t="n">
        <v>2299</v>
      </c>
      <c r="I285" s="8" t="n">
        <v>0</v>
      </c>
      <c r="J285" s="7" t="n">
        <v>0</v>
      </c>
      <c r="K285" s="9" t="s">
        <v>1474</v>
      </c>
      <c r="L285" s="6" t="s">
        <v>1475</v>
      </c>
      <c r="M285" s="6" t="s">
        <v>1476</v>
      </c>
      <c r="N285" s="10"/>
      <c r="O285" s="4" t="str">
        <f aca="false">IF(N285="","",LEN(N285))</f>
        <v/>
      </c>
    </row>
    <row r="286" customFormat="false" ht="39" hidden="false" customHeight="true" outlineLevel="0" collapsed="false">
      <c r="A286" s="4" t="n">
        <v>285</v>
      </c>
      <c r="B286" s="5" t="n">
        <f aca="false">IF(OR(C286="სხვა მოდელი წერია",I286&gt;=განმარტება!$B$4),1,IF(OR(C286="ცარიელი",I286&gt;=1),2,IF(H286&gt;=განმარტება!$B$5,3,4)))</f>
        <v>3</v>
      </c>
      <c r="C286" s="6" t="s">
        <v>15</v>
      </c>
      <c r="D286" s="6" t="s">
        <v>1477</v>
      </c>
      <c r="E286" s="7" t="s">
        <v>1478</v>
      </c>
      <c r="F286" s="7" t="n">
        <v>2812</v>
      </c>
      <c r="G286" s="6" t="s">
        <v>112</v>
      </c>
      <c r="H286" s="8" t="n">
        <v>2269</v>
      </c>
      <c r="I286" s="8" t="n">
        <v>0</v>
      </c>
      <c r="J286" s="7" t="n">
        <v>0</v>
      </c>
      <c r="K286" s="9" t="s">
        <v>1479</v>
      </c>
      <c r="L286" s="6" t="s">
        <v>1455</v>
      </c>
      <c r="M286" s="6" t="s">
        <v>1480</v>
      </c>
      <c r="N286" s="10"/>
      <c r="O286" s="4" t="str">
        <f aca="false">IF(N286="","",LEN(N286))</f>
        <v/>
      </c>
    </row>
    <row r="287" customFormat="false" ht="39" hidden="false" customHeight="true" outlineLevel="0" collapsed="false">
      <c r="A287" s="4" t="n">
        <v>286</v>
      </c>
      <c r="B287" s="5" t="n">
        <f aca="false">IF(OR(C287="სხვა მოდელი წერია",I287&gt;=განმარტება!$B$4),1,IF(OR(C287="ცარიელი",I287&gt;=1),2,IF(H287&gt;=განმარტება!$B$5,3,4)))</f>
        <v>3</v>
      </c>
      <c r="C287" s="6" t="s">
        <v>15</v>
      </c>
      <c r="D287" s="6" t="s">
        <v>1481</v>
      </c>
      <c r="E287" s="7" t="s">
        <v>1482</v>
      </c>
      <c r="F287" s="7" t="n">
        <v>2813</v>
      </c>
      <c r="G287" s="6" t="s">
        <v>112</v>
      </c>
      <c r="H287" s="8" t="n">
        <v>2269</v>
      </c>
      <c r="I287" s="8" t="n">
        <v>0</v>
      </c>
      <c r="J287" s="7" t="n">
        <v>0</v>
      </c>
      <c r="K287" s="9" t="s">
        <v>1483</v>
      </c>
      <c r="L287" s="6" t="s">
        <v>1455</v>
      </c>
      <c r="M287" s="6" t="s">
        <v>1484</v>
      </c>
      <c r="N287" s="10"/>
      <c r="O287" s="4" t="str">
        <f aca="false">IF(N287="","",LEN(N287))</f>
        <v/>
      </c>
    </row>
    <row r="288" customFormat="false" ht="39" hidden="false" customHeight="true" outlineLevel="0" collapsed="false">
      <c r="A288" s="4" t="n">
        <v>287</v>
      </c>
      <c r="B288" s="5" t="n">
        <f aca="false">IF(OR(C288="სხვა მოდელი წერია",I288&gt;=განმარტება!$B$4),1,IF(OR(C288="ცარიელი",I288&gt;=1),2,IF(H288&gt;=განმარტება!$B$5,3,4)))</f>
        <v>3</v>
      </c>
      <c r="C288" s="6" t="s">
        <v>15</v>
      </c>
      <c r="D288" s="6" t="s">
        <v>1485</v>
      </c>
      <c r="E288" s="7" t="s">
        <v>1486</v>
      </c>
      <c r="F288" s="7" t="n">
        <v>520</v>
      </c>
      <c r="G288" s="6" t="s">
        <v>24</v>
      </c>
      <c r="H288" s="8" t="n">
        <v>2259</v>
      </c>
      <c r="I288" s="8" t="n">
        <v>0</v>
      </c>
      <c r="J288" s="7" t="n">
        <v>0</v>
      </c>
      <c r="K288" s="9" t="s">
        <v>1487</v>
      </c>
      <c r="L288" s="6" t="s">
        <v>1488</v>
      </c>
      <c r="M288" s="6" t="s">
        <v>1489</v>
      </c>
      <c r="N288" s="10"/>
      <c r="O288" s="4" t="str">
        <f aca="false">IF(N288="","",LEN(N288))</f>
        <v/>
      </c>
    </row>
    <row r="289" customFormat="false" ht="39" hidden="false" customHeight="true" outlineLevel="0" collapsed="false">
      <c r="A289" s="4" t="n">
        <v>288</v>
      </c>
      <c r="B289" s="5" t="n">
        <f aca="false">IF(OR(C289="სხვა მოდელი წერია",I289&gt;=განმარტება!$B$4),1,IF(OR(C289="ცარიელი",I289&gt;=1),2,IF(H289&gt;=განმარტება!$B$5,3,4)))</f>
        <v>3</v>
      </c>
      <c r="C289" s="6" t="s">
        <v>15</v>
      </c>
      <c r="D289" s="6" t="s">
        <v>1490</v>
      </c>
      <c r="E289" s="7" t="s">
        <v>1491</v>
      </c>
      <c r="F289" s="7" t="n">
        <v>479</v>
      </c>
      <c r="G289" s="6" t="s">
        <v>24</v>
      </c>
      <c r="H289" s="8" t="n">
        <v>2250</v>
      </c>
      <c r="I289" s="8" t="n">
        <v>0</v>
      </c>
      <c r="J289" s="7" t="n">
        <v>0</v>
      </c>
      <c r="K289" s="9" t="s">
        <v>1492</v>
      </c>
      <c r="L289" s="6" t="s">
        <v>1493</v>
      </c>
      <c r="M289" s="6" t="s">
        <v>1494</v>
      </c>
      <c r="N289" s="10"/>
      <c r="O289" s="4" t="str">
        <f aca="false">IF(N289="","",LEN(N289))</f>
        <v/>
      </c>
    </row>
    <row r="290" customFormat="false" ht="51.75" hidden="false" customHeight="true" outlineLevel="0" collapsed="false">
      <c r="A290" s="4" t="n">
        <v>289</v>
      </c>
      <c r="B290" s="5" t="n">
        <f aca="false">IF(OR(C290="სხვა მოდელი წერია",I290&gt;=განმარტება!$B$4),1,IF(OR(C290="ცარიელი",I290&gt;=1),2,IF(H290&gt;=განმარტება!$B$5,3,4)))</f>
        <v>3</v>
      </c>
      <c r="C290" s="6" t="s">
        <v>15</v>
      </c>
      <c r="D290" s="6" t="s">
        <v>1495</v>
      </c>
      <c r="E290" s="7" t="s">
        <v>1496</v>
      </c>
      <c r="F290" s="7" t="n">
        <v>2712</v>
      </c>
      <c r="G290" s="6" t="s">
        <v>112</v>
      </c>
      <c r="H290" s="8" t="n">
        <v>2249</v>
      </c>
      <c r="I290" s="8" t="n">
        <v>0</v>
      </c>
      <c r="J290" s="7" t="n">
        <v>0</v>
      </c>
      <c r="K290" s="9" t="s">
        <v>1497</v>
      </c>
      <c r="L290" s="6" t="s">
        <v>1498</v>
      </c>
      <c r="M290" s="6" t="s">
        <v>1499</v>
      </c>
      <c r="N290" s="10"/>
      <c r="O290" s="4" t="str">
        <f aca="false">IF(N290="","",LEN(N290))</f>
        <v/>
      </c>
    </row>
    <row r="291" customFormat="false" ht="51.75" hidden="false" customHeight="true" outlineLevel="0" collapsed="false">
      <c r="A291" s="4" t="n">
        <v>290</v>
      </c>
      <c r="B291" s="5" t="n">
        <f aca="false">IF(OR(C291="სხვა მოდელი წერია",I291&gt;=განმარტება!$B$4),1,IF(OR(C291="ცარიელი",I291&gt;=1),2,IF(H291&gt;=განმარტება!$B$5,3,4)))</f>
        <v>3</v>
      </c>
      <c r="C291" s="6" t="s">
        <v>15</v>
      </c>
      <c r="D291" s="6" t="s">
        <v>1500</v>
      </c>
      <c r="E291" s="7" t="s">
        <v>1501</v>
      </c>
      <c r="F291" s="7" t="n">
        <v>875</v>
      </c>
      <c r="G291" s="6" t="s">
        <v>211</v>
      </c>
      <c r="H291" s="8" t="n">
        <v>2249</v>
      </c>
      <c r="I291" s="8" t="n">
        <v>0</v>
      </c>
      <c r="J291" s="7" t="n">
        <v>0</v>
      </c>
      <c r="K291" s="9" t="s">
        <v>1502</v>
      </c>
      <c r="L291" s="6" t="s">
        <v>1503</v>
      </c>
      <c r="M291" s="6" t="s">
        <v>1504</v>
      </c>
      <c r="N291" s="10"/>
      <c r="O291" s="4" t="str">
        <f aca="false">IF(N291="","",LEN(N291))</f>
        <v/>
      </c>
    </row>
    <row r="292" customFormat="false" ht="39" hidden="false" customHeight="true" outlineLevel="0" collapsed="false">
      <c r="A292" s="4" t="n">
        <v>291</v>
      </c>
      <c r="B292" s="5" t="n">
        <f aca="false">IF(OR(C292="სხვა მოდელი წერია",I292&gt;=განმარტება!$B$4),1,IF(OR(C292="ცარიელი",I292&gt;=1),2,IF(H292&gt;=განმარტება!$B$5,3,4)))</f>
        <v>3</v>
      </c>
      <c r="C292" s="6" t="s">
        <v>15</v>
      </c>
      <c r="D292" s="6" t="s">
        <v>1505</v>
      </c>
      <c r="E292" s="7" t="s">
        <v>1506</v>
      </c>
      <c r="F292" s="7" t="n">
        <v>1272</v>
      </c>
      <c r="G292" s="6" t="s">
        <v>205</v>
      </c>
      <c r="H292" s="8" t="n">
        <v>2204</v>
      </c>
      <c r="I292" s="8" t="n">
        <v>0</v>
      </c>
      <c r="J292" s="7" t="n">
        <v>0</v>
      </c>
      <c r="K292" s="9" t="s">
        <v>1507</v>
      </c>
      <c r="L292" s="6" t="s">
        <v>1508</v>
      </c>
      <c r="M292" s="6" t="s">
        <v>1509</v>
      </c>
      <c r="N292" s="10"/>
      <c r="O292" s="4" t="str">
        <f aca="false">IF(N292="","",LEN(N292))</f>
        <v/>
      </c>
    </row>
    <row r="293" customFormat="false" ht="39" hidden="false" customHeight="true" outlineLevel="0" collapsed="false">
      <c r="A293" s="4" t="n">
        <v>292</v>
      </c>
      <c r="B293" s="5" t="n">
        <f aca="false">IF(OR(C293="სხვა მოდელი წერია",I293&gt;=განმარტება!$B$4),1,IF(OR(C293="ცარიელი",I293&gt;=1),2,IF(H293&gt;=განმარტება!$B$5,3,4)))</f>
        <v>3</v>
      </c>
      <c r="C293" s="6" t="s">
        <v>15</v>
      </c>
      <c r="D293" s="6" t="s">
        <v>1510</v>
      </c>
      <c r="E293" s="7" t="s">
        <v>1511</v>
      </c>
      <c r="F293" s="7" t="n">
        <v>2798</v>
      </c>
      <c r="G293" s="6" t="s">
        <v>112</v>
      </c>
      <c r="H293" s="8" t="n">
        <v>2199</v>
      </c>
      <c r="I293" s="8" t="n">
        <v>0</v>
      </c>
      <c r="J293" s="7" t="n">
        <v>0</v>
      </c>
      <c r="K293" s="9" t="s">
        <v>1512</v>
      </c>
      <c r="L293" s="6" t="s">
        <v>1513</v>
      </c>
      <c r="M293" s="6" t="s">
        <v>1514</v>
      </c>
      <c r="N293" s="10"/>
      <c r="O293" s="4" t="str">
        <f aca="false">IF(N293="","",LEN(N293))</f>
        <v/>
      </c>
    </row>
    <row r="294" customFormat="false" ht="39" hidden="false" customHeight="true" outlineLevel="0" collapsed="false">
      <c r="A294" s="4" t="n">
        <v>293</v>
      </c>
      <c r="B294" s="5" t="n">
        <f aca="false">IF(OR(C294="სხვა მოდელი წერია",I294&gt;=განმარტება!$B$4),1,IF(OR(C294="ცარიელი",I294&gt;=1),2,IF(H294&gt;=განმარტება!$B$5,3,4)))</f>
        <v>3</v>
      </c>
      <c r="C294" s="6" t="s">
        <v>15</v>
      </c>
      <c r="D294" s="6" t="s">
        <v>1515</v>
      </c>
      <c r="E294" s="7" t="s">
        <v>1516</v>
      </c>
      <c r="F294" s="7" t="n">
        <v>260</v>
      </c>
      <c r="G294" s="6" t="s">
        <v>112</v>
      </c>
      <c r="H294" s="8" t="n">
        <v>2199</v>
      </c>
      <c r="I294" s="8" t="n">
        <v>0</v>
      </c>
      <c r="J294" s="7" t="n">
        <v>0</v>
      </c>
      <c r="K294" s="9" t="s">
        <v>1517</v>
      </c>
      <c r="L294" s="6" t="s">
        <v>1518</v>
      </c>
      <c r="M294" s="6" t="s">
        <v>1519</v>
      </c>
      <c r="N294" s="10"/>
      <c r="O294" s="4" t="str">
        <f aca="false">IF(N294="","",LEN(N294))</f>
        <v/>
      </c>
    </row>
    <row r="295" customFormat="false" ht="39" hidden="false" customHeight="true" outlineLevel="0" collapsed="false">
      <c r="A295" s="4" t="n">
        <v>294</v>
      </c>
      <c r="B295" s="5" t="n">
        <f aca="false">IF(OR(C295="სხვა მოდელი წერია",I295&gt;=განმარტება!$B$4),1,IF(OR(C295="ცარიელი",I295&gt;=1),2,IF(H295&gt;=განმარტება!$B$5,3,4)))</f>
        <v>3</v>
      </c>
      <c r="C295" s="6" t="s">
        <v>15</v>
      </c>
      <c r="D295" s="6" t="s">
        <v>1520</v>
      </c>
      <c r="E295" s="7" t="s">
        <v>1521</v>
      </c>
      <c r="F295" s="7" t="n">
        <v>2698</v>
      </c>
      <c r="G295" s="6" t="s">
        <v>112</v>
      </c>
      <c r="H295" s="8" t="n">
        <v>2199</v>
      </c>
      <c r="I295" s="8" t="n">
        <v>0</v>
      </c>
      <c r="J295" s="7" t="n">
        <v>0</v>
      </c>
      <c r="K295" s="9" t="s">
        <v>1522</v>
      </c>
      <c r="L295" s="6" t="s">
        <v>1523</v>
      </c>
      <c r="M295" s="6" t="s">
        <v>1524</v>
      </c>
      <c r="N295" s="10"/>
      <c r="O295" s="4" t="str">
        <f aca="false">IF(N295="","",LEN(N295))</f>
        <v/>
      </c>
    </row>
    <row r="296" customFormat="false" ht="39" hidden="false" customHeight="true" outlineLevel="0" collapsed="false">
      <c r="A296" s="4" t="n">
        <v>295</v>
      </c>
      <c r="B296" s="5" t="n">
        <f aca="false">IF(OR(C296="სხვა მოდელი წერია",I296&gt;=განმარტება!$B$4),1,IF(OR(C296="ცარიელი",I296&gt;=1),2,IF(H296&gt;=განმარტება!$B$5,3,4)))</f>
        <v>3</v>
      </c>
      <c r="C296" s="6" t="s">
        <v>15</v>
      </c>
      <c r="D296" s="6" t="s">
        <v>1525</v>
      </c>
      <c r="E296" s="7" t="s">
        <v>1526</v>
      </c>
      <c r="F296" s="7" t="n">
        <v>1575</v>
      </c>
      <c r="G296" s="6" t="s">
        <v>24</v>
      </c>
      <c r="H296" s="8" t="n">
        <v>2199</v>
      </c>
      <c r="I296" s="8" t="n">
        <v>0</v>
      </c>
      <c r="J296" s="7" t="n">
        <v>0</v>
      </c>
      <c r="K296" s="9" t="s">
        <v>1527</v>
      </c>
      <c r="L296" s="6" t="s">
        <v>1528</v>
      </c>
      <c r="M296" s="6" t="s">
        <v>1529</v>
      </c>
      <c r="N296" s="10"/>
      <c r="O296" s="4" t="str">
        <f aca="false">IF(N296="","",LEN(N296))</f>
        <v/>
      </c>
    </row>
    <row r="297" customFormat="false" ht="39" hidden="false" customHeight="true" outlineLevel="0" collapsed="false">
      <c r="A297" s="4" t="n">
        <v>296</v>
      </c>
      <c r="B297" s="5" t="n">
        <f aca="false">IF(OR(C297="სხვა მოდელი წერია",I297&gt;=განმარტება!$B$4),1,IF(OR(C297="ცარიელი",I297&gt;=1),2,IF(H297&gt;=განმარტება!$B$5,3,4)))</f>
        <v>3</v>
      </c>
      <c r="C297" s="6" t="s">
        <v>15</v>
      </c>
      <c r="D297" s="6" t="s">
        <v>1530</v>
      </c>
      <c r="E297" s="7" t="s">
        <v>1531</v>
      </c>
      <c r="F297" s="7" t="n">
        <v>2920</v>
      </c>
      <c r="G297" s="6" t="s">
        <v>24</v>
      </c>
      <c r="H297" s="8" t="n">
        <v>2199</v>
      </c>
      <c r="I297" s="8" t="n">
        <v>0</v>
      </c>
      <c r="J297" s="7" t="n">
        <v>0</v>
      </c>
      <c r="K297" s="9" t="s">
        <v>1532</v>
      </c>
      <c r="L297" s="6" t="s">
        <v>1533</v>
      </c>
      <c r="M297" s="6" t="s">
        <v>1534</v>
      </c>
      <c r="N297" s="10"/>
      <c r="O297" s="4" t="str">
        <f aca="false">IF(N297="","",LEN(N297))</f>
        <v/>
      </c>
    </row>
    <row r="298" customFormat="false" ht="39" hidden="false" customHeight="true" outlineLevel="0" collapsed="false">
      <c r="A298" s="4" t="n">
        <v>297</v>
      </c>
      <c r="B298" s="5" t="n">
        <f aca="false">IF(OR(C298="სხვა მოდელი წერია",I298&gt;=განმარტება!$B$4),1,IF(OR(C298="ცარიელი",I298&gt;=1),2,IF(H298&gt;=განმარტება!$B$5,3,4)))</f>
        <v>3</v>
      </c>
      <c r="C298" s="6" t="s">
        <v>15</v>
      </c>
      <c r="D298" s="6" t="s">
        <v>1535</v>
      </c>
      <c r="E298" s="7" t="s">
        <v>1536</v>
      </c>
      <c r="F298" s="7" t="n">
        <v>3153</v>
      </c>
      <c r="G298" s="6" t="s">
        <v>24</v>
      </c>
      <c r="H298" s="8" t="n">
        <v>2199</v>
      </c>
      <c r="I298" s="8" t="n">
        <v>0</v>
      </c>
      <c r="J298" s="7" t="n">
        <v>0</v>
      </c>
      <c r="K298" s="9" t="s">
        <v>1537</v>
      </c>
      <c r="L298" s="6" t="s">
        <v>1538</v>
      </c>
      <c r="M298" s="6" t="s">
        <v>1539</v>
      </c>
      <c r="N298" s="10"/>
      <c r="O298" s="4" t="str">
        <f aca="false">IF(N298="","",LEN(N298))</f>
        <v/>
      </c>
    </row>
    <row r="299" customFormat="false" ht="39" hidden="false" customHeight="true" outlineLevel="0" collapsed="false">
      <c r="A299" s="4" t="n">
        <v>298</v>
      </c>
      <c r="B299" s="5" t="n">
        <f aca="false">IF(OR(C299="სხვა მოდელი წერია",I299&gt;=განმარტება!$B$4),1,IF(OR(C299="ცარიელი",I299&gt;=1),2,IF(H299&gt;=განმარტება!$B$5,3,4)))</f>
        <v>3</v>
      </c>
      <c r="C299" s="6" t="s">
        <v>15</v>
      </c>
      <c r="D299" s="6" t="s">
        <v>1540</v>
      </c>
      <c r="E299" s="7" t="s">
        <v>1541</v>
      </c>
      <c r="F299" s="7" t="n">
        <v>3140</v>
      </c>
      <c r="G299" s="6" t="s">
        <v>36</v>
      </c>
      <c r="H299" s="8" t="n">
        <v>2199</v>
      </c>
      <c r="I299" s="8" t="n">
        <v>0</v>
      </c>
      <c r="J299" s="7" t="n">
        <v>0</v>
      </c>
      <c r="K299" s="9" t="s">
        <v>1542</v>
      </c>
      <c r="L299" s="6" t="s">
        <v>1543</v>
      </c>
      <c r="M299" s="6" t="s">
        <v>1544</v>
      </c>
      <c r="N299" s="10"/>
      <c r="O299" s="4" t="str">
        <f aca="false">IF(N299="","",LEN(N299))</f>
        <v/>
      </c>
    </row>
    <row r="300" customFormat="false" ht="51.75" hidden="false" customHeight="true" outlineLevel="0" collapsed="false">
      <c r="A300" s="4" t="n">
        <v>299</v>
      </c>
      <c r="B300" s="5" t="n">
        <f aca="false">IF(OR(C300="სხვა მოდელი წერია",I300&gt;=განმარტება!$B$4),1,IF(OR(C300="ცარიელი",I300&gt;=1),2,IF(H300&gt;=განმარტება!$B$5,3,4)))</f>
        <v>3</v>
      </c>
      <c r="C300" s="6" t="s">
        <v>15</v>
      </c>
      <c r="D300" s="6" t="s">
        <v>1545</v>
      </c>
      <c r="E300" s="7" t="s">
        <v>1546</v>
      </c>
      <c r="F300" s="7" t="n">
        <v>2982</v>
      </c>
      <c r="G300" s="6" t="s">
        <v>211</v>
      </c>
      <c r="H300" s="8" t="n">
        <v>2199</v>
      </c>
      <c r="I300" s="8" t="n">
        <v>0</v>
      </c>
      <c r="J300" s="7" t="n">
        <v>0</v>
      </c>
      <c r="K300" s="9" t="s">
        <v>1547</v>
      </c>
      <c r="L300" s="6" t="s">
        <v>1548</v>
      </c>
      <c r="M300" s="6" t="s">
        <v>1549</v>
      </c>
      <c r="N300" s="10"/>
      <c r="O300" s="4" t="str">
        <f aca="false">IF(N300="","",LEN(N300))</f>
        <v/>
      </c>
    </row>
    <row r="301" customFormat="false" ht="51.75" hidden="false" customHeight="true" outlineLevel="0" collapsed="false">
      <c r="A301" s="4" t="n">
        <v>300</v>
      </c>
      <c r="B301" s="5" t="n">
        <f aca="false">IF(OR(C301="სხვა მოდელი წერია",I301&gt;=განმარტება!$B$4),1,IF(OR(C301="ცარიელი",I301&gt;=1),2,IF(H301&gt;=განმარტება!$B$5,3,4)))</f>
        <v>3</v>
      </c>
      <c r="C301" s="6" t="s">
        <v>15</v>
      </c>
      <c r="D301" s="6" t="s">
        <v>1550</v>
      </c>
      <c r="E301" s="7" t="s">
        <v>1551</v>
      </c>
      <c r="F301" s="7" t="n">
        <v>3185</v>
      </c>
      <c r="G301" s="6" t="s">
        <v>211</v>
      </c>
      <c r="H301" s="8" t="n">
        <v>2199</v>
      </c>
      <c r="I301" s="8" t="n">
        <v>0</v>
      </c>
      <c r="J301" s="7" t="n">
        <v>0</v>
      </c>
      <c r="K301" s="9" t="s">
        <v>1552</v>
      </c>
      <c r="L301" s="6" t="s">
        <v>1553</v>
      </c>
      <c r="M301" s="6" t="s">
        <v>1554</v>
      </c>
      <c r="N301" s="10"/>
      <c r="O301" s="4" t="str">
        <f aca="false">IF(N301="","",LEN(N301))</f>
        <v/>
      </c>
    </row>
    <row r="302" customFormat="false" ht="39" hidden="false" customHeight="true" outlineLevel="0" collapsed="false">
      <c r="A302" s="4" t="n">
        <v>301</v>
      </c>
      <c r="B302" s="5" t="n">
        <f aca="false">IF(OR(C302="სხვა მოდელი წერია",I302&gt;=განმარტება!$B$4),1,IF(OR(C302="ცარიელი",I302&gt;=1),2,IF(H302&gt;=განმარტება!$B$5,3,4)))</f>
        <v>3</v>
      </c>
      <c r="C302" s="6" t="s">
        <v>15</v>
      </c>
      <c r="D302" s="6" t="s">
        <v>1555</v>
      </c>
      <c r="E302" s="7" t="s">
        <v>1556</v>
      </c>
      <c r="F302" s="7" t="n">
        <v>2864</v>
      </c>
      <c r="G302" s="6" t="s">
        <v>205</v>
      </c>
      <c r="H302" s="8" t="n">
        <v>2199</v>
      </c>
      <c r="I302" s="8" t="n">
        <v>0</v>
      </c>
      <c r="J302" s="7" t="n">
        <v>0</v>
      </c>
      <c r="K302" s="9" t="s">
        <v>1557</v>
      </c>
      <c r="L302" s="6" t="s">
        <v>1558</v>
      </c>
      <c r="M302" s="6" t="s">
        <v>1559</v>
      </c>
      <c r="N302" s="10"/>
      <c r="O302" s="4" t="str">
        <f aca="false">IF(N302="","",LEN(N302))</f>
        <v/>
      </c>
    </row>
    <row r="303" customFormat="false" ht="39" hidden="false" customHeight="true" outlineLevel="0" collapsed="false">
      <c r="A303" s="4" t="n">
        <v>302</v>
      </c>
      <c r="B303" s="5" t="n">
        <f aca="false">IF(OR(C303="სხვა მოდელი წერია",I303&gt;=განმარტება!$B$4),1,IF(OR(C303="ცარიელი",I303&gt;=1),2,IF(H303&gt;=განმარტება!$B$5,3,4)))</f>
        <v>3</v>
      </c>
      <c r="C303" s="6" t="s">
        <v>15</v>
      </c>
      <c r="D303" s="6" t="s">
        <v>1560</v>
      </c>
      <c r="E303" s="7" t="s">
        <v>1561</v>
      </c>
      <c r="F303" s="7" t="n">
        <v>2223</v>
      </c>
      <c r="G303" s="6" t="s">
        <v>205</v>
      </c>
      <c r="H303" s="8" t="n">
        <v>2199</v>
      </c>
      <c r="I303" s="8" t="n">
        <v>0</v>
      </c>
      <c r="J303" s="7" t="n">
        <v>0</v>
      </c>
      <c r="K303" s="9" t="s">
        <v>1562</v>
      </c>
      <c r="L303" s="6" t="s">
        <v>1563</v>
      </c>
      <c r="M303" s="6" t="s">
        <v>1564</v>
      </c>
      <c r="N303" s="10"/>
      <c r="O303" s="4" t="str">
        <f aca="false">IF(N303="","",LEN(N303))</f>
        <v/>
      </c>
    </row>
    <row r="304" customFormat="false" ht="39" hidden="false" customHeight="true" outlineLevel="0" collapsed="false">
      <c r="A304" s="4" t="n">
        <v>303</v>
      </c>
      <c r="B304" s="5" t="n">
        <f aca="false">IF(OR(C304="სხვა მოდელი წერია",I304&gt;=განმარტება!$B$4),1,IF(OR(C304="ცარიელი",I304&gt;=1),2,IF(H304&gt;=განმარტება!$B$5,3,4)))</f>
        <v>3</v>
      </c>
      <c r="C304" s="6" t="s">
        <v>15</v>
      </c>
      <c r="D304" s="6" t="s">
        <v>1565</v>
      </c>
      <c r="E304" s="7" t="s">
        <v>1566</v>
      </c>
      <c r="F304" s="7" t="n">
        <v>476</v>
      </c>
      <c r="G304" s="6" t="s">
        <v>24</v>
      </c>
      <c r="H304" s="8" t="n">
        <v>2179</v>
      </c>
      <c r="I304" s="8" t="n">
        <v>0</v>
      </c>
      <c r="J304" s="7" t="n">
        <v>0</v>
      </c>
      <c r="K304" s="9" t="s">
        <v>1567</v>
      </c>
      <c r="L304" s="6" t="s">
        <v>1568</v>
      </c>
      <c r="M304" s="6" t="s">
        <v>1569</v>
      </c>
      <c r="N304" s="10"/>
      <c r="O304" s="4" t="str">
        <f aca="false">IF(N304="","",LEN(N304))</f>
        <v/>
      </c>
    </row>
    <row r="305" customFormat="false" ht="39" hidden="false" customHeight="true" outlineLevel="0" collapsed="false">
      <c r="A305" s="4" t="n">
        <v>304</v>
      </c>
      <c r="B305" s="5" t="n">
        <f aca="false">IF(OR(C305="სხვა მოდელი წერია",I305&gt;=განმარტება!$B$4),1,IF(OR(C305="ცარიელი",I305&gt;=1),2,IF(H305&gt;=განმარტება!$B$5,3,4)))</f>
        <v>3</v>
      </c>
      <c r="C305" s="6" t="s">
        <v>15</v>
      </c>
      <c r="D305" s="6" t="s">
        <v>1570</v>
      </c>
      <c r="E305" s="7" t="s">
        <v>1571</v>
      </c>
      <c r="F305" s="7" t="n">
        <v>1097</v>
      </c>
      <c r="G305" s="6" t="s">
        <v>112</v>
      </c>
      <c r="H305" s="8" t="n">
        <v>2150</v>
      </c>
      <c r="I305" s="8" t="n">
        <v>0</v>
      </c>
      <c r="J305" s="7" t="n">
        <v>0</v>
      </c>
      <c r="K305" s="9" t="s">
        <v>1572</v>
      </c>
      <c r="L305" s="6" t="s">
        <v>1573</v>
      </c>
      <c r="M305" s="6" t="s">
        <v>1574</v>
      </c>
      <c r="N305" s="10"/>
      <c r="O305" s="4" t="str">
        <f aca="false">IF(N305="","",LEN(N305))</f>
        <v/>
      </c>
    </row>
    <row r="306" customFormat="false" ht="39" hidden="false" customHeight="true" outlineLevel="0" collapsed="false">
      <c r="A306" s="4" t="n">
        <v>305</v>
      </c>
      <c r="B306" s="5" t="n">
        <f aca="false">IF(OR(C306="სხვა მოდელი წერია",I306&gt;=განმარტება!$B$4),1,IF(OR(C306="ცარიელი",I306&gt;=1),2,IF(H306&gt;=განმარტება!$B$5,3,4)))</f>
        <v>3</v>
      </c>
      <c r="C306" s="6" t="s">
        <v>15</v>
      </c>
      <c r="D306" s="6" t="s">
        <v>1575</v>
      </c>
      <c r="E306" s="7" t="s">
        <v>1576</v>
      </c>
      <c r="F306" s="7" t="n">
        <v>581</v>
      </c>
      <c r="G306" s="6" t="s">
        <v>24</v>
      </c>
      <c r="H306" s="8" t="n">
        <v>2149</v>
      </c>
      <c r="I306" s="8" t="n">
        <v>0</v>
      </c>
      <c r="J306" s="7" t="n">
        <v>0</v>
      </c>
      <c r="K306" s="9" t="s">
        <v>1577</v>
      </c>
      <c r="L306" s="6" t="s">
        <v>1578</v>
      </c>
      <c r="M306" s="6" t="s">
        <v>1579</v>
      </c>
      <c r="N306" s="10"/>
      <c r="O306" s="4" t="str">
        <f aca="false">IF(N306="","",LEN(N306))</f>
        <v/>
      </c>
    </row>
    <row r="307" customFormat="false" ht="39" hidden="false" customHeight="true" outlineLevel="0" collapsed="false">
      <c r="A307" s="4" t="n">
        <v>306</v>
      </c>
      <c r="B307" s="5" t="n">
        <f aca="false">IF(OR(C307="სხვა მოდელი წერია",I307&gt;=განმარტება!$B$4),1,IF(OR(C307="ცარიელი",I307&gt;=1),2,IF(H307&gt;=განმარტება!$B$5,3,4)))</f>
        <v>3</v>
      </c>
      <c r="C307" s="6" t="s">
        <v>15</v>
      </c>
      <c r="D307" s="6" t="s">
        <v>1580</v>
      </c>
      <c r="E307" s="7" t="s">
        <v>1581</v>
      </c>
      <c r="F307" s="7" t="n">
        <v>2752</v>
      </c>
      <c r="G307" s="6" t="s">
        <v>156</v>
      </c>
      <c r="H307" s="8" t="n">
        <v>2149</v>
      </c>
      <c r="I307" s="8" t="n">
        <v>0</v>
      </c>
      <c r="J307" s="7" t="n">
        <v>0</v>
      </c>
      <c r="K307" s="9" t="s">
        <v>1582</v>
      </c>
      <c r="L307" s="6" t="s">
        <v>1583</v>
      </c>
      <c r="M307" s="6" t="s">
        <v>1584</v>
      </c>
      <c r="N307" s="10"/>
      <c r="O307" s="4" t="str">
        <f aca="false">IF(N307="","",LEN(N307))</f>
        <v/>
      </c>
    </row>
    <row r="308" customFormat="false" ht="51.75" hidden="false" customHeight="true" outlineLevel="0" collapsed="false">
      <c r="A308" s="4" t="n">
        <v>307</v>
      </c>
      <c r="B308" s="5" t="n">
        <f aca="false">IF(OR(C308="სხვა მოდელი წერია",I308&gt;=განმარტება!$B$4),1,IF(OR(C308="ცარიელი",I308&gt;=1),2,IF(H308&gt;=განმარტება!$B$5,3,4)))</f>
        <v>3</v>
      </c>
      <c r="C308" s="6" t="s">
        <v>15</v>
      </c>
      <c r="D308" s="6" t="s">
        <v>1585</v>
      </c>
      <c r="E308" s="7" t="s">
        <v>1586</v>
      </c>
      <c r="F308" s="7" t="n">
        <v>1442</v>
      </c>
      <c r="G308" s="6" t="s">
        <v>211</v>
      </c>
      <c r="H308" s="8" t="n">
        <v>2137</v>
      </c>
      <c r="I308" s="8" t="n">
        <v>0</v>
      </c>
      <c r="J308" s="7" t="n">
        <v>0</v>
      </c>
      <c r="K308" s="9" t="s">
        <v>1587</v>
      </c>
      <c r="L308" s="6" t="s">
        <v>1588</v>
      </c>
      <c r="M308" s="6" t="s">
        <v>1589</v>
      </c>
      <c r="N308" s="10"/>
      <c r="O308" s="4" t="str">
        <f aca="false">IF(N308="","",LEN(N308))</f>
        <v/>
      </c>
    </row>
    <row r="309" customFormat="false" ht="39" hidden="false" customHeight="true" outlineLevel="0" collapsed="false">
      <c r="A309" s="4" t="n">
        <v>308</v>
      </c>
      <c r="B309" s="5" t="n">
        <f aca="false">IF(OR(C309="სხვა მოდელი წერია",I309&gt;=განმარტება!$B$4),1,IF(OR(C309="ცარიელი",I309&gt;=1),2,IF(H309&gt;=განმარტება!$B$5,3,4)))</f>
        <v>3</v>
      </c>
      <c r="C309" s="6" t="s">
        <v>15</v>
      </c>
      <c r="D309" s="6" t="s">
        <v>1590</v>
      </c>
      <c r="E309" s="7" t="s">
        <v>1591</v>
      </c>
      <c r="F309" s="7" t="n">
        <v>3446</v>
      </c>
      <c r="G309" s="6" t="s">
        <v>118</v>
      </c>
      <c r="H309" s="8" t="n">
        <v>2120</v>
      </c>
      <c r="I309" s="8" t="n">
        <v>0</v>
      </c>
      <c r="J309" s="7" t="n">
        <v>0</v>
      </c>
      <c r="K309" s="9" t="s">
        <v>1592</v>
      </c>
      <c r="L309" s="6" t="s">
        <v>1593</v>
      </c>
      <c r="M309" s="6" t="s">
        <v>1594</v>
      </c>
      <c r="N309" s="10"/>
      <c r="O309" s="4" t="str">
        <f aca="false">IF(N309="","",LEN(N309))</f>
        <v/>
      </c>
    </row>
    <row r="310" customFormat="false" ht="39" hidden="false" customHeight="true" outlineLevel="0" collapsed="false">
      <c r="A310" s="4" t="n">
        <v>309</v>
      </c>
      <c r="B310" s="5" t="n">
        <f aca="false">IF(OR(C310="სხვა მოდელი წერია",I310&gt;=განმარტება!$B$4),1,IF(OR(C310="ცარიელი",I310&gt;=1),2,IF(H310&gt;=განმარტება!$B$5,3,4)))</f>
        <v>3</v>
      </c>
      <c r="C310" s="6" t="s">
        <v>15</v>
      </c>
      <c r="D310" s="6" t="s">
        <v>1595</v>
      </c>
      <c r="E310" s="7" t="s">
        <v>1596</v>
      </c>
      <c r="F310" s="7" t="n">
        <v>8901</v>
      </c>
      <c r="G310" s="6" t="s">
        <v>1267</v>
      </c>
      <c r="H310" s="8" t="n">
        <v>2099</v>
      </c>
      <c r="I310" s="8" t="n">
        <v>0</v>
      </c>
      <c r="J310" s="7" t="n">
        <v>0</v>
      </c>
      <c r="K310" s="9" t="s">
        <v>1597</v>
      </c>
      <c r="L310" s="6" t="s">
        <v>1598</v>
      </c>
      <c r="M310" s="6" t="s">
        <v>1599</v>
      </c>
      <c r="N310" s="10"/>
      <c r="O310" s="4" t="str">
        <f aca="false">IF(N310="","",LEN(N310))</f>
        <v/>
      </c>
    </row>
    <row r="311" customFormat="false" ht="39" hidden="false" customHeight="true" outlineLevel="0" collapsed="false">
      <c r="A311" s="4" t="n">
        <v>310</v>
      </c>
      <c r="B311" s="5" t="n">
        <f aca="false">IF(OR(C311="სხვა მოდელი წერია",I311&gt;=განმარტება!$B$4),1,IF(OR(C311="ცარიელი",I311&gt;=1),2,IF(H311&gt;=განმარტება!$B$5,3,4)))</f>
        <v>3</v>
      </c>
      <c r="C311" s="6" t="s">
        <v>15</v>
      </c>
      <c r="D311" s="6" t="s">
        <v>1600</v>
      </c>
      <c r="E311" s="7" t="s">
        <v>1601</v>
      </c>
      <c r="F311" s="7" t="n">
        <v>2793</v>
      </c>
      <c r="G311" s="6" t="s">
        <v>112</v>
      </c>
      <c r="H311" s="8" t="n">
        <v>2099</v>
      </c>
      <c r="I311" s="8" t="n">
        <v>0</v>
      </c>
      <c r="J311" s="7" t="n">
        <v>0</v>
      </c>
      <c r="K311" s="9" t="s">
        <v>1602</v>
      </c>
      <c r="L311" s="6" t="s">
        <v>1603</v>
      </c>
      <c r="M311" s="6" t="s">
        <v>1604</v>
      </c>
      <c r="N311" s="10"/>
      <c r="O311" s="4" t="str">
        <f aca="false">IF(N311="","",LEN(N311))</f>
        <v/>
      </c>
    </row>
    <row r="312" customFormat="false" ht="39" hidden="false" customHeight="true" outlineLevel="0" collapsed="false">
      <c r="A312" s="4" t="n">
        <v>311</v>
      </c>
      <c r="B312" s="5" t="n">
        <f aca="false">IF(OR(C312="სხვა მოდელი წერია",I312&gt;=განმარტება!$B$4),1,IF(OR(C312="ცარიელი",I312&gt;=1),2,IF(H312&gt;=განმარტება!$B$5,3,4)))</f>
        <v>3</v>
      </c>
      <c r="C312" s="6" t="s">
        <v>15</v>
      </c>
      <c r="D312" s="6" t="s">
        <v>1605</v>
      </c>
      <c r="E312" s="7" t="s">
        <v>1606</v>
      </c>
      <c r="F312" s="7" t="n">
        <v>515</v>
      </c>
      <c r="G312" s="6" t="s">
        <v>24</v>
      </c>
      <c r="H312" s="8" t="n">
        <v>2099</v>
      </c>
      <c r="I312" s="8" t="n">
        <v>0</v>
      </c>
      <c r="J312" s="7" t="n">
        <v>0</v>
      </c>
      <c r="K312" s="9" t="s">
        <v>1607</v>
      </c>
      <c r="L312" s="6" t="s">
        <v>1608</v>
      </c>
      <c r="M312" s="6" t="s">
        <v>1609</v>
      </c>
      <c r="N312" s="10"/>
      <c r="O312" s="4" t="str">
        <f aca="false">IF(N312="","",LEN(N312))</f>
        <v/>
      </c>
    </row>
    <row r="313" customFormat="false" ht="39" hidden="false" customHeight="true" outlineLevel="0" collapsed="false">
      <c r="A313" s="4" t="n">
        <v>312</v>
      </c>
      <c r="B313" s="5" t="n">
        <f aca="false">IF(OR(C313="სხვა მოდელი წერია",I313&gt;=განმარტება!$B$4),1,IF(OR(C313="ცარიელი",I313&gt;=1),2,IF(H313&gt;=განმარტება!$B$5,3,4)))</f>
        <v>3</v>
      </c>
      <c r="C313" s="6" t="s">
        <v>15</v>
      </c>
      <c r="D313" s="6" t="s">
        <v>1610</v>
      </c>
      <c r="E313" s="7" t="s">
        <v>1611</v>
      </c>
      <c r="F313" s="7" t="n">
        <v>5088</v>
      </c>
      <c r="G313" s="6" t="s">
        <v>24</v>
      </c>
      <c r="H313" s="8" t="n">
        <v>2099</v>
      </c>
      <c r="I313" s="8" t="n">
        <v>0</v>
      </c>
      <c r="J313" s="7" t="n">
        <v>0</v>
      </c>
      <c r="K313" s="9" t="s">
        <v>1612</v>
      </c>
      <c r="L313" s="6" t="s">
        <v>1613</v>
      </c>
      <c r="M313" s="6" t="s">
        <v>1614</v>
      </c>
      <c r="N313" s="10"/>
      <c r="O313" s="4" t="str">
        <f aca="false">IF(N313="","",LEN(N313))</f>
        <v/>
      </c>
    </row>
    <row r="314" customFormat="false" ht="51.75" hidden="false" customHeight="true" outlineLevel="0" collapsed="false">
      <c r="A314" s="4" t="n">
        <v>313</v>
      </c>
      <c r="B314" s="5" t="n">
        <f aca="false">IF(OR(C314="სხვა მოდელი წერია",I314&gt;=განმარტება!$B$4),1,IF(OR(C314="ცარიელი",I314&gt;=1),2,IF(H314&gt;=განმარტება!$B$5,3,4)))</f>
        <v>3</v>
      </c>
      <c r="C314" s="6" t="s">
        <v>15</v>
      </c>
      <c r="D314" s="6" t="s">
        <v>1615</v>
      </c>
      <c r="E314" s="7" t="s">
        <v>1616</v>
      </c>
      <c r="F314" s="7" t="n">
        <v>1476</v>
      </c>
      <c r="G314" s="6" t="s">
        <v>134</v>
      </c>
      <c r="H314" s="8" t="n">
        <v>2099</v>
      </c>
      <c r="I314" s="8" t="n">
        <v>0</v>
      </c>
      <c r="J314" s="7" t="n">
        <v>0</v>
      </c>
      <c r="K314" s="9" t="s">
        <v>1617</v>
      </c>
      <c r="L314" s="6" t="s">
        <v>1618</v>
      </c>
      <c r="M314" s="6" t="s">
        <v>1619</v>
      </c>
      <c r="N314" s="10"/>
      <c r="O314" s="4" t="str">
        <f aca="false">IF(N314="","",LEN(N314))</f>
        <v/>
      </c>
    </row>
    <row r="315" customFormat="false" ht="51.75" hidden="false" customHeight="true" outlineLevel="0" collapsed="false">
      <c r="A315" s="4" t="n">
        <v>314</v>
      </c>
      <c r="B315" s="5" t="n">
        <f aca="false">IF(OR(C315="სხვა მოდელი წერია",I315&gt;=განმარტება!$B$4),1,IF(OR(C315="ცარიელი",I315&gt;=1),2,IF(H315&gt;=განმარტება!$B$5,3,4)))</f>
        <v>3</v>
      </c>
      <c r="C315" s="6" t="s">
        <v>15</v>
      </c>
      <c r="D315" s="6" t="s">
        <v>1620</v>
      </c>
      <c r="E315" s="7" t="s">
        <v>1621</v>
      </c>
      <c r="F315" s="7" t="n">
        <v>2952</v>
      </c>
      <c r="G315" s="6" t="s">
        <v>48</v>
      </c>
      <c r="H315" s="8" t="n">
        <v>2099</v>
      </c>
      <c r="I315" s="8" t="n">
        <v>0</v>
      </c>
      <c r="J315" s="7" t="n">
        <v>0</v>
      </c>
      <c r="K315" s="9" t="s">
        <v>1622</v>
      </c>
      <c r="L315" s="6" t="s">
        <v>1623</v>
      </c>
      <c r="M315" s="6" t="s">
        <v>1624</v>
      </c>
      <c r="N315" s="10"/>
      <c r="O315" s="4" t="str">
        <f aca="false">IF(N315="","",LEN(N315))</f>
        <v/>
      </c>
    </row>
    <row r="316" customFormat="false" ht="51.75" hidden="false" customHeight="true" outlineLevel="0" collapsed="false">
      <c r="A316" s="4" t="n">
        <v>315</v>
      </c>
      <c r="B316" s="5" t="n">
        <f aca="false">IF(OR(C316="სხვა მოდელი წერია",I316&gt;=განმარტება!$B$4),1,IF(OR(C316="ცარიელი",I316&gt;=1),2,IF(H316&gt;=განმარტება!$B$5,3,4)))</f>
        <v>3</v>
      </c>
      <c r="C316" s="6" t="s">
        <v>15</v>
      </c>
      <c r="D316" s="6" t="s">
        <v>1625</v>
      </c>
      <c r="E316" s="7" t="s">
        <v>1626</v>
      </c>
      <c r="F316" s="7" t="n">
        <v>1483</v>
      </c>
      <c r="G316" s="6" t="s">
        <v>48</v>
      </c>
      <c r="H316" s="8" t="n">
        <v>2099</v>
      </c>
      <c r="I316" s="8" t="n">
        <v>0</v>
      </c>
      <c r="J316" s="7" t="n">
        <v>0</v>
      </c>
      <c r="K316" s="9" t="s">
        <v>1627</v>
      </c>
      <c r="L316" s="6" t="s">
        <v>1628</v>
      </c>
      <c r="M316" s="6" t="s">
        <v>1629</v>
      </c>
      <c r="N316" s="10"/>
      <c r="O316" s="4" t="str">
        <f aca="false">IF(N316="","",LEN(N316))</f>
        <v/>
      </c>
    </row>
    <row r="317" customFormat="false" ht="51.75" hidden="false" customHeight="true" outlineLevel="0" collapsed="false">
      <c r="A317" s="4" t="n">
        <v>316</v>
      </c>
      <c r="B317" s="5" t="n">
        <f aca="false">IF(OR(C317="სხვა მოდელი წერია",I317&gt;=განმარტება!$B$4),1,IF(OR(C317="ცარიელი",I317&gt;=1),2,IF(H317&gt;=განმარტება!$B$5,3,4)))</f>
        <v>3</v>
      </c>
      <c r="C317" s="6" t="s">
        <v>15</v>
      </c>
      <c r="D317" s="6" t="s">
        <v>1630</v>
      </c>
      <c r="E317" s="7" t="s">
        <v>1631</v>
      </c>
      <c r="F317" s="7" t="n">
        <v>2832</v>
      </c>
      <c r="G317" s="6" t="s">
        <v>48</v>
      </c>
      <c r="H317" s="8" t="n">
        <v>2099</v>
      </c>
      <c r="I317" s="8" t="n">
        <v>0</v>
      </c>
      <c r="J317" s="7" t="n">
        <v>0</v>
      </c>
      <c r="K317" s="9" t="s">
        <v>1632</v>
      </c>
      <c r="L317" s="6" t="s">
        <v>1633</v>
      </c>
      <c r="M317" s="6" t="s">
        <v>1634</v>
      </c>
      <c r="N317" s="10"/>
      <c r="O317" s="4" t="str">
        <f aca="false">IF(N317="","",LEN(N317))</f>
        <v/>
      </c>
    </row>
    <row r="318" customFormat="false" ht="39" hidden="false" customHeight="true" outlineLevel="0" collapsed="false">
      <c r="A318" s="4" t="n">
        <v>317</v>
      </c>
      <c r="B318" s="5" t="n">
        <f aca="false">IF(OR(C318="სხვა მოდელი წერია",I318&gt;=განმარტება!$B$4),1,IF(OR(C318="ცარიელი",I318&gt;=1),2,IF(H318&gt;=განმარტება!$B$5,3,4)))</f>
        <v>3</v>
      </c>
      <c r="C318" s="6" t="s">
        <v>15</v>
      </c>
      <c r="D318" s="6" t="s">
        <v>1635</v>
      </c>
      <c r="E318" s="7" t="s">
        <v>1636</v>
      </c>
      <c r="F318" s="7" t="n">
        <v>2352</v>
      </c>
      <c r="G318" s="6" t="s">
        <v>205</v>
      </c>
      <c r="H318" s="8" t="n">
        <v>2064</v>
      </c>
      <c r="I318" s="8" t="n">
        <v>0</v>
      </c>
      <c r="J318" s="7" t="n">
        <v>0</v>
      </c>
      <c r="K318" s="9" t="s">
        <v>1637</v>
      </c>
      <c r="L318" s="6" t="s">
        <v>1638</v>
      </c>
      <c r="M318" s="6" t="s">
        <v>1639</v>
      </c>
      <c r="N318" s="10"/>
      <c r="O318" s="4" t="str">
        <f aca="false">IF(N318="","",LEN(N318))</f>
        <v/>
      </c>
    </row>
    <row r="319" customFormat="false" ht="39" hidden="false" customHeight="true" outlineLevel="0" collapsed="false">
      <c r="A319" s="4" t="n">
        <v>318</v>
      </c>
      <c r="B319" s="5" t="n">
        <f aca="false">IF(OR(C319="სხვა მოდელი წერია",I319&gt;=განმარტება!$B$4),1,IF(OR(C319="ცარიელი",I319&gt;=1),2,IF(H319&gt;=განმარტება!$B$5,3,4)))</f>
        <v>3</v>
      </c>
      <c r="C319" s="6" t="s">
        <v>15</v>
      </c>
      <c r="D319" s="6" t="s">
        <v>1640</v>
      </c>
      <c r="E319" s="7" t="s">
        <v>1641</v>
      </c>
      <c r="F319" s="7" t="n">
        <v>613</v>
      </c>
      <c r="G319" s="6" t="s">
        <v>24</v>
      </c>
      <c r="H319" s="8" t="n">
        <v>2049</v>
      </c>
      <c r="I319" s="8" t="n">
        <v>0</v>
      </c>
      <c r="J319" s="7" t="n">
        <v>0</v>
      </c>
      <c r="K319" s="9" t="s">
        <v>1642</v>
      </c>
      <c r="L319" s="6" t="s">
        <v>1643</v>
      </c>
      <c r="M319" s="6" t="s">
        <v>1644</v>
      </c>
      <c r="N319" s="10"/>
      <c r="O319" s="4" t="str">
        <f aca="false">IF(N319="","",LEN(N319))</f>
        <v/>
      </c>
    </row>
    <row r="320" customFormat="false" ht="39" hidden="false" customHeight="true" outlineLevel="0" collapsed="false">
      <c r="A320" s="4" t="n">
        <v>319</v>
      </c>
      <c r="B320" s="5" t="n">
        <f aca="false">IF(OR(C320="სხვა მოდელი წერია",I320&gt;=განმარტება!$B$4),1,IF(OR(C320="ცარიელი",I320&gt;=1),2,IF(H320&gt;=განმარტება!$B$5,3,4)))</f>
        <v>3</v>
      </c>
      <c r="C320" s="6" t="s">
        <v>15</v>
      </c>
      <c r="D320" s="6" t="s">
        <v>1645</v>
      </c>
      <c r="E320" s="7" t="s">
        <v>1646</v>
      </c>
      <c r="F320" s="7" t="n">
        <v>3177</v>
      </c>
      <c r="G320" s="6" t="s">
        <v>24</v>
      </c>
      <c r="H320" s="8" t="n">
        <v>2049</v>
      </c>
      <c r="I320" s="8" t="n">
        <v>0</v>
      </c>
      <c r="J320" s="7" t="n">
        <v>0</v>
      </c>
      <c r="K320" s="9" t="s">
        <v>1647</v>
      </c>
      <c r="L320" s="6" t="s">
        <v>1409</v>
      </c>
      <c r="M320" s="6" t="s">
        <v>1648</v>
      </c>
      <c r="N320" s="10"/>
      <c r="O320" s="4" t="str">
        <f aca="false">IF(N320="","",LEN(N320))</f>
        <v/>
      </c>
    </row>
    <row r="321" customFormat="false" ht="39" hidden="false" customHeight="true" outlineLevel="0" collapsed="false">
      <c r="A321" s="4" t="n">
        <v>320</v>
      </c>
      <c r="B321" s="5" t="n">
        <f aca="false">IF(OR(C321="სხვა მოდელი წერია",I321&gt;=განმარტება!$B$4),1,IF(OR(C321="ცარიელი",I321&gt;=1),2,IF(H321&gt;=განმარტება!$B$5,3,4)))</f>
        <v>3</v>
      </c>
      <c r="C321" s="6" t="s">
        <v>15</v>
      </c>
      <c r="D321" s="6" t="s">
        <v>1649</v>
      </c>
      <c r="E321" s="7" t="s">
        <v>1650</v>
      </c>
      <c r="F321" s="7" t="n">
        <v>1325</v>
      </c>
      <c r="G321" s="6" t="s">
        <v>106</v>
      </c>
      <c r="H321" s="8" t="n">
        <v>2000</v>
      </c>
      <c r="I321" s="8" t="n">
        <v>0</v>
      </c>
      <c r="J321" s="7" t="n">
        <v>0</v>
      </c>
      <c r="K321" s="9" t="s">
        <v>1651</v>
      </c>
      <c r="L321" s="6" t="s">
        <v>1652</v>
      </c>
      <c r="M321" s="6" t="s">
        <v>1653</v>
      </c>
      <c r="N321" s="10"/>
      <c r="O321" s="4" t="str">
        <f aca="false">IF(N321="","",LEN(N321))</f>
        <v/>
      </c>
    </row>
    <row r="322" customFormat="false" ht="39" hidden="false" customHeight="true" outlineLevel="0" collapsed="false">
      <c r="A322" s="4" t="n">
        <v>321</v>
      </c>
      <c r="B322" s="5" t="n">
        <f aca="false">IF(OR(C322="სხვა მოდელი წერია",I322&gt;=განმარტება!$B$4),1,IF(OR(C322="ცარიელი",I322&gt;=1),2,IF(H322&gt;=განმარტება!$B$5,3,4)))</f>
        <v>3</v>
      </c>
      <c r="C322" s="6" t="s">
        <v>15</v>
      </c>
      <c r="D322" s="6" t="s">
        <v>1654</v>
      </c>
      <c r="E322" s="7" t="s">
        <v>1655</v>
      </c>
      <c r="F322" s="7" t="n">
        <v>8897</v>
      </c>
      <c r="G322" s="6" t="s">
        <v>1267</v>
      </c>
      <c r="H322" s="8" t="n">
        <v>1999</v>
      </c>
      <c r="I322" s="8" t="n">
        <v>0</v>
      </c>
      <c r="J322" s="7" t="n">
        <v>0</v>
      </c>
      <c r="K322" s="9" t="s">
        <v>1656</v>
      </c>
      <c r="L322" s="6" t="s">
        <v>1657</v>
      </c>
      <c r="M322" s="6" t="s">
        <v>1658</v>
      </c>
      <c r="N322" s="10"/>
      <c r="O322" s="4" t="str">
        <f aca="false">IF(N322="","",LEN(N322))</f>
        <v/>
      </c>
    </row>
    <row r="323" customFormat="false" ht="39" hidden="false" customHeight="true" outlineLevel="0" collapsed="false">
      <c r="A323" s="4" t="n">
        <v>322</v>
      </c>
      <c r="B323" s="5" t="n">
        <f aca="false">IF(OR(C323="სხვა მოდელი წერია",I323&gt;=განმარტება!$B$4),1,IF(OR(C323="ცარიელი",I323&gt;=1),2,IF(H323&gt;=განმარტება!$B$5,3,4)))</f>
        <v>3</v>
      </c>
      <c r="C323" s="6" t="s">
        <v>15</v>
      </c>
      <c r="D323" s="6" t="s">
        <v>1659</v>
      </c>
      <c r="E323" s="7" t="s">
        <v>1660</v>
      </c>
      <c r="F323" s="7" t="n">
        <v>259</v>
      </c>
      <c r="G323" s="6" t="s">
        <v>112</v>
      </c>
      <c r="H323" s="8" t="n">
        <v>1999</v>
      </c>
      <c r="I323" s="8" t="n">
        <v>0</v>
      </c>
      <c r="J323" s="7" t="n">
        <v>0</v>
      </c>
      <c r="K323" s="9" t="s">
        <v>1661</v>
      </c>
      <c r="L323" s="6" t="s">
        <v>1662</v>
      </c>
      <c r="M323" s="6" t="s">
        <v>1663</v>
      </c>
      <c r="N323" s="10"/>
      <c r="O323" s="4" t="str">
        <f aca="false">IF(N323="","",LEN(N323))</f>
        <v/>
      </c>
    </row>
    <row r="324" customFormat="false" ht="39" hidden="false" customHeight="true" outlineLevel="0" collapsed="false">
      <c r="A324" s="4" t="n">
        <v>323</v>
      </c>
      <c r="B324" s="5" t="n">
        <f aca="false">IF(OR(C324="სხვა მოდელი წერია",I324&gt;=განმარტება!$B$4),1,IF(OR(C324="ცარიელი",I324&gt;=1),2,IF(H324&gt;=განმარტება!$B$5,3,4)))</f>
        <v>3</v>
      </c>
      <c r="C324" s="6" t="s">
        <v>15</v>
      </c>
      <c r="D324" s="6" t="s">
        <v>1664</v>
      </c>
      <c r="E324" s="7" t="s">
        <v>1665</v>
      </c>
      <c r="F324" s="7" t="n">
        <v>979</v>
      </c>
      <c r="G324" s="6" t="s">
        <v>24</v>
      </c>
      <c r="H324" s="8" t="n">
        <v>1999</v>
      </c>
      <c r="I324" s="8" t="n">
        <v>0</v>
      </c>
      <c r="J324" s="7" t="n">
        <v>0</v>
      </c>
      <c r="K324" s="9" t="s">
        <v>1666</v>
      </c>
      <c r="L324" s="6" t="s">
        <v>1667</v>
      </c>
      <c r="M324" s="6" t="s">
        <v>1668</v>
      </c>
      <c r="N324" s="10"/>
      <c r="O324" s="4" t="str">
        <f aca="false">IF(N324="","",LEN(N324))</f>
        <v/>
      </c>
    </row>
    <row r="325" customFormat="false" ht="39" hidden="false" customHeight="true" outlineLevel="0" collapsed="false">
      <c r="A325" s="4" t="n">
        <v>324</v>
      </c>
      <c r="B325" s="5" t="n">
        <f aca="false">IF(OR(C325="სხვა მოდელი წერია",I325&gt;=განმარტება!$B$4),1,IF(OR(C325="ცარიელი",I325&gt;=1),2,IF(H325&gt;=განმარტება!$B$5,3,4)))</f>
        <v>3</v>
      </c>
      <c r="C325" s="6" t="s">
        <v>15</v>
      </c>
      <c r="D325" s="6" t="s">
        <v>1669</v>
      </c>
      <c r="E325" s="7" t="s">
        <v>1670</v>
      </c>
      <c r="F325" s="7" t="n">
        <v>552</v>
      </c>
      <c r="G325" s="6" t="s">
        <v>24</v>
      </c>
      <c r="H325" s="8" t="n">
        <v>1999</v>
      </c>
      <c r="I325" s="8" t="n">
        <v>0</v>
      </c>
      <c r="J325" s="7" t="n">
        <v>0</v>
      </c>
      <c r="K325" s="9" t="s">
        <v>1671</v>
      </c>
      <c r="L325" s="6" t="s">
        <v>1672</v>
      </c>
      <c r="M325" s="6" t="s">
        <v>1673</v>
      </c>
      <c r="N325" s="10"/>
      <c r="O325" s="4" t="str">
        <f aca="false">IF(N325="","",LEN(N325))</f>
        <v/>
      </c>
    </row>
    <row r="326" customFormat="false" ht="39" hidden="false" customHeight="true" outlineLevel="0" collapsed="false">
      <c r="A326" s="4" t="n">
        <v>325</v>
      </c>
      <c r="B326" s="5" t="n">
        <f aca="false">IF(OR(C326="სხვა მოდელი წერია",I326&gt;=განმარტება!$B$4),1,IF(OR(C326="ცარიელი",I326&gt;=1),2,IF(H326&gt;=განმარტება!$B$5,3,4)))</f>
        <v>3</v>
      </c>
      <c r="C326" s="6" t="s">
        <v>15</v>
      </c>
      <c r="D326" s="6" t="s">
        <v>1674</v>
      </c>
      <c r="E326" s="7" t="s">
        <v>1675</v>
      </c>
      <c r="F326" s="7" t="n">
        <v>4025</v>
      </c>
      <c r="G326" s="6" t="s">
        <v>24</v>
      </c>
      <c r="H326" s="8" t="n">
        <v>1999</v>
      </c>
      <c r="I326" s="8" t="n">
        <v>0</v>
      </c>
      <c r="J326" s="7" t="n">
        <v>0</v>
      </c>
      <c r="K326" s="9" t="s">
        <v>1676</v>
      </c>
      <c r="L326" s="6" t="s">
        <v>1677</v>
      </c>
      <c r="M326" s="6" t="s">
        <v>1678</v>
      </c>
      <c r="N326" s="10"/>
      <c r="O326" s="4" t="str">
        <f aca="false">IF(N326="","",LEN(N326))</f>
        <v/>
      </c>
    </row>
    <row r="327" customFormat="false" ht="39" hidden="false" customHeight="true" outlineLevel="0" collapsed="false">
      <c r="A327" s="4" t="n">
        <v>326</v>
      </c>
      <c r="B327" s="5" t="n">
        <f aca="false">IF(OR(C327="სხვა მოდელი წერია",I327&gt;=განმარტება!$B$4),1,IF(OR(C327="ცარიელი",I327&gt;=1),2,IF(H327&gt;=განმარტება!$B$5,3,4)))</f>
        <v>3</v>
      </c>
      <c r="C327" s="6" t="s">
        <v>15</v>
      </c>
      <c r="D327" s="6" t="s">
        <v>1679</v>
      </c>
      <c r="E327" s="7" t="s">
        <v>1680</v>
      </c>
      <c r="F327" s="7" t="n">
        <v>3776</v>
      </c>
      <c r="G327" s="6" t="s">
        <v>118</v>
      </c>
      <c r="H327" s="8" t="n">
        <v>1999</v>
      </c>
      <c r="I327" s="8" t="n">
        <v>0</v>
      </c>
      <c r="J327" s="7" t="n">
        <v>0</v>
      </c>
      <c r="K327" s="9" t="s">
        <v>1681</v>
      </c>
      <c r="L327" s="6" t="s">
        <v>1682</v>
      </c>
      <c r="M327" s="6" t="s">
        <v>1683</v>
      </c>
      <c r="N327" s="10"/>
      <c r="O327" s="4" t="str">
        <f aca="false">IF(N327="","",LEN(N327))</f>
        <v/>
      </c>
    </row>
    <row r="328" customFormat="false" ht="64.5" hidden="false" customHeight="true" outlineLevel="0" collapsed="false">
      <c r="A328" s="4" t="n">
        <v>327</v>
      </c>
      <c r="B328" s="5" t="n">
        <f aca="false">IF(OR(C328="სხვა მოდელი წერია",I328&gt;=განმარტება!$B$4),1,IF(OR(C328="ცარიელი",I328&gt;=1),2,IF(H328&gt;=განმარტება!$B$5,3,4)))</f>
        <v>3</v>
      </c>
      <c r="C328" s="6" t="s">
        <v>15</v>
      </c>
      <c r="D328" s="6" t="s">
        <v>1684</v>
      </c>
      <c r="E328" s="7" t="s">
        <v>1685</v>
      </c>
      <c r="F328" s="7" t="n">
        <v>3191</v>
      </c>
      <c r="G328" s="6" t="s">
        <v>95</v>
      </c>
      <c r="H328" s="8" t="n">
        <v>1999</v>
      </c>
      <c r="I328" s="8" t="n">
        <v>0</v>
      </c>
      <c r="J328" s="7" t="n">
        <v>0</v>
      </c>
      <c r="K328" s="9" t="s">
        <v>1686</v>
      </c>
      <c r="L328" s="6" t="s">
        <v>1687</v>
      </c>
      <c r="M328" s="6" t="s">
        <v>1688</v>
      </c>
      <c r="N328" s="10"/>
      <c r="O328" s="4" t="str">
        <f aca="false">IF(N328="","",LEN(N328))</f>
        <v/>
      </c>
    </row>
    <row r="329" customFormat="false" ht="51.75" hidden="false" customHeight="true" outlineLevel="0" collapsed="false">
      <c r="A329" s="4" t="n">
        <v>328</v>
      </c>
      <c r="B329" s="5" t="n">
        <f aca="false">IF(OR(C329="სხვა მოდელი წერია",I329&gt;=განმარტება!$B$4),1,IF(OR(C329="ცარიელი",I329&gt;=1),2,IF(H329&gt;=განმარტება!$B$5,3,4)))</f>
        <v>3</v>
      </c>
      <c r="C329" s="6" t="s">
        <v>15</v>
      </c>
      <c r="D329" s="6" t="s">
        <v>1689</v>
      </c>
      <c r="E329" s="7" t="s">
        <v>1690</v>
      </c>
      <c r="F329" s="7" t="n">
        <v>2180</v>
      </c>
      <c r="G329" s="6" t="s">
        <v>48</v>
      </c>
      <c r="H329" s="8" t="n">
        <v>1999</v>
      </c>
      <c r="I329" s="8" t="n">
        <v>0</v>
      </c>
      <c r="J329" s="7" t="n">
        <v>0</v>
      </c>
      <c r="K329" s="9" t="s">
        <v>1691</v>
      </c>
      <c r="L329" s="6" t="s">
        <v>1692</v>
      </c>
      <c r="M329" s="6" t="s">
        <v>1693</v>
      </c>
      <c r="N329" s="10"/>
      <c r="O329" s="4" t="str">
        <f aca="false">IF(N329="","",LEN(N329))</f>
        <v/>
      </c>
    </row>
    <row r="330" customFormat="false" ht="39" hidden="false" customHeight="true" outlineLevel="0" collapsed="false">
      <c r="A330" s="4" t="n">
        <v>329</v>
      </c>
      <c r="B330" s="5" t="n">
        <f aca="false">IF(OR(C330="სხვა მოდელი წერია",I330&gt;=განმარტება!$B$4),1,IF(OR(C330="ცარიელი",I330&gt;=1),2,IF(H330&gt;=განმარტება!$B$5,3,4)))</f>
        <v>3</v>
      </c>
      <c r="C330" s="6" t="s">
        <v>15</v>
      </c>
      <c r="D330" s="6" t="s">
        <v>1265</v>
      </c>
      <c r="E330" s="7" t="s">
        <v>1694</v>
      </c>
      <c r="F330" s="7" t="n">
        <v>8916</v>
      </c>
      <c r="G330" s="6" t="s">
        <v>1267</v>
      </c>
      <c r="H330" s="8" t="n">
        <v>1995</v>
      </c>
      <c r="I330" s="8" t="n">
        <v>0</v>
      </c>
      <c r="J330" s="7" t="n">
        <v>0</v>
      </c>
      <c r="K330" s="9" t="s">
        <v>1695</v>
      </c>
      <c r="L330" s="6" t="s">
        <v>1696</v>
      </c>
      <c r="M330" s="6" t="s">
        <v>1270</v>
      </c>
      <c r="N330" s="10"/>
      <c r="O330" s="4" t="str">
        <f aca="false">IF(N330="","",LEN(N330))</f>
        <v/>
      </c>
    </row>
    <row r="331" customFormat="false" ht="39" hidden="false" customHeight="true" outlineLevel="0" collapsed="false">
      <c r="A331" s="4" t="n">
        <v>330</v>
      </c>
      <c r="B331" s="5" t="n">
        <f aca="false">IF(OR(C331="სხვა მოდელი წერია",I331&gt;=განმარტება!$B$4),1,IF(OR(C331="ცარიელი",I331&gt;=1),2,IF(H331&gt;=განმარტება!$B$5,3,4)))</f>
        <v>3</v>
      </c>
      <c r="C331" s="6" t="s">
        <v>15</v>
      </c>
      <c r="D331" s="6" t="s">
        <v>1422</v>
      </c>
      <c r="E331" s="7" t="s">
        <v>1697</v>
      </c>
      <c r="F331" s="7" t="n">
        <v>8917</v>
      </c>
      <c r="G331" s="6" t="s">
        <v>1267</v>
      </c>
      <c r="H331" s="8" t="n">
        <v>1990</v>
      </c>
      <c r="I331" s="8" t="n">
        <v>0</v>
      </c>
      <c r="J331" s="7" t="n">
        <v>0</v>
      </c>
      <c r="K331" s="9" t="s">
        <v>1698</v>
      </c>
      <c r="L331" s="6" t="s">
        <v>1699</v>
      </c>
      <c r="M331" s="6" t="s">
        <v>1426</v>
      </c>
      <c r="N331" s="10"/>
      <c r="O331" s="4" t="str">
        <f aca="false">IF(N331="","",LEN(N331))</f>
        <v/>
      </c>
    </row>
    <row r="332" customFormat="false" ht="39" hidden="false" customHeight="true" outlineLevel="0" collapsed="false">
      <c r="A332" s="4" t="n">
        <v>331</v>
      </c>
      <c r="B332" s="5" t="n">
        <f aca="false">IF(OR(C332="სხვა მოდელი წერია",I332&gt;=განმარტება!$B$4),1,IF(OR(C332="ცარიელი",I332&gt;=1),2,IF(H332&gt;=განმარტება!$B$5,3,4)))</f>
        <v>3</v>
      </c>
      <c r="C332" s="6" t="s">
        <v>15</v>
      </c>
      <c r="D332" s="6" t="s">
        <v>1700</v>
      </c>
      <c r="E332" s="7" t="s">
        <v>1701</v>
      </c>
      <c r="F332" s="7" t="n">
        <v>2785</v>
      </c>
      <c r="G332" s="6" t="s">
        <v>112</v>
      </c>
      <c r="H332" s="8" t="n">
        <v>1979</v>
      </c>
      <c r="I332" s="8" t="n">
        <v>0</v>
      </c>
      <c r="J332" s="7" t="n">
        <v>0</v>
      </c>
      <c r="K332" s="9" t="s">
        <v>1702</v>
      </c>
      <c r="L332" s="6" t="s">
        <v>1703</v>
      </c>
      <c r="M332" s="6" t="s">
        <v>1704</v>
      </c>
      <c r="N332" s="10"/>
      <c r="O332" s="4" t="str">
        <f aca="false">IF(N332="","",LEN(N332))</f>
        <v/>
      </c>
    </row>
    <row r="333" customFormat="false" ht="39" hidden="false" customHeight="true" outlineLevel="0" collapsed="false">
      <c r="A333" s="4" t="n">
        <v>332</v>
      </c>
      <c r="B333" s="5" t="n">
        <f aca="false">IF(OR(C333="სხვა მოდელი წერია",I333&gt;=განმარტება!$B$4),1,IF(OR(C333="ცარიელი",I333&gt;=1),2,IF(H333&gt;=განმარტება!$B$5,3,4)))</f>
        <v>3</v>
      </c>
      <c r="C333" s="6" t="s">
        <v>15</v>
      </c>
      <c r="D333" s="6" t="s">
        <v>1705</v>
      </c>
      <c r="E333" s="7" t="s">
        <v>1706</v>
      </c>
      <c r="F333" s="7" t="n">
        <v>2758</v>
      </c>
      <c r="G333" s="6" t="s">
        <v>112</v>
      </c>
      <c r="H333" s="8" t="n">
        <v>1977</v>
      </c>
      <c r="I333" s="8" t="n">
        <v>0</v>
      </c>
      <c r="J333" s="7" t="n">
        <v>0</v>
      </c>
      <c r="K333" s="9" t="s">
        <v>1707</v>
      </c>
      <c r="L333" s="6" t="s">
        <v>1708</v>
      </c>
      <c r="M333" s="6" t="s">
        <v>1709</v>
      </c>
      <c r="N333" s="10"/>
      <c r="O333" s="4" t="str">
        <f aca="false">IF(N333="","",LEN(N333))</f>
        <v/>
      </c>
    </row>
    <row r="334" customFormat="false" ht="39" hidden="false" customHeight="true" outlineLevel="0" collapsed="false">
      <c r="A334" s="4" t="n">
        <v>333</v>
      </c>
      <c r="B334" s="5" t="n">
        <f aca="false">IF(OR(C334="სხვა მოდელი წერია",I334&gt;=განმარტება!$B$4),1,IF(OR(C334="ცარიელი",I334&gt;=1),2,IF(H334&gt;=განმარტება!$B$5,3,4)))</f>
        <v>3</v>
      </c>
      <c r="C334" s="6" t="s">
        <v>15</v>
      </c>
      <c r="D334" s="6" t="s">
        <v>1710</v>
      </c>
      <c r="E334" s="7" t="s">
        <v>1711</v>
      </c>
      <c r="F334" s="7" t="n">
        <v>3495</v>
      </c>
      <c r="G334" s="6" t="s">
        <v>1712</v>
      </c>
      <c r="H334" s="8" t="n">
        <v>1960</v>
      </c>
      <c r="I334" s="8" t="n">
        <v>0</v>
      </c>
      <c r="J334" s="7" t="n">
        <v>0</v>
      </c>
      <c r="K334" s="9" t="s">
        <v>1713</v>
      </c>
      <c r="L334" s="6" t="s">
        <v>1714</v>
      </c>
      <c r="M334" s="6" t="s">
        <v>1715</v>
      </c>
      <c r="N334" s="10"/>
      <c r="O334" s="4" t="str">
        <f aca="false">IF(N334="","",LEN(N334))</f>
        <v/>
      </c>
    </row>
    <row r="335" customFormat="false" ht="51.75" hidden="false" customHeight="true" outlineLevel="0" collapsed="false">
      <c r="A335" s="4" t="n">
        <v>334</v>
      </c>
      <c r="B335" s="5" t="n">
        <f aca="false">IF(OR(C335="სხვა მოდელი წერია",I335&gt;=განმარტება!$B$4),1,IF(OR(C335="ცარიელი",I335&gt;=1),2,IF(H335&gt;=განმარტება!$B$5,3,4)))</f>
        <v>3</v>
      </c>
      <c r="C335" s="6" t="s">
        <v>15</v>
      </c>
      <c r="D335" s="6" t="s">
        <v>1716</v>
      </c>
      <c r="E335" s="7" t="s">
        <v>1717</v>
      </c>
      <c r="F335" s="7" t="n">
        <v>3999</v>
      </c>
      <c r="G335" s="6" t="s">
        <v>693</v>
      </c>
      <c r="H335" s="8" t="n">
        <v>1954</v>
      </c>
      <c r="I335" s="8" t="n">
        <v>0</v>
      </c>
      <c r="J335" s="7" t="n">
        <v>0</v>
      </c>
      <c r="K335" s="9" t="s">
        <v>1718</v>
      </c>
      <c r="L335" s="6" t="s">
        <v>1719</v>
      </c>
      <c r="M335" s="6" t="s">
        <v>1720</v>
      </c>
      <c r="N335" s="10"/>
      <c r="O335" s="4" t="str">
        <f aca="false">IF(N335="","",LEN(N335))</f>
        <v/>
      </c>
    </row>
    <row r="336" customFormat="false" ht="39" hidden="false" customHeight="true" outlineLevel="0" collapsed="false">
      <c r="A336" s="4" t="n">
        <v>335</v>
      </c>
      <c r="B336" s="5" t="n">
        <f aca="false">IF(OR(C336="სხვა მოდელი წერია",I336&gt;=განმარტება!$B$4),1,IF(OR(C336="ცარიელი",I336&gt;=1),2,IF(H336&gt;=განმარტება!$B$5,3,4)))</f>
        <v>3</v>
      </c>
      <c r="C336" s="6" t="s">
        <v>15</v>
      </c>
      <c r="D336" s="6" t="s">
        <v>1721</v>
      </c>
      <c r="E336" s="7" t="s">
        <v>1722</v>
      </c>
      <c r="F336" s="7" t="n">
        <v>1038</v>
      </c>
      <c r="G336" s="6" t="s">
        <v>112</v>
      </c>
      <c r="H336" s="8" t="n">
        <v>1950</v>
      </c>
      <c r="I336" s="8" t="n">
        <v>0</v>
      </c>
      <c r="J336" s="7" t="n">
        <v>0</v>
      </c>
      <c r="K336" s="9" t="s">
        <v>1723</v>
      </c>
      <c r="L336" s="6" t="s">
        <v>1724</v>
      </c>
      <c r="M336" s="6" t="s">
        <v>1725</v>
      </c>
      <c r="N336" s="10"/>
      <c r="O336" s="4" t="str">
        <f aca="false">IF(N336="","",LEN(N336))</f>
        <v/>
      </c>
    </row>
    <row r="337" customFormat="false" ht="39" hidden="false" customHeight="true" outlineLevel="0" collapsed="false">
      <c r="A337" s="4" t="n">
        <v>336</v>
      </c>
      <c r="B337" s="5" t="n">
        <f aca="false">IF(OR(C337="სხვა მოდელი წერია",I337&gt;=განმარტება!$B$4),1,IF(OR(C337="ცარიელი",I337&gt;=1),2,IF(H337&gt;=განმარტება!$B$5,3,4)))</f>
        <v>3</v>
      </c>
      <c r="C337" s="6" t="s">
        <v>15</v>
      </c>
      <c r="D337" s="6" t="s">
        <v>1726</v>
      </c>
      <c r="E337" s="7" t="s">
        <v>1727</v>
      </c>
      <c r="F337" s="7" t="n">
        <v>2797</v>
      </c>
      <c r="G337" s="6" t="s">
        <v>112</v>
      </c>
      <c r="H337" s="8" t="n">
        <v>1949</v>
      </c>
      <c r="I337" s="8" t="n">
        <v>0</v>
      </c>
      <c r="J337" s="7" t="n">
        <v>0</v>
      </c>
      <c r="K337" s="9" t="s">
        <v>1728</v>
      </c>
      <c r="L337" s="6" t="s">
        <v>1729</v>
      </c>
      <c r="M337" s="6" t="s">
        <v>1730</v>
      </c>
      <c r="N337" s="10"/>
      <c r="O337" s="4" t="str">
        <f aca="false">IF(N337="","",LEN(N337))</f>
        <v/>
      </c>
    </row>
    <row r="338" customFormat="false" ht="39" hidden="false" customHeight="true" outlineLevel="0" collapsed="false">
      <c r="A338" s="4" t="n">
        <v>337</v>
      </c>
      <c r="B338" s="5" t="n">
        <f aca="false">IF(OR(C338="სხვა მოდელი წერია",I338&gt;=განმარტება!$B$4),1,IF(OR(C338="ცარიელი",I338&gt;=1),2,IF(H338&gt;=განმარტება!$B$5,3,4)))</f>
        <v>3</v>
      </c>
      <c r="C338" s="6" t="s">
        <v>15</v>
      </c>
      <c r="D338" s="6" t="s">
        <v>1731</v>
      </c>
      <c r="E338" s="7" t="s">
        <v>1732</v>
      </c>
      <c r="F338" s="7" t="n">
        <v>1925</v>
      </c>
      <c r="G338" s="6" t="s">
        <v>24</v>
      </c>
      <c r="H338" s="8" t="n">
        <v>1949</v>
      </c>
      <c r="I338" s="8" t="n">
        <v>0</v>
      </c>
      <c r="J338" s="7" t="n">
        <v>0</v>
      </c>
      <c r="K338" s="9" t="s">
        <v>1733</v>
      </c>
      <c r="L338" s="6" t="s">
        <v>1734</v>
      </c>
      <c r="M338" s="6" t="s">
        <v>1735</v>
      </c>
      <c r="N338" s="10"/>
      <c r="O338" s="4" t="str">
        <f aca="false">IF(N338="","",LEN(N338))</f>
        <v/>
      </c>
    </row>
    <row r="339" customFormat="false" ht="51.75" hidden="false" customHeight="true" outlineLevel="0" collapsed="false">
      <c r="A339" s="4" t="n">
        <v>338</v>
      </c>
      <c r="B339" s="5" t="n">
        <f aca="false">IF(OR(C339="სხვა მოდელი წერია",I339&gt;=განმარტება!$B$4),1,IF(OR(C339="ცარიელი",I339&gt;=1),2,IF(H339&gt;=განმარტება!$B$5,3,4)))</f>
        <v>3</v>
      </c>
      <c r="C339" s="6" t="s">
        <v>15</v>
      </c>
      <c r="D339" s="6" t="s">
        <v>1736</v>
      </c>
      <c r="E339" s="7" t="s">
        <v>1737</v>
      </c>
      <c r="F339" s="7" t="n">
        <v>8931</v>
      </c>
      <c r="G339" s="6" t="s">
        <v>1267</v>
      </c>
      <c r="H339" s="8" t="n">
        <v>1929</v>
      </c>
      <c r="I339" s="8" t="n">
        <v>0</v>
      </c>
      <c r="J339" s="7" t="n">
        <v>0</v>
      </c>
      <c r="K339" s="9" t="s">
        <v>1738</v>
      </c>
      <c r="L339" s="6" t="s">
        <v>1739</v>
      </c>
      <c r="M339" s="6" t="s">
        <v>1740</v>
      </c>
      <c r="N339" s="10"/>
      <c r="O339" s="4" t="str">
        <f aca="false">IF(N339="","",LEN(N339))</f>
        <v/>
      </c>
    </row>
    <row r="340" customFormat="false" ht="51.75" hidden="false" customHeight="true" outlineLevel="0" collapsed="false">
      <c r="A340" s="4" t="n">
        <v>339</v>
      </c>
      <c r="B340" s="5" t="n">
        <f aca="false">IF(OR(C340="სხვა მოდელი წერია",I340&gt;=განმარტება!$B$4),1,IF(OR(C340="ცარიელი",I340&gt;=1),2,IF(H340&gt;=განმარტება!$B$5,3,4)))</f>
        <v>3</v>
      </c>
      <c r="C340" s="6" t="s">
        <v>15</v>
      </c>
      <c r="D340" s="6" t="s">
        <v>1741</v>
      </c>
      <c r="E340" s="7" t="s">
        <v>1742</v>
      </c>
      <c r="F340" s="7" t="n">
        <v>2623</v>
      </c>
      <c r="G340" s="6" t="s">
        <v>30</v>
      </c>
      <c r="H340" s="8" t="n">
        <v>1919</v>
      </c>
      <c r="I340" s="8" t="n">
        <v>0</v>
      </c>
      <c r="J340" s="7" t="n">
        <v>0</v>
      </c>
      <c r="K340" s="9" t="s">
        <v>1743</v>
      </c>
      <c r="L340" s="6" t="s">
        <v>1744</v>
      </c>
      <c r="M340" s="6" t="s">
        <v>1745</v>
      </c>
      <c r="N340" s="10"/>
      <c r="O340" s="4" t="str">
        <f aca="false">IF(N340="","",LEN(N340))</f>
        <v/>
      </c>
    </row>
    <row r="341" customFormat="false" ht="51.75" hidden="false" customHeight="true" outlineLevel="0" collapsed="false">
      <c r="A341" s="4" t="n">
        <v>340</v>
      </c>
      <c r="B341" s="5" t="n">
        <f aca="false">IF(OR(C341="სხვა მოდელი წერია",I341&gt;=განმარტება!$B$4),1,IF(OR(C341="ცარიელი",I341&gt;=1),2,IF(H341&gt;=განმარტება!$B$5,3,4)))</f>
        <v>3</v>
      </c>
      <c r="C341" s="6" t="s">
        <v>15</v>
      </c>
      <c r="D341" s="6" t="s">
        <v>1746</v>
      </c>
      <c r="E341" s="7" t="s">
        <v>1747</v>
      </c>
      <c r="F341" s="7" t="n">
        <v>2624</v>
      </c>
      <c r="G341" s="6" t="s">
        <v>30</v>
      </c>
      <c r="H341" s="8" t="n">
        <v>1919</v>
      </c>
      <c r="I341" s="8" t="n">
        <v>0</v>
      </c>
      <c r="J341" s="7" t="n">
        <v>0</v>
      </c>
      <c r="K341" s="9" t="s">
        <v>1748</v>
      </c>
      <c r="L341" s="6" t="s">
        <v>1749</v>
      </c>
      <c r="M341" s="6" t="s">
        <v>1750</v>
      </c>
      <c r="N341" s="10"/>
      <c r="O341" s="4" t="str">
        <f aca="false">IF(N341="","",LEN(N341))</f>
        <v/>
      </c>
    </row>
    <row r="342" customFormat="false" ht="51.75" hidden="false" customHeight="true" outlineLevel="0" collapsed="false">
      <c r="A342" s="4" t="n">
        <v>341</v>
      </c>
      <c r="B342" s="5" t="n">
        <f aca="false">IF(OR(C342="სხვა მოდელი წერია",I342&gt;=განმარტება!$B$4),1,IF(OR(C342="ცარიელი",I342&gt;=1),2,IF(H342&gt;=განმარტება!$B$5,3,4)))</f>
        <v>3</v>
      </c>
      <c r="C342" s="6" t="s">
        <v>15</v>
      </c>
      <c r="D342" s="6" t="s">
        <v>1751</v>
      </c>
      <c r="E342" s="7" t="s">
        <v>1752</v>
      </c>
      <c r="F342" s="7" t="n">
        <v>2876</v>
      </c>
      <c r="G342" s="6" t="s">
        <v>1753</v>
      </c>
      <c r="H342" s="8" t="n">
        <v>1899</v>
      </c>
      <c r="I342" s="8" t="n">
        <v>0</v>
      </c>
      <c r="J342" s="7" t="n">
        <v>0</v>
      </c>
      <c r="K342" s="9" t="s">
        <v>1754</v>
      </c>
      <c r="L342" s="6" t="s">
        <v>1755</v>
      </c>
      <c r="M342" s="6" t="s">
        <v>1756</v>
      </c>
      <c r="N342" s="10"/>
      <c r="O342" s="4" t="str">
        <f aca="false">IF(N342="","",LEN(N342))</f>
        <v/>
      </c>
    </row>
    <row r="343" customFormat="false" ht="39" hidden="false" customHeight="true" outlineLevel="0" collapsed="false">
      <c r="A343" s="4" t="n">
        <v>342</v>
      </c>
      <c r="B343" s="5" t="n">
        <f aca="false">IF(OR(C343="სხვა მოდელი წერია",I343&gt;=განმარტება!$B$4),1,IF(OR(C343="ცარიელი",I343&gt;=1),2,IF(H343&gt;=განმარტება!$B$5,3,4)))</f>
        <v>3</v>
      </c>
      <c r="C343" s="6" t="s">
        <v>316</v>
      </c>
      <c r="D343" s="6" t="s">
        <v>1757</v>
      </c>
      <c r="E343" s="7" t="s">
        <v>1758</v>
      </c>
      <c r="F343" s="7" t="n">
        <v>3350</v>
      </c>
      <c r="G343" s="6" t="s">
        <v>285</v>
      </c>
      <c r="H343" s="8" t="n">
        <v>1899</v>
      </c>
      <c r="I343" s="8" t="n">
        <v>0</v>
      </c>
      <c r="J343" s="7" t="n">
        <v>0</v>
      </c>
      <c r="K343" s="9" t="s">
        <v>1759</v>
      </c>
      <c r="L343" s="6" t="s">
        <v>1760</v>
      </c>
      <c r="M343" s="6" t="s">
        <v>1761</v>
      </c>
      <c r="N343" s="10"/>
      <c r="O343" s="4" t="str">
        <f aca="false">IF(N343="","",LEN(N343))</f>
        <v/>
      </c>
    </row>
    <row r="344" customFormat="false" ht="39" hidden="false" customHeight="true" outlineLevel="0" collapsed="false">
      <c r="A344" s="4" t="n">
        <v>343</v>
      </c>
      <c r="B344" s="5" t="n">
        <f aca="false">IF(OR(C344="სხვა მოდელი წერია",I344&gt;=განმარტება!$B$4),1,IF(OR(C344="ცარიელი",I344&gt;=1),2,IF(H344&gt;=განმარტება!$B$5,3,4)))</f>
        <v>3</v>
      </c>
      <c r="C344" s="6" t="s">
        <v>15</v>
      </c>
      <c r="D344" s="6" t="s">
        <v>1762</v>
      </c>
      <c r="E344" s="7" t="s">
        <v>1763</v>
      </c>
      <c r="F344" s="7" t="n">
        <v>10388</v>
      </c>
      <c r="G344" s="6" t="s">
        <v>24</v>
      </c>
      <c r="H344" s="8" t="n">
        <v>1899</v>
      </c>
      <c r="I344" s="8" t="n">
        <v>0</v>
      </c>
      <c r="J344" s="7" t="n">
        <v>0</v>
      </c>
      <c r="K344" s="9" t="s">
        <v>1764</v>
      </c>
      <c r="L344" s="6" t="s">
        <v>1765</v>
      </c>
      <c r="M344" s="6" t="s">
        <v>1766</v>
      </c>
      <c r="N344" s="10"/>
      <c r="O344" s="4" t="str">
        <f aca="false">IF(N344="","",LEN(N344))</f>
        <v/>
      </c>
    </row>
    <row r="345" customFormat="false" ht="51.75" hidden="false" customHeight="true" outlineLevel="0" collapsed="false">
      <c r="A345" s="4" t="n">
        <v>344</v>
      </c>
      <c r="B345" s="5" t="n">
        <f aca="false">IF(OR(C345="სხვა მოდელი წერია",I345&gt;=განმარტება!$B$4),1,IF(OR(C345="ცარიელი",I345&gt;=1),2,IF(H345&gt;=განმარტება!$B$5,3,4)))</f>
        <v>3</v>
      </c>
      <c r="C345" s="6" t="s">
        <v>15</v>
      </c>
      <c r="D345" s="6" t="s">
        <v>1767</v>
      </c>
      <c r="E345" s="7" t="s">
        <v>1768</v>
      </c>
      <c r="F345" s="7" t="n">
        <v>3017</v>
      </c>
      <c r="G345" s="6" t="s">
        <v>211</v>
      </c>
      <c r="H345" s="8" t="n">
        <v>1899</v>
      </c>
      <c r="I345" s="8" t="n">
        <v>0</v>
      </c>
      <c r="J345" s="7" t="n">
        <v>0</v>
      </c>
      <c r="K345" s="9" t="s">
        <v>1769</v>
      </c>
      <c r="L345" s="6" t="s">
        <v>1164</v>
      </c>
      <c r="M345" s="6" t="s">
        <v>1770</v>
      </c>
      <c r="N345" s="10"/>
      <c r="O345" s="4" t="str">
        <f aca="false">IF(N345="","",LEN(N345))</f>
        <v/>
      </c>
    </row>
    <row r="346" customFormat="false" ht="39" hidden="false" customHeight="true" outlineLevel="0" collapsed="false">
      <c r="A346" s="4" t="n">
        <v>345</v>
      </c>
      <c r="B346" s="5" t="n">
        <f aca="false">IF(OR(C346="სხვა მოდელი წერია",I346&gt;=განმარტება!$B$4),1,IF(OR(C346="ცარიელი",I346&gt;=1),2,IF(H346&gt;=განმარტება!$B$5,3,4)))</f>
        <v>3</v>
      </c>
      <c r="C346" s="6" t="s">
        <v>15</v>
      </c>
      <c r="D346" s="6" t="s">
        <v>1771</v>
      </c>
      <c r="E346" s="7" t="s">
        <v>1772</v>
      </c>
      <c r="F346" s="7" t="n">
        <v>1300</v>
      </c>
      <c r="G346" s="6" t="s">
        <v>205</v>
      </c>
      <c r="H346" s="8" t="n">
        <v>1899</v>
      </c>
      <c r="I346" s="8" t="n">
        <v>0</v>
      </c>
      <c r="J346" s="7" t="n">
        <v>0</v>
      </c>
      <c r="K346" s="9" t="s">
        <v>1773</v>
      </c>
      <c r="L346" s="6" t="s">
        <v>1774</v>
      </c>
      <c r="M346" s="6" t="s">
        <v>1775</v>
      </c>
      <c r="N346" s="10"/>
      <c r="O346" s="4" t="str">
        <f aca="false">IF(N346="","",LEN(N346))</f>
        <v/>
      </c>
    </row>
    <row r="347" customFormat="false" ht="39" hidden="false" customHeight="true" outlineLevel="0" collapsed="false">
      <c r="A347" s="4" t="n">
        <v>346</v>
      </c>
      <c r="B347" s="5" t="n">
        <f aca="false">IF(OR(C347="სხვა მოდელი წერია",I347&gt;=განმარტება!$B$4),1,IF(OR(C347="ცარიელი",I347&gt;=1),2,IF(H347&gt;=განმარტება!$B$5,3,4)))</f>
        <v>3</v>
      </c>
      <c r="C347" s="6" t="s">
        <v>15</v>
      </c>
      <c r="D347" s="6" t="s">
        <v>1776</v>
      </c>
      <c r="E347" s="7" t="s">
        <v>1777</v>
      </c>
      <c r="F347" s="7" t="n">
        <v>1447</v>
      </c>
      <c r="G347" s="6" t="s">
        <v>205</v>
      </c>
      <c r="H347" s="8" t="n">
        <v>1899</v>
      </c>
      <c r="I347" s="8" t="n">
        <v>0</v>
      </c>
      <c r="J347" s="7" t="n">
        <v>0</v>
      </c>
      <c r="K347" s="9" t="s">
        <v>1778</v>
      </c>
      <c r="L347" s="6" t="s">
        <v>1779</v>
      </c>
      <c r="M347" s="6" t="s">
        <v>1780</v>
      </c>
      <c r="N347" s="10"/>
      <c r="O347" s="4" t="str">
        <f aca="false">IF(N347="","",LEN(N347))</f>
        <v/>
      </c>
    </row>
    <row r="348" customFormat="false" ht="64.5" hidden="false" customHeight="true" outlineLevel="0" collapsed="false">
      <c r="A348" s="4" t="n">
        <v>347</v>
      </c>
      <c r="B348" s="5" t="n">
        <f aca="false">IF(OR(C348="სხვა მოდელი წერია",I348&gt;=განმარტება!$B$4),1,IF(OR(C348="ცარიელი",I348&gt;=1),2,IF(H348&gt;=განმარტება!$B$5,3,4)))</f>
        <v>3</v>
      </c>
      <c r="C348" s="6" t="s">
        <v>15</v>
      </c>
      <c r="D348" s="6" t="s">
        <v>1781</v>
      </c>
      <c r="E348" s="7" t="s">
        <v>1782</v>
      </c>
      <c r="F348" s="7" t="n">
        <v>3170</v>
      </c>
      <c r="G348" s="6" t="s">
        <v>95</v>
      </c>
      <c r="H348" s="8" t="n">
        <v>1899</v>
      </c>
      <c r="I348" s="8" t="n">
        <v>0</v>
      </c>
      <c r="J348" s="7" t="n">
        <v>0</v>
      </c>
      <c r="K348" s="9" t="s">
        <v>1783</v>
      </c>
      <c r="L348" s="6" t="s">
        <v>1784</v>
      </c>
      <c r="M348" s="6" t="s">
        <v>1785</v>
      </c>
      <c r="N348" s="10"/>
      <c r="O348" s="4" t="str">
        <f aca="false">IF(N348="","",LEN(N348))</f>
        <v/>
      </c>
    </row>
    <row r="349" customFormat="false" ht="39" hidden="false" customHeight="true" outlineLevel="0" collapsed="false">
      <c r="A349" s="4" t="n">
        <v>348</v>
      </c>
      <c r="B349" s="5" t="n">
        <f aca="false">IF(OR(C349="სხვა მოდელი წერია",I349&gt;=განმარტება!$B$4),1,IF(OR(C349="ცარიელი",I349&gt;=1),2,IF(H349&gt;=განმარტება!$B$5,3,4)))</f>
        <v>3</v>
      </c>
      <c r="C349" s="6" t="s">
        <v>15</v>
      </c>
      <c r="D349" s="6" t="s">
        <v>1786</v>
      </c>
      <c r="E349" s="7" t="s">
        <v>1787</v>
      </c>
      <c r="F349" s="7" t="n">
        <v>2751</v>
      </c>
      <c r="G349" s="6" t="s">
        <v>156</v>
      </c>
      <c r="H349" s="8" t="n">
        <v>1899</v>
      </c>
      <c r="I349" s="8" t="n">
        <v>0</v>
      </c>
      <c r="J349" s="7" t="n">
        <v>0</v>
      </c>
      <c r="K349" s="9" t="s">
        <v>1788</v>
      </c>
      <c r="L349" s="6" t="s">
        <v>1789</v>
      </c>
      <c r="M349" s="6" t="s">
        <v>1790</v>
      </c>
      <c r="N349" s="10"/>
      <c r="O349" s="4" t="str">
        <f aca="false">IF(N349="","",LEN(N349))</f>
        <v/>
      </c>
    </row>
    <row r="350" customFormat="false" ht="39" hidden="false" customHeight="true" outlineLevel="0" collapsed="false">
      <c r="A350" s="4" t="n">
        <v>349</v>
      </c>
      <c r="B350" s="5" t="n">
        <f aca="false">IF(OR(C350="სხვა მოდელი წერია",I350&gt;=განმარტება!$B$4),1,IF(OR(C350="ცარიელი",I350&gt;=1),2,IF(H350&gt;=განმარტება!$B$5,3,4)))</f>
        <v>3</v>
      </c>
      <c r="C350" s="6" t="s">
        <v>15</v>
      </c>
      <c r="D350" s="6" t="s">
        <v>1791</v>
      </c>
      <c r="E350" s="7" t="s">
        <v>1792</v>
      </c>
      <c r="F350" s="7" t="n">
        <v>8930</v>
      </c>
      <c r="G350" s="6" t="s">
        <v>1267</v>
      </c>
      <c r="H350" s="8" t="n">
        <v>1898</v>
      </c>
      <c r="I350" s="8" t="n">
        <v>0</v>
      </c>
      <c r="J350" s="7" t="n">
        <v>0</v>
      </c>
      <c r="K350" s="9" t="s">
        <v>1793</v>
      </c>
      <c r="L350" s="6" t="s">
        <v>1794</v>
      </c>
      <c r="M350" s="6" t="s">
        <v>1795</v>
      </c>
      <c r="N350" s="10"/>
      <c r="O350" s="4" t="str">
        <f aca="false">IF(N350="","",LEN(N350))</f>
        <v/>
      </c>
    </row>
    <row r="351" customFormat="false" ht="39" hidden="false" customHeight="true" outlineLevel="0" collapsed="false">
      <c r="A351" s="4" t="n">
        <v>350</v>
      </c>
      <c r="B351" s="5" t="n">
        <f aca="false">IF(OR(C351="სხვა მოდელი წერია",I351&gt;=განმარტება!$B$4),1,IF(OR(C351="ცარიელი",I351&gt;=1),2,IF(H351&gt;=განმარტება!$B$5,3,4)))</f>
        <v>3</v>
      </c>
      <c r="C351" s="6" t="s">
        <v>15</v>
      </c>
      <c r="D351" s="6" t="s">
        <v>1796</v>
      </c>
      <c r="E351" s="7" t="s">
        <v>1797</v>
      </c>
      <c r="F351" s="7" t="n">
        <v>3770</v>
      </c>
      <c r="G351" s="6" t="s">
        <v>118</v>
      </c>
      <c r="H351" s="8" t="n">
        <v>1895</v>
      </c>
      <c r="I351" s="8" t="n">
        <v>0</v>
      </c>
      <c r="J351" s="7" t="n">
        <v>0</v>
      </c>
      <c r="K351" s="9" t="s">
        <v>1798</v>
      </c>
      <c r="L351" s="6" t="s">
        <v>1799</v>
      </c>
      <c r="M351" s="6" t="s">
        <v>1800</v>
      </c>
      <c r="N351" s="10"/>
      <c r="O351" s="4" t="str">
        <f aca="false">IF(N351="","",LEN(N351))</f>
        <v/>
      </c>
    </row>
    <row r="352" customFormat="false" ht="39" hidden="false" customHeight="true" outlineLevel="0" collapsed="false">
      <c r="A352" s="4" t="n">
        <v>351</v>
      </c>
      <c r="B352" s="5" t="n">
        <f aca="false">IF(OR(C352="სხვა მოდელი წერია",I352&gt;=განმარტება!$B$4),1,IF(OR(C352="ცარიელი",I352&gt;=1),2,IF(H352&gt;=განმარტება!$B$5,3,4)))</f>
        <v>3</v>
      </c>
      <c r="C352" s="6" t="s">
        <v>15</v>
      </c>
      <c r="D352" s="6" t="s">
        <v>1801</v>
      </c>
      <c r="E352" s="7" t="s">
        <v>1802</v>
      </c>
      <c r="F352" s="7" t="n">
        <v>253</v>
      </c>
      <c r="G352" s="6" t="s">
        <v>112</v>
      </c>
      <c r="H352" s="8" t="n">
        <v>1889</v>
      </c>
      <c r="I352" s="8" t="n">
        <v>0</v>
      </c>
      <c r="J352" s="7" t="n">
        <v>0</v>
      </c>
      <c r="K352" s="9" t="s">
        <v>1803</v>
      </c>
      <c r="L352" s="6" t="s">
        <v>1804</v>
      </c>
      <c r="M352" s="6" t="s">
        <v>1805</v>
      </c>
      <c r="N352" s="10"/>
      <c r="O352" s="4" t="str">
        <f aca="false">IF(N352="","",LEN(N352))</f>
        <v/>
      </c>
    </row>
    <row r="353" customFormat="false" ht="39" hidden="false" customHeight="true" outlineLevel="0" collapsed="false">
      <c r="A353" s="4" t="n">
        <v>352</v>
      </c>
      <c r="B353" s="5" t="n">
        <f aca="false">IF(OR(C353="სხვა მოდელი წერია",I353&gt;=განმარტება!$B$4),1,IF(OR(C353="ცარიელი",I353&gt;=1),2,IF(H353&gt;=განმარტება!$B$5,3,4)))</f>
        <v>3</v>
      </c>
      <c r="C353" s="6" t="s">
        <v>15</v>
      </c>
      <c r="D353" s="6" t="s">
        <v>1806</v>
      </c>
      <c r="E353" s="7" t="s">
        <v>1807</v>
      </c>
      <c r="F353" s="7" t="n">
        <v>1035</v>
      </c>
      <c r="G353" s="6" t="s">
        <v>112</v>
      </c>
      <c r="H353" s="8" t="n">
        <v>1859</v>
      </c>
      <c r="I353" s="8" t="n">
        <v>0</v>
      </c>
      <c r="J353" s="7" t="n">
        <v>0</v>
      </c>
      <c r="K353" s="9" t="s">
        <v>1808</v>
      </c>
      <c r="L353" s="6" t="s">
        <v>1809</v>
      </c>
      <c r="M353" s="6" t="s">
        <v>1810</v>
      </c>
      <c r="N353" s="10"/>
      <c r="O353" s="4" t="str">
        <f aca="false">IF(N353="","",LEN(N353))</f>
        <v/>
      </c>
    </row>
    <row r="354" customFormat="false" ht="39" hidden="false" customHeight="true" outlineLevel="0" collapsed="false">
      <c r="A354" s="4" t="n">
        <v>353</v>
      </c>
      <c r="B354" s="5" t="n">
        <f aca="false">IF(OR(C354="სხვა მოდელი წერია",I354&gt;=განმარტება!$B$4),1,IF(OR(C354="ცარიელი",I354&gt;=1),2,IF(H354&gt;=განმარტება!$B$5,3,4)))</f>
        <v>3</v>
      </c>
      <c r="C354" s="6" t="s">
        <v>15</v>
      </c>
      <c r="D354" s="6" t="s">
        <v>1811</v>
      </c>
      <c r="E354" s="7" t="s">
        <v>1812</v>
      </c>
      <c r="F354" s="7" t="n">
        <v>2926</v>
      </c>
      <c r="G354" s="6" t="s">
        <v>112</v>
      </c>
      <c r="H354" s="8" t="n">
        <v>1859</v>
      </c>
      <c r="I354" s="8" t="n">
        <v>0</v>
      </c>
      <c r="J354" s="7" t="n">
        <v>0</v>
      </c>
      <c r="K354" s="9" t="s">
        <v>1813</v>
      </c>
      <c r="L354" s="6" t="s">
        <v>1814</v>
      </c>
      <c r="M354" s="6" t="s">
        <v>1815</v>
      </c>
      <c r="N354" s="10"/>
      <c r="O354" s="4" t="str">
        <f aca="false">IF(N354="","",LEN(N354))</f>
        <v/>
      </c>
    </row>
    <row r="355" customFormat="false" ht="39" hidden="false" customHeight="true" outlineLevel="0" collapsed="false">
      <c r="A355" s="4" t="n">
        <v>354</v>
      </c>
      <c r="B355" s="5" t="n">
        <f aca="false">IF(OR(C355="სხვა მოდელი წერია",I355&gt;=განმარტება!$B$4),1,IF(OR(C355="ცარიელი",I355&gt;=1),2,IF(H355&gt;=განმარტება!$B$5,3,4)))</f>
        <v>3</v>
      </c>
      <c r="C355" s="6" t="s">
        <v>15</v>
      </c>
      <c r="D355" s="6" t="s">
        <v>1816</v>
      </c>
      <c r="E355" s="7" t="s">
        <v>1817</v>
      </c>
      <c r="F355" s="7" t="n">
        <v>1551</v>
      </c>
      <c r="G355" s="6" t="s">
        <v>24</v>
      </c>
      <c r="H355" s="8" t="n">
        <v>1849</v>
      </c>
      <c r="I355" s="8" t="n">
        <v>0</v>
      </c>
      <c r="J355" s="7" t="n">
        <v>0</v>
      </c>
      <c r="K355" s="9" t="s">
        <v>1818</v>
      </c>
      <c r="L355" s="6" t="s">
        <v>1819</v>
      </c>
      <c r="M355" s="6" t="s">
        <v>1820</v>
      </c>
      <c r="N355" s="10"/>
      <c r="O355" s="4" t="str">
        <f aca="false">IF(N355="","",LEN(N355))</f>
        <v/>
      </c>
    </row>
    <row r="356" customFormat="false" ht="39" hidden="false" customHeight="true" outlineLevel="0" collapsed="false">
      <c r="A356" s="4" t="n">
        <v>355</v>
      </c>
      <c r="B356" s="5" t="n">
        <f aca="false">IF(OR(C356="სხვა მოდელი წერია",I356&gt;=განმარტება!$B$4),1,IF(OR(C356="ცარიელი",I356&gt;=1),2,IF(H356&gt;=განმარტება!$B$5,3,4)))</f>
        <v>3</v>
      </c>
      <c r="C356" s="6" t="s">
        <v>15</v>
      </c>
      <c r="D356" s="6" t="s">
        <v>1821</v>
      </c>
      <c r="E356" s="7" t="s">
        <v>1822</v>
      </c>
      <c r="F356" s="7" t="n">
        <v>3023</v>
      </c>
      <c r="G356" s="6" t="s">
        <v>402</v>
      </c>
      <c r="H356" s="8" t="n">
        <v>1849</v>
      </c>
      <c r="I356" s="8" t="n">
        <v>0</v>
      </c>
      <c r="J356" s="7" t="n">
        <v>0</v>
      </c>
      <c r="K356" s="9" t="s">
        <v>1823</v>
      </c>
      <c r="L356" s="6" t="s">
        <v>1824</v>
      </c>
      <c r="M356" s="6" t="s">
        <v>1825</v>
      </c>
      <c r="N356" s="10"/>
      <c r="O356" s="4" t="str">
        <f aca="false">IF(N356="","",LEN(N356))</f>
        <v/>
      </c>
    </row>
    <row r="357" customFormat="false" ht="39" hidden="false" customHeight="true" outlineLevel="0" collapsed="false">
      <c r="A357" s="4" t="n">
        <v>356</v>
      </c>
      <c r="B357" s="5" t="n">
        <f aca="false">IF(OR(C357="სხვა მოდელი წერია",I357&gt;=განმარტება!$B$4),1,IF(OR(C357="ცარიელი",I357&gt;=1),2,IF(H357&gt;=განმარტება!$B$5,3,4)))</f>
        <v>3</v>
      </c>
      <c r="C357" s="6" t="s">
        <v>15</v>
      </c>
      <c r="D357" s="6" t="s">
        <v>1826</v>
      </c>
      <c r="E357" s="7" t="s">
        <v>1827</v>
      </c>
      <c r="F357" s="7" t="n">
        <v>1279</v>
      </c>
      <c r="G357" s="6" t="s">
        <v>205</v>
      </c>
      <c r="H357" s="8" t="n">
        <v>1849</v>
      </c>
      <c r="I357" s="8" t="n">
        <v>0</v>
      </c>
      <c r="J357" s="7" t="n">
        <v>0</v>
      </c>
      <c r="K357" s="9" t="s">
        <v>1828</v>
      </c>
      <c r="L357" s="6" t="s">
        <v>1829</v>
      </c>
      <c r="M357" s="6" t="s">
        <v>1830</v>
      </c>
      <c r="N357" s="10"/>
      <c r="O357" s="4" t="str">
        <f aca="false">IF(N357="","",LEN(N357))</f>
        <v/>
      </c>
    </row>
    <row r="358" customFormat="false" ht="39" hidden="false" customHeight="true" outlineLevel="0" collapsed="false">
      <c r="A358" s="4" t="n">
        <v>357</v>
      </c>
      <c r="B358" s="5" t="n">
        <f aca="false">IF(OR(C358="სხვა მოდელი წერია",I358&gt;=განმარტება!$B$4),1,IF(OR(C358="ცარიელი",I358&gt;=1),2,IF(H358&gt;=განმარტება!$B$5,3,4)))</f>
        <v>3</v>
      </c>
      <c r="C358" s="6" t="s">
        <v>15</v>
      </c>
      <c r="D358" s="6" t="s">
        <v>1831</v>
      </c>
      <c r="E358" s="7" t="s">
        <v>1832</v>
      </c>
      <c r="F358" s="7" t="n">
        <v>1502</v>
      </c>
      <c r="G358" s="6" t="s">
        <v>858</v>
      </c>
      <c r="H358" s="8" t="n">
        <v>1840</v>
      </c>
      <c r="I358" s="8" t="n">
        <v>0</v>
      </c>
      <c r="J358" s="7" t="n">
        <v>0</v>
      </c>
      <c r="K358" s="9" t="s">
        <v>1833</v>
      </c>
      <c r="L358" s="6" t="s">
        <v>1834</v>
      </c>
      <c r="M358" s="6" t="s">
        <v>1835</v>
      </c>
      <c r="N358" s="10"/>
      <c r="O358" s="4" t="str">
        <f aca="false">IF(N358="","",LEN(N358))</f>
        <v/>
      </c>
    </row>
    <row r="359" customFormat="false" ht="39" hidden="false" customHeight="true" outlineLevel="0" collapsed="false">
      <c r="A359" s="4" t="n">
        <v>358</v>
      </c>
      <c r="B359" s="5" t="n">
        <f aca="false">IF(OR(C359="სხვა მოდელი წერია",I359&gt;=განმარტება!$B$4),1,IF(OR(C359="ცარიელი",I359&gt;=1),2,IF(H359&gt;=განმარტება!$B$5,3,4)))</f>
        <v>3</v>
      </c>
      <c r="C359" s="6" t="s">
        <v>15</v>
      </c>
      <c r="D359" s="6" t="s">
        <v>1836</v>
      </c>
      <c r="E359" s="7" t="s">
        <v>1837</v>
      </c>
      <c r="F359" s="7" t="n">
        <v>1037</v>
      </c>
      <c r="G359" s="6" t="s">
        <v>112</v>
      </c>
      <c r="H359" s="8" t="n">
        <v>1825</v>
      </c>
      <c r="I359" s="8" t="n">
        <v>0</v>
      </c>
      <c r="J359" s="7" t="n">
        <v>0</v>
      </c>
      <c r="K359" s="9" t="s">
        <v>1838</v>
      </c>
      <c r="L359" s="6" t="s">
        <v>1839</v>
      </c>
      <c r="M359" s="6" t="s">
        <v>1840</v>
      </c>
      <c r="N359" s="10"/>
      <c r="O359" s="4" t="str">
        <f aca="false">IF(N359="","",LEN(N359))</f>
        <v/>
      </c>
    </row>
    <row r="360" customFormat="false" ht="39" hidden="false" customHeight="true" outlineLevel="0" collapsed="false">
      <c r="A360" s="4" t="n">
        <v>359</v>
      </c>
      <c r="B360" s="5" t="n">
        <f aca="false">IF(OR(C360="სხვა მოდელი წერია",I360&gt;=განმარტება!$B$4),1,IF(OR(C360="ცარიელი",I360&gt;=1),2,IF(H360&gt;=განმარტება!$B$5,3,4)))</f>
        <v>3</v>
      </c>
      <c r="C360" s="6" t="s">
        <v>15</v>
      </c>
      <c r="D360" s="6" t="s">
        <v>1841</v>
      </c>
      <c r="E360" s="7" t="s">
        <v>1842</v>
      </c>
      <c r="F360" s="7" t="n">
        <v>1347</v>
      </c>
      <c r="G360" s="6" t="s">
        <v>106</v>
      </c>
      <c r="H360" s="8" t="n">
        <v>1800</v>
      </c>
      <c r="I360" s="8" t="n">
        <v>0</v>
      </c>
      <c r="J360" s="7" t="n">
        <v>0</v>
      </c>
      <c r="K360" s="9" t="s">
        <v>1843</v>
      </c>
      <c r="L360" s="6" t="s">
        <v>1844</v>
      </c>
      <c r="M360" s="6" t="s">
        <v>1845</v>
      </c>
      <c r="N360" s="10"/>
      <c r="O360" s="4" t="str">
        <f aca="false">IF(N360="","",LEN(N360))</f>
        <v/>
      </c>
    </row>
    <row r="361" customFormat="false" ht="39" hidden="false" customHeight="true" outlineLevel="0" collapsed="false">
      <c r="A361" s="4" t="n">
        <v>360</v>
      </c>
      <c r="B361" s="5" t="n">
        <f aca="false">IF(OR(C361="სხვა მოდელი წერია",I361&gt;=განმარტება!$B$4),1,IF(OR(C361="ცარიელი",I361&gt;=1),2,IF(H361&gt;=განმარტება!$B$5,3,4)))</f>
        <v>3</v>
      </c>
      <c r="C361" s="6" t="s">
        <v>15</v>
      </c>
      <c r="D361" s="6" t="s">
        <v>1846</v>
      </c>
      <c r="E361" s="7" t="s">
        <v>1847</v>
      </c>
      <c r="F361" s="7" t="n">
        <v>1334</v>
      </c>
      <c r="G361" s="6" t="s">
        <v>106</v>
      </c>
      <c r="H361" s="8" t="n">
        <v>1800</v>
      </c>
      <c r="I361" s="8" t="n">
        <v>0</v>
      </c>
      <c r="J361" s="7" t="n">
        <v>0</v>
      </c>
      <c r="K361" s="9" t="s">
        <v>1848</v>
      </c>
      <c r="L361" s="6" t="s">
        <v>1849</v>
      </c>
      <c r="M361" s="6" t="s">
        <v>1850</v>
      </c>
      <c r="N361" s="10"/>
      <c r="O361" s="4" t="str">
        <f aca="false">IF(N361="","",LEN(N361))</f>
        <v/>
      </c>
    </row>
    <row r="362" customFormat="false" ht="39" hidden="false" customHeight="true" outlineLevel="0" collapsed="false">
      <c r="A362" s="4" t="n">
        <v>361</v>
      </c>
      <c r="B362" s="5" t="n">
        <f aca="false">IF(OR(C362="სხვა მოდელი წერია",I362&gt;=განმარტება!$B$4),1,IF(OR(C362="ცარიელი",I362&gt;=1),2,IF(H362&gt;=განმარტება!$B$5,3,4)))</f>
        <v>3</v>
      </c>
      <c r="C362" s="6" t="s">
        <v>15</v>
      </c>
      <c r="D362" s="6" t="s">
        <v>1851</v>
      </c>
      <c r="E362" s="7" t="s">
        <v>1852</v>
      </c>
      <c r="F362" s="7" t="n">
        <v>3155</v>
      </c>
      <c r="G362" s="6" t="s">
        <v>285</v>
      </c>
      <c r="H362" s="8" t="n">
        <v>1799</v>
      </c>
      <c r="I362" s="8" t="n">
        <v>0</v>
      </c>
      <c r="J362" s="7" t="n">
        <v>0</v>
      </c>
      <c r="K362" s="9" t="s">
        <v>1853</v>
      </c>
      <c r="L362" s="6" t="s">
        <v>1854</v>
      </c>
      <c r="M362" s="6" t="s">
        <v>1855</v>
      </c>
      <c r="N362" s="10"/>
      <c r="O362" s="4" t="str">
        <f aca="false">IF(N362="","",LEN(N362))</f>
        <v/>
      </c>
    </row>
    <row r="363" customFormat="false" ht="39" hidden="false" customHeight="true" outlineLevel="0" collapsed="false">
      <c r="A363" s="4" t="n">
        <v>362</v>
      </c>
      <c r="B363" s="5" t="n">
        <f aca="false">IF(OR(C363="სხვა მოდელი წერია",I363&gt;=განმარტება!$B$4),1,IF(OR(C363="ცარიელი",I363&gt;=1),2,IF(H363&gt;=განმარტება!$B$5,3,4)))</f>
        <v>3</v>
      </c>
      <c r="C363" s="6" t="s">
        <v>15</v>
      </c>
      <c r="D363" s="6" t="s">
        <v>1856</v>
      </c>
      <c r="E363" s="7" t="s">
        <v>1857</v>
      </c>
      <c r="F363" s="7" t="n">
        <v>4067</v>
      </c>
      <c r="G363" s="6" t="s">
        <v>112</v>
      </c>
      <c r="H363" s="8" t="n">
        <v>1799</v>
      </c>
      <c r="I363" s="8" t="n">
        <v>0</v>
      </c>
      <c r="J363" s="7" t="n">
        <v>0</v>
      </c>
      <c r="K363" s="9" t="s">
        <v>1858</v>
      </c>
      <c r="L363" s="6" t="s">
        <v>1859</v>
      </c>
      <c r="M363" s="6" t="s">
        <v>1860</v>
      </c>
      <c r="N363" s="10"/>
      <c r="O363" s="4" t="str">
        <f aca="false">IF(N363="","",LEN(N363))</f>
        <v/>
      </c>
    </row>
    <row r="364" customFormat="false" ht="39" hidden="false" customHeight="true" outlineLevel="0" collapsed="false">
      <c r="A364" s="4" t="n">
        <v>363</v>
      </c>
      <c r="B364" s="5" t="n">
        <f aca="false">IF(OR(C364="სხვა მოდელი წერია",I364&gt;=განმარტება!$B$4),1,IF(OR(C364="ცარიელი",I364&gt;=1),2,IF(H364&gt;=განმარტება!$B$5,3,4)))</f>
        <v>3</v>
      </c>
      <c r="C364" s="6" t="s">
        <v>15</v>
      </c>
      <c r="D364" s="6" t="s">
        <v>1861</v>
      </c>
      <c r="E364" s="7" t="s">
        <v>1862</v>
      </c>
      <c r="F364" s="7" t="n">
        <v>2701</v>
      </c>
      <c r="G364" s="6" t="s">
        <v>112</v>
      </c>
      <c r="H364" s="8" t="n">
        <v>1799</v>
      </c>
      <c r="I364" s="8" t="n">
        <v>0</v>
      </c>
      <c r="J364" s="7" t="n">
        <v>0</v>
      </c>
      <c r="K364" s="9" t="s">
        <v>1863</v>
      </c>
      <c r="L364" s="6" t="s">
        <v>1864</v>
      </c>
      <c r="M364" s="6" t="s">
        <v>1865</v>
      </c>
      <c r="N364" s="10"/>
      <c r="O364" s="4" t="str">
        <f aca="false">IF(N364="","",LEN(N364))</f>
        <v/>
      </c>
    </row>
    <row r="365" customFormat="false" ht="51.75" hidden="false" customHeight="true" outlineLevel="0" collapsed="false">
      <c r="A365" s="4" t="n">
        <v>364</v>
      </c>
      <c r="B365" s="5" t="n">
        <f aca="false">IF(OR(C365="სხვა მოდელი წერია",I365&gt;=განმარტება!$B$4),1,IF(OR(C365="ცარიელი",I365&gt;=1),2,IF(H365&gt;=განმარტება!$B$5,3,4)))</f>
        <v>3</v>
      </c>
      <c r="C365" s="6" t="s">
        <v>15</v>
      </c>
      <c r="D365" s="6" t="s">
        <v>1866</v>
      </c>
      <c r="E365" s="7" t="s">
        <v>1867</v>
      </c>
      <c r="F365" s="7" t="n">
        <v>1763</v>
      </c>
      <c r="G365" s="6" t="s">
        <v>48</v>
      </c>
      <c r="H365" s="8" t="n">
        <v>1799</v>
      </c>
      <c r="I365" s="8" t="n">
        <v>0</v>
      </c>
      <c r="J365" s="7" t="n">
        <v>0</v>
      </c>
      <c r="K365" s="9" t="s">
        <v>1868</v>
      </c>
      <c r="L365" s="6" t="s">
        <v>1869</v>
      </c>
      <c r="M365" s="6" t="s">
        <v>1870</v>
      </c>
      <c r="N365" s="10"/>
      <c r="O365" s="4" t="str">
        <f aca="false">IF(N365="","",LEN(N365))</f>
        <v/>
      </c>
    </row>
    <row r="366" customFormat="false" ht="51.75" hidden="false" customHeight="true" outlineLevel="0" collapsed="false">
      <c r="A366" s="4" t="n">
        <v>365</v>
      </c>
      <c r="B366" s="5" t="n">
        <f aca="false">IF(OR(C366="სხვა მოდელი წერია",I366&gt;=განმარტება!$B$4),1,IF(OR(C366="ცარიელი",I366&gt;=1),2,IF(H366&gt;=განმარტება!$B$5,3,4)))</f>
        <v>3</v>
      </c>
      <c r="C366" s="6" t="s">
        <v>15</v>
      </c>
      <c r="D366" s="6" t="s">
        <v>1871</v>
      </c>
      <c r="E366" s="7" t="s">
        <v>1872</v>
      </c>
      <c r="F366" s="7" t="n">
        <v>1470</v>
      </c>
      <c r="G366" s="6" t="s">
        <v>48</v>
      </c>
      <c r="H366" s="8" t="n">
        <v>1799</v>
      </c>
      <c r="I366" s="8" t="n">
        <v>0</v>
      </c>
      <c r="J366" s="7" t="n">
        <v>0</v>
      </c>
      <c r="K366" s="9" t="s">
        <v>1873</v>
      </c>
      <c r="L366" s="6" t="s">
        <v>1874</v>
      </c>
      <c r="M366" s="6" t="s">
        <v>1875</v>
      </c>
      <c r="N366" s="10"/>
      <c r="O366" s="4" t="str">
        <f aca="false">IF(N366="","",LEN(N366))</f>
        <v/>
      </c>
    </row>
    <row r="367" customFormat="false" ht="39" hidden="false" customHeight="true" outlineLevel="0" collapsed="false">
      <c r="A367" s="4" t="n">
        <v>366</v>
      </c>
      <c r="B367" s="5" t="n">
        <f aca="false">IF(OR(C367="სხვა მოდელი წერია",I367&gt;=განმარტება!$B$4),1,IF(OR(C367="ცარიელი",I367&gt;=1),2,IF(H367&gt;=განმარტება!$B$5,3,4)))</f>
        <v>3</v>
      </c>
      <c r="C367" s="6" t="s">
        <v>15</v>
      </c>
      <c r="D367" s="6" t="s">
        <v>1876</v>
      </c>
      <c r="E367" s="7" t="s">
        <v>1877</v>
      </c>
      <c r="F367" s="7" t="n">
        <v>1496</v>
      </c>
      <c r="G367" s="6" t="s">
        <v>858</v>
      </c>
      <c r="H367" s="8" t="n">
        <v>1795</v>
      </c>
      <c r="I367" s="8" t="n">
        <v>0</v>
      </c>
      <c r="J367" s="7" t="n">
        <v>0</v>
      </c>
      <c r="K367" s="9" t="s">
        <v>1878</v>
      </c>
      <c r="L367" s="6" t="s">
        <v>1879</v>
      </c>
      <c r="M367" s="6" t="s">
        <v>1880</v>
      </c>
      <c r="N367" s="10"/>
      <c r="O367" s="4" t="str">
        <f aca="false">IF(N367="","",LEN(N367))</f>
        <v/>
      </c>
    </row>
    <row r="368" customFormat="false" ht="39" hidden="false" customHeight="true" outlineLevel="0" collapsed="false">
      <c r="A368" s="4" t="n">
        <v>367</v>
      </c>
      <c r="B368" s="5" t="n">
        <f aca="false">IF(OR(C368="სხვა მოდელი წერია",I368&gt;=განმარტება!$B$4),1,IF(OR(C368="ცარიელი",I368&gt;=1),2,IF(H368&gt;=განმარტება!$B$5,3,4)))</f>
        <v>3</v>
      </c>
      <c r="C368" s="6" t="s">
        <v>15</v>
      </c>
      <c r="D368" s="6" t="s">
        <v>1881</v>
      </c>
      <c r="E368" s="7" t="s">
        <v>1882</v>
      </c>
      <c r="F368" s="7" t="n">
        <v>2224</v>
      </c>
      <c r="G368" s="6" t="s">
        <v>205</v>
      </c>
      <c r="H368" s="8" t="n">
        <v>1789</v>
      </c>
      <c r="I368" s="8" t="n">
        <v>0</v>
      </c>
      <c r="J368" s="7" t="n">
        <v>0</v>
      </c>
      <c r="K368" s="9" t="s">
        <v>1883</v>
      </c>
      <c r="L368" s="6" t="s">
        <v>1884</v>
      </c>
      <c r="M368" s="6" t="s">
        <v>1885</v>
      </c>
      <c r="N368" s="10"/>
      <c r="O368" s="4" t="str">
        <f aca="false">IF(N368="","",LEN(N368))</f>
        <v/>
      </c>
    </row>
    <row r="369" customFormat="false" ht="39" hidden="false" customHeight="true" outlineLevel="0" collapsed="false">
      <c r="A369" s="4" t="n">
        <v>368</v>
      </c>
      <c r="B369" s="5" t="n">
        <f aca="false">IF(OR(C369="სხვა მოდელი წერია",I369&gt;=განმარტება!$B$4),1,IF(OR(C369="ცარიელი",I369&gt;=1),2,IF(H369&gt;=განმარტება!$B$5,3,4)))</f>
        <v>3</v>
      </c>
      <c r="C369" s="6" t="s">
        <v>15</v>
      </c>
      <c r="D369" s="6" t="s">
        <v>1886</v>
      </c>
      <c r="E369" s="7" t="s">
        <v>1887</v>
      </c>
      <c r="F369" s="7" t="n">
        <v>514</v>
      </c>
      <c r="G369" s="6" t="s">
        <v>24</v>
      </c>
      <c r="H369" s="8" t="n">
        <v>1766</v>
      </c>
      <c r="I369" s="8" t="n">
        <v>0</v>
      </c>
      <c r="J369" s="7" t="n">
        <v>0</v>
      </c>
      <c r="K369" s="9" t="s">
        <v>1888</v>
      </c>
      <c r="L369" s="6" t="s">
        <v>1889</v>
      </c>
      <c r="M369" s="6" t="s">
        <v>1890</v>
      </c>
      <c r="N369" s="10"/>
      <c r="O369" s="4" t="str">
        <f aca="false">IF(N369="","",LEN(N369))</f>
        <v/>
      </c>
    </row>
    <row r="370" customFormat="false" ht="39" hidden="false" customHeight="true" outlineLevel="0" collapsed="false">
      <c r="A370" s="4" t="n">
        <v>369</v>
      </c>
      <c r="B370" s="5" t="n">
        <f aca="false">IF(OR(C370="სხვა მოდელი წერია",I370&gt;=განმარტება!$B$4),1,IF(OR(C370="ცარიელი",I370&gt;=1),2,IF(H370&gt;=განმარტება!$B$5,3,4)))</f>
        <v>3</v>
      </c>
      <c r="C370" s="6" t="s">
        <v>15</v>
      </c>
      <c r="D370" s="6" t="s">
        <v>1891</v>
      </c>
      <c r="E370" s="7" t="s">
        <v>1892</v>
      </c>
      <c r="F370" s="7" t="n">
        <v>2789</v>
      </c>
      <c r="G370" s="6" t="s">
        <v>112</v>
      </c>
      <c r="H370" s="8" t="n">
        <v>1749</v>
      </c>
      <c r="I370" s="8" t="n">
        <v>0</v>
      </c>
      <c r="J370" s="7" t="n">
        <v>0</v>
      </c>
      <c r="K370" s="9" t="s">
        <v>1893</v>
      </c>
      <c r="L370" s="6" t="s">
        <v>1894</v>
      </c>
      <c r="M370" s="6" t="s">
        <v>1895</v>
      </c>
      <c r="N370" s="10"/>
      <c r="O370" s="4" t="str">
        <f aca="false">IF(N370="","",LEN(N370))</f>
        <v/>
      </c>
    </row>
    <row r="371" customFormat="false" ht="39" hidden="false" customHeight="true" outlineLevel="0" collapsed="false">
      <c r="A371" s="4" t="n">
        <v>370</v>
      </c>
      <c r="B371" s="5" t="n">
        <f aca="false">IF(OR(C371="სხვა მოდელი წერია",I371&gt;=განმარტება!$B$4),1,IF(OR(C371="ცარიელი",I371&gt;=1),2,IF(H371&gt;=განმარტება!$B$5,3,4)))</f>
        <v>3</v>
      </c>
      <c r="C371" s="6" t="s">
        <v>15</v>
      </c>
      <c r="D371" s="6" t="s">
        <v>1896</v>
      </c>
      <c r="E371" s="7" t="s">
        <v>1897</v>
      </c>
      <c r="F371" s="7" t="n">
        <v>2919</v>
      </c>
      <c r="G371" s="6" t="s">
        <v>24</v>
      </c>
      <c r="H371" s="8" t="n">
        <v>1749</v>
      </c>
      <c r="I371" s="8" t="n">
        <v>0</v>
      </c>
      <c r="J371" s="7" t="n">
        <v>0</v>
      </c>
      <c r="K371" s="9" t="s">
        <v>1898</v>
      </c>
      <c r="L371" s="6" t="s">
        <v>1899</v>
      </c>
      <c r="M371" s="6" t="s">
        <v>1900</v>
      </c>
      <c r="N371" s="10"/>
      <c r="O371" s="4" t="str">
        <f aca="false">IF(N371="","",LEN(N371))</f>
        <v/>
      </c>
    </row>
    <row r="372" customFormat="false" ht="39" hidden="false" customHeight="true" outlineLevel="0" collapsed="false">
      <c r="A372" s="4" t="n">
        <v>371</v>
      </c>
      <c r="B372" s="5" t="n">
        <f aca="false">IF(OR(C372="სხვა მოდელი წერია",I372&gt;=განმარტება!$B$4),1,IF(OR(C372="ცარიელი",I372&gt;=1),2,IF(H372&gt;=განმარტება!$B$5,3,4)))</f>
        <v>3</v>
      </c>
      <c r="C372" s="6" t="s">
        <v>15</v>
      </c>
      <c r="D372" s="6" t="s">
        <v>1901</v>
      </c>
      <c r="E372" s="7" t="s">
        <v>1902</v>
      </c>
      <c r="F372" s="7" t="n">
        <v>242</v>
      </c>
      <c r="G372" s="6" t="s">
        <v>24</v>
      </c>
      <c r="H372" s="8" t="n">
        <v>1749</v>
      </c>
      <c r="I372" s="8" t="n">
        <v>0</v>
      </c>
      <c r="J372" s="7" t="n">
        <v>0</v>
      </c>
      <c r="K372" s="9" t="s">
        <v>1903</v>
      </c>
      <c r="L372" s="6" t="s">
        <v>1904</v>
      </c>
      <c r="M372" s="6" t="s">
        <v>1905</v>
      </c>
      <c r="N372" s="10"/>
      <c r="O372" s="4" t="str">
        <f aca="false">IF(N372="","",LEN(N372))</f>
        <v/>
      </c>
    </row>
    <row r="373" customFormat="false" ht="64.5" hidden="false" customHeight="true" outlineLevel="0" collapsed="false">
      <c r="A373" s="4" t="n">
        <v>372</v>
      </c>
      <c r="B373" s="5" t="n">
        <f aca="false">IF(OR(C373="სხვა მოდელი წერია",I373&gt;=განმარტება!$B$4),1,IF(OR(C373="ცარიელი",I373&gt;=1),2,IF(H373&gt;=განმარტება!$B$5,3,4)))</f>
        <v>3</v>
      </c>
      <c r="C373" s="6" t="s">
        <v>15</v>
      </c>
      <c r="D373" s="6" t="s">
        <v>1906</v>
      </c>
      <c r="E373" s="7" t="s">
        <v>1907</v>
      </c>
      <c r="F373" s="7" t="n">
        <v>2450</v>
      </c>
      <c r="G373" s="6" t="s">
        <v>95</v>
      </c>
      <c r="H373" s="8" t="n">
        <v>1741</v>
      </c>
      <c r="I373" s="8" t="n">
        <v>0</v>
      </c>
      <c r="J373" s="7" t="n">
        <v>0</v>
      </c>
      <c r="K373" s="9" t="s">
        <v>1908</v>
      </c>
      <c r="L373" s="6" t="s">
        <v>1909</v>
      </c>
      <c r="M373" s="6" t="s">
        <v>1910</v>
      </c>
      <c r="N373" s="10"/>
      <c r="O373" s="4" t="str">
        <f aca="false">IF(N373="","",LEN(N373))</f>
        <v/>
      </c>
    </row>
    <row r="374" customFormat="false" ht="77.25" hidden="false" customHeight="true" outlineLevel="0" collapsed="false">
      <c r="A374" s="4" t="n">
        <v>373</v>
      </c>
      <c r="B374" s="5" t="n">
        <f aca="false">IF(OR(C374="სხვა მოდელი წერია",I374&gt;=განმარტება!$B$4),1,IF(OR(C374="ცარიელი",I374&gt;=1),2,IF(H374&gt;=განმარტება!$B$5,3,4)))</f>
        <v>3</v>
      </c>
      <c r="C374" s="6" t="s">
        <v>15</v>
      </c>
      <c r="D374" s="6" t="s">
        <v>1911</v>
      </c>
      <c r="E374" s="7" t="s">
        <v>1912</v>
      </c>
      <c r="F374" s="7" t="n">
        <v>5280</v>
      </c>
      <c r="G374" s="6" t="s">
        <v>1913</v>
      </c>
      <c r="H374" s="8" t="n">
        <v>1719</v>
      </c>
      <c r="I374" s="8" t="n">
        <v>0</v>
      </c>
      <c r="J374" s="7" t="n">
        <v>0</v>
      </c>
      <c r="K374" s="9" t="s">
        <v>1914</v>
      </c>
      <c r="L374" s="6" t="s">
        <v>1915</v>
      </c>
      <c r="M374" s="6" t="s">
        <v>1916</v>
      </c>
      <c r="N374" s="10"/>
      <c r="O374" s="4" t="str">
        <f aca="false">IF(N374="","",LEN(N374))</f>
        <v/>
      </c>
    </row>
    <row r="375" customFormat="false" ht="39" hidden="false" customHeight="true" outlineLevel="0" collapsed="false">
      <c r="A375" s="4" t="n">
        <v>374</v>
      </c>
      <c r="B375" s="5" t="n">
        <f aca="false">IF(OR(C375="სხვა მოდელი წერია",I375&gt;=განმარტება!$B$4),1,IF(OR(C375="ცარიელი",I375&gt;=1),2,IF(H375&gt;=განმარტება!$B$5,3,4)))</f>
        <v>3</v>
      </c>
      <c r="C375" s="6" t="s">
        <v>15</v>
      </c>
      <c r="D375" s="6" t="s">
        <v>1917</v>
      </c>
      <c r="E375" s="7" t="s">
        <v>1918</v>
      </c>
      <c r="F375" s="7" t="n">
        <v>2762</v>
      </c>
      <c r="G375" s="6" t="s">
        <v>112</v>
      </c>
      <c r="H375" s="8" t="n">
        <v>1699</v>
      </c>
      <c r="I375" s="8" t="n">
        <v>0</v>
      </c>
      <c r="J375" s="7" t="n">
        <v>0</v>
      </c>
      <c r="K375" s="9" t="s">
        <v>1919</v>
      </c>
      <c r="L375" s="6" t="s">
        <v>1920</v>
      </c>
      <c r="M375" s="6" t="s">
        <v>1921</v>
      </c>
      <c r="N375" s="10"/>
      <c r="O375" s="4" t="str">
        <f aca="false">IF(N375="","",LEN(N375))</f>
        <v/>
      </c>
    </row>
    <row r="376" customFormat="false" ht="39" hidden="false" customHeight="true" outlineLevel="0" collapsed="false">
      <c r="A376" s="4" t="n">
        <v>375</v>
      </c>
      <c r="B376" s="5" t="n">
        <f aca="false">IF(OR(C376="სხვა მოდელი წერია",I376&gt;=განმარტება!$B$4),1,IF(OR(C376="ცარიელი",I376&gt;=1),2,IF(H376&gt;=განმარტება!$B$5,3,4)))</f>
        <v>3</v>
      </c>
      <c r="C376" s="6" t="s">
        <v>15</v>
      </c>
      <c r="D376" s="6" t="s">
        <v>1922</v>
      </c>
      <c r="E376" s="7" t="s">
        <v>1923</v>
      </c>
      <c r="F376" s="7" t="n">
        <v>1438</v>
      </c>
      <c r="G376" s="6" t="s">
        <v>24</v>
      </c>
      <c r="H376" s="8" t="n">
        <v>1699</v>
      </c>
      <c r="I376" s="8" t="n">
        <v>0</v>
      </c>
      <c r="J376" s="7" t="n">
        <v>0</v>
      </c>
      <c r="K376" s="9" t="s">
        <v>1924</v>
      </c>
      <c r="L376" s="6" t="s">
        <v>1925</v>
      </c>
      <c r="M376" s="6" t="s">
        <v>1926</v>
      </c>
      <c r="N376" s="10"/>
      <c r="O376" s="4" t="str">
        <f aca="false">IF(N376="","",LEN(N376))</f>
        <v/>
      </c>
    </row>
    <row r="377" customFormat="false" ht="39" hidden="false" customHeight="true" outlineLevel="0" collapsed="false">
      <c r="A377" s="4" t="n">
        <v>376</v>
      </c>
      <c r="B377" s="5" t="n">
        <f aca="false">IF(OR(C377="სხვა მოდელი წერია",I377&gt;=განმარტება!$B$4),1,IF(OR(C377="ცარიელი",I377&gt;=1),2,IF(H377&gt;=განმარტება!$B$5,3,4)))</f>
        <v>3</v>
      </c>
      <c r="C377" s="6" t="s">
        <v>15</v>
      </c>
      <c r="D377" s="6" t="s">
        <v>1927</v>
      </c>
      <c r="E377" s="7" t="s">
        <v>1928</v>
      </c>
      <c r="F377" s="7" t="n">
        <v>1436</v>
      </c>
      <c r="G377" s="6" t="s">
        <v>24</v>
      </c>
      <c r="H377" s="8" t="n">
        <v>1699</v>
      </c>
      <c r="I377" s="8" t="n">
        <v>0</v>
      </c>
      <c r="J377" s="7" t="n">
        <v>0</v>
      </c>
      <c r="K377" s="9" t="s">
        <v>1929</v>
      </c>
      <c r="L377" s="6" t="s">
        <v>1930</v>
      </c>
      <c r="M377" s="6" t="s">
        <v>1931</v>
      </c>
      <c r="N377" s="10"/>
      <c r="O377" s="4" t="str">
        <f aca="false">IF(N377="","",LEN(N377))</f>
        <v/>
      </c>
    </row>
    <row r="378" customFormat="false" ht="51.75" hidden="false" customHeight="true" outlineLevel="0" collapsed="false">
      <c r="A378" s="4" t="n">
        <v>377</v>
      </c>
      <c r="B378" s="5" t="n">
        <f aca="false">IF(OR(C378="სხვა მოდელი წერია",I378&gt;=განმარტება!$B$4),1,IF(OR(C378="ცარიელი",I378&gt;=1),2,IF(H378&gt;=განმარტება!$B$5,3,4)))</f>
        <v>3</v>
      </c>
      <c r="C378" s="6" t="s">
        <v>15</v>
      </c>
      <c r="D378" s="6" t="s">
        <v>1932</v>
      </c>
      <c r="E378" s="7" t="s">
        <v>1933</v>
      </c>
      <c r="F378" s="7" t="n">
        <v>2484</v>
      </c>
      <c r="G378" s="6" t="s">
        <v>211</v>
      </c>
      <c r="H378" s="8" t="n">
        <v>1699</v>
      </c>
      <c r="I378" s="8" t="n">
        <v>0</v>
      </c>
      <c r="J378" s="7" t="n">
        <v>0</v>
      </c>
      <c r="K378" s="9" t="s">
        <v>1934</v>
      </c>
      <c r="L378" s="6" t="s">
        <v>1935</v>
      </c>
      <c r="M378" s="6" t="s">
        <v>1936</v>
      </c>
      <c r="N378" s="10"/>
      <c r="O378" s="4" t="str">
        <f aca="false">IF(N378="","",LEN(N378))</f>
        <v/>
      </c>
    </row>
    <row r="379" customFormat="false" ht="39" hidden="false" customHeight="true" outlineLevel="0" collapsed="false">
      <c r="A379" s="4" t="n">
        <v>378</v>
      </c>
      <c r="B379" s="5" t="n">
        <f aca="false">IF(OR(C379="სხვა მოდელი წერია",I379&gt;=განმარტება!$B$4),1,IF(OR(C379="ცარიელი",I379&gt;=1),2,IF(H379&gt;=განმარტება!$B$5,3,4)))</f>
        <v>3</v>
      </c>
      <c r="C379" s="6" t="s">
        <v>15</v>
      </c>
      <c r="D379" s="6" t="s">
        <v>1937</v>
      </c>
      <c r="E379" s="7" t="s">
        <v>1938</v>
      </c>
      <c r="F379" s="7" t="n">
        <v>6334</v>
      </c>
      <c r="G379" s="6" t="s">
        <v>205</v>
      </c>
      <c r="H379" s="8" t="n">
        <v>1699</v>
      </c>
      <c r="I379" s="8" t="n">
        <v>0</v>
      </c>
      <c r="J379" s="7" t="n">
        <v>0</v>
      </c>
      <c r="K379" s="9" t="s">
        <v>1939</v>
      </c>
      <c r="L379" s="6" t="s">
        <v>1940</v>
      </c>
      <c r="M379" s="6" t="s">
        <v>1941</v>
      </c>
      <c r="N379" s="10"/>
      <c r="O379" s="4" t="str">
        <f aca="false">IF(N379="","",LEN(N379))</f>
        <v/>
      </c>
    </row>
    <row r="380" customFormat="false" ht="64.5" hidden="false" customHeight="true" outlineLevel="0" collapsed="false">
      <c r="A380" s="4" t="n">
        <v>379</v>
      </c>
      <c r="B380" s="5" t="n">
        <f aca="false">IF(OR(C380="სხვა მოდელი წერია",I380&gt;=განმარტება!$B$4),1,IF(OR(C380="ცარიელი",I380&gt;=1),2,IF(H380&gt;=განმარტება!$B$5,3,4)))</f>
        <v>3</v>
      </c>
      <c r="C380" s="6" t="s">
        <v>15</v>
      </c>
      <c r="D380" s="6" t="s">
        <v>1942</v>
      </c>
      <c r="E380" s="7" t="s">
        <v>1943</v>
      </c>
      <c r="F380" s="7" t="n">
        <v>3129</v>
      </c>
      <c r="G380" s="6" t="s">
        <v>95</v>
      </c>
      <c r="H380" s="8" t="n">
        <v>1699</v>
      </c>
      <c r="I380" s="8" t="n">
        <v>0</v>
      </c>
      <c r="J380" s="7" t="n">
        <v>0</v>
      </c>
      <c r="K380" s="9" t="s">
        <v>1944</v>
      </c>
      <c r="L380" s="6" t="s">
        <v>1945</v>
      </c>
      <c r="M380" s="6" t="s">
        <v>1946</v>
      </c>
      <c r="N380" s="10"/>
      <c r="O380" s="4" t="str">
        <f aca="false">IF(N380="","",LEN(N380))</f>
        <v/>
      </c>
    </row>
    <row r="381" customFormat="false" ht="51.75" hidden="false" customHeight="true" outlineLevel="0" collapsed="false">
      <c r="A381" s="4" t="n">
        <v>380</v>
      </c>
      <c r="B381" s="5" t="n">
        <f aca="false">IF(OR(C381="სხვა მოდელი წერია",I381&gt;=განმარტება!$B$4),1,IF(OR(C381="ცარიელი",I381&gt;=1),2,IF(H381&gt;=განმარტება!$B$5,3,4)))</f>
        <v>3</v>
      </c>
      <c r="C381" s="6" t="s">
        <v>15</v>
      </c>
      <c r="D381" s="6" t="s">
        <v>1947</v>
      </c>
      <c r="E381" s="7" t="s">
        <v>1948</v>
      </c>
      <c r="F381" s="7" t="n">
        <v>3028</v>
      </c>
      <c r="G381" s="6" t="s">
        <v>48</v>
      </c>
      <c r="H381" s="8" t="n">
        <v>1699</v>
      </c>
      <c r="I381" s="8" t="n">
        <v>0</v>
      </c>
      <c r="J381" s="7" t="n">
        <v>0</v>
      </c>
      <c r="K381" s="9" t="s">
        <v>1949</v>
      </c>
      <c r="L381" s="6" t="s">
        <v>1950</v>
      </c>
      <c r="M381" s="6" t="s">
        <v>1951</v>
      </c>
      <c r="N381" s="10"/>
      <c r="O381" s="4" t="str">
        <f aca="false">IF(N381="","",LEN(N381))</f>
        <v/>
      </c>
    </row>
    <row r="382" customFormat="false" ht="51.75" hidden="false" customHeight="true" outlineLevel="0" collapsed="false">
      <c r="A382" s="4" t="n">
        <v>381</v>
      </c>
      <c r="B382" s="5" t="n">
        <f aca="false">IF(OR(C382="სხვა მოდელი წერია",I382&gt;=განმარტება!$B$4),1,IF(OR(C382="ცარიელი",I382&gt;=1),2,IF(H382&gt;=განმარტება!$B$5,3,4)))</f>
        <v>3</v>
      </c>
      <c r="C382" s="6" t="s">
        <v>15</v>
      </c>
      <c r="D382" s="6" t="s">
        <v>1952</v>
      </c>
      <c r="E382" s="7" t="s">
        <v>1953</v>
      </c>
      <c r="F382" s="7" t="n">
        <v>1472</v>
      </c>
      <c r="G382" s="6" t="s">
        <v>48</v>
      </c>
      <c r="H382" s="8" t="n">
        <v>1699</v>
      </c>
      <c r="I382" s="8" t="n">
        <v>0</v>
      </c>
      <c r="J382" s="7" t="n">
        <v>0</v>
      </c>
      <c r="K382" s="9" t="s">
        <v>1954</v>
      </c>
      <c r="L382" s="6" t="s">
        <v>1955</v>
      </c>
      <c r="M382" s="6" t="s">
        <v>1956</v>
      </c>
      <c r="N382" s="10"/>
      <c r="O382" s="4" t="str">
        <f aca="false">IF(N382="","",LEN(N382))</f>
        <v/>
      </c>
    </row>
    <row r="383" customFormat="false" ht="51.75" hidden="false" customHeight="true" outlineLevel="0" collapsed="false">
      <c r="A383" s="4" t="n">
        <v>382</v>
      </c>
      <c r="B383" s="5" t="n">
        <f aca="false">IF(OR(C383="სხვა მოდელი წერია",I383&gt;=განმარტება!$B$4),1,IF(OR(C383="ცარიელი",I383&gt;=1),2,IF(H383&gt;=განმარტება!$B$5,3,4)))</f>
        <v>3</v>
      </c>
      <c r="C383" s="6" t="s">
        <v>15</v>
      </c>
      <c r="D383" s="6" t="s">
        <v>1957</v>
      </c>
      <c r="E383" s="7" t="s">
        <v>1958</v>
      </c>
      <c r="F383" s="7" t="n">
        <v>2833</v>
      </c>
      <c r="G383" s="6" t="s">
        <v>48</v>
      </c>
      <c r="H383" s="8" t="n">
        <v>1699</v>
      </c>
      <c r="I383" s="8" t="n">
        <v>0</v>
      </c>
      <c r="J383" s="7" t="n">
        <v>0</v>
      </c>
      <c r="K383" s="9" t="s">
        <v>1959</v>
      </c>
      <c r="L383" s="6" t="s">
        <v>1960</v>
      </c>
      <c r="M383" s="6" t="s">
        <v>1961</v>
      </c>
      <c r="N383" s="10"/>
      <c r="O383" s="4" t="str">
        <f aca="false">IF(N383="","",LEN(N383))</f>
        <v/>
      </c>
    </row>
    <row r="384" customFormat="false" ht="39" hidden="false" customHeight="true" outlineLevel="0" collapsed="false">
      <c r="A384" s="4" t="n">
        <v>383</v>
      </c>
      <c r="B384" s="5" t="n">
        <f aca="false">IF(OR(C384="სხვა მოდელი წერია",I384&gt;=განმარტება!$B$4),1,IF(OR(C384="ცარიელი",I384&gt;=1),2,IF(H384&gt;=განმარტება!$B$5,3,4)))</f>
        <v>3</v>
      </c>
      <c r="C384" s="6" t="s">
        <v>15</v>
      </c>
      <c r="D384" s="6" t="s">
        <v>1962</v>
      </c>
      <c r="E384" s="7" t="s">
        <v>1963</v>
      </c>
      <c r="F384" s="7" t="n">
        <v>2757</v>
      </c>
      <c r="G384" s="6" t="s">
        <v>112</v>
      </c>
      <c r="H384" s="8" t="n">
        <v>1694</v>
      </c>
      <c r="I384" s="8" t="n">
        <v>0</v>
      </c>
      <c r="J384" s="7" t="n">
        <v>0</v>
      </c>
      <c r="K384" s="9" t="s">
        <v>1964</v>
      </c>
      <c r="L384" s="6" t="s">
        <v>1965</v>
      </c>
      <c r="M384" s="6" t="s">
        <v>1966</v>
      </c>
      <c r="N384" s="10"/>
      <c r="O384" s="4" t="str">
        <f aca="false">IF(N384="","",LEN(N384))</f>
        <v/>
      </c>
    </row>
    <row r="385" customFormat="false" ht="39" hidden="false" customHeight="true" outlineLevel="0" collapsed="false">
      <c r="A385" s="4" t="n">
        <v>384</v>
      </c>
      <c r="B385" s="5" t="n">
        <f aca="false">IF(OR(C385="სხვა მოდელი წერია",I385&gt;=განმარტება!$B$4),1,IF(OR(C385="ცარიელი",I385&gt;=1),2,IF(H385&gt;=განმარტება!$B$5,3,4)))</f>
        <v>3</v>
      </c>
      <c r="C385" s="6" t="s">
        <v>15</v>
      </c>
      <c r="D385" s="6" t="s">
        <v>1967</v>
      </c>
      <c r="E385" s="7" t="s">
        <v>1968</v>
      </c>
      <c r="F385" s="7" t="n">
        <v>1500</v>
      </c>
      <c r="G385" s="6" t="s">
        <v>858</v>
      </c>
      <c r="H385" s="8" t="n">
        <v>1690</v>
      </c>
      <c r="I385" s="8" t="n">
        <v>0</v>
      </c>
      <c r="J385" s="7" t="n">
        <v>0</v>
      </c>
      <c r="K385" s="9" t="s">
        <v>1969</v>
      </c>
      <c r="L385" s="6" t="s">
        <v>1970</v>
      </c>
      <c r="M385" s="6" t="s">
        <v>1971</v>
      </c>
      <c r="N385" s="10"/>
      <c r="O385" s="4" t="str">
        <f aca="false">IF(N385="","",LEN(N385))</f>
        <v/>
      </c>
    </row>
    <row r="386" customFormat="false" ht="39" hidden="false" customHeight="true" outlineLevel="0" collapsed="false">
      <c r="A386" s="4" t="n">
        <v>385</v>
      </c>
      <c r="B386" s="5" t="n">
        <f aca="false">IF(OR(C386="სხვა მოდელი წერია",I386&gt;=განმარტება!$B$4),1,IF(OR(C386="ცარიელი",I386&gt;=1),2,IF(H386&gt;=განმარტება!$B$5,3,4)))</f>
        <v>3</v>
      </c>
      <c r="C386" s="6" t="s">
        <v>15</v>
      </c>
      <c r="D386" s="6" t="s">
        <v>1972</v>
      </c>
      <c r="E386" s="7" t="s">
        <v>1973</v>
      </c>
      <c r="F386" s="7" t="n">
        <v>3771</v>
      </c>
      <c r="G386" s="6" t="s">
        <v>118</v>
      </c>
      <c r="H386" s="8" t="n">
        <v>1655</v>
      </c>
      <c r="I386" s="8" t="n">
        <v>0</v>
      </c>
      <c r="J386" s="7" t="n">
        <v>0</v>
      </c>
      <c r="K386" s="9" t="s">
        <v>1974</v>
      </c>
      <c r="L386" s="6" t="s">
        <v>1975</v>
      </c>
      <c r="M386" s="6" t="s">
        <v>1976</v>
      </c>
      <c r="N386" s="10"/>
      <c r="O386" s="4" t="str">
        <f aca="false">IF(N386="","",LEN(N386))</f>
        <v/>
      </c>
    </row>
    <row r="387" customFormat="false" ht="39" hidden="false" customHeight="true" outlineLevel="0" collapsed="false">
      <c r="A387" s="4" t="n">
        <v>386</v>
      </c>
      <c r="B387" s="5" t="n">
        <f aca="false">IF(OR(C387="სხვა მოდელი წერია",I387&gt;=განმარტება!$B$4),1,IF(OR(C387="ცარიელი",I387&gt;=1),2,IF(H387&gt;=განმარტება!$B$5,3,4)))</f>
        <v>3</v>
      </c>
      <c r="C387" s="6" t="s">
        <v>15</v>
      </c>
      <c r="D387" s="6" t="s">
        <v>1977</v>
      </c>
      <c r="E387" s="7" t="s">
        <v>1978</v>
      </c>
      <c r="F387" s="7" t="n">
        <v>2930</v>
      </c>
      <c r="G387" s="6" t="s">
        <v>112</v>
      </c>
      <c r="H387" s="8" t="n">
        <v>1649</v>
      </c>
      <c r="I387" s="8" t="n">
        <v>0</v>
      </c>
      <c r="J387" s="7" t="n">
        <v>0</v>
      </c>
      <c r="K387" s="9" t="s">
        <v>1979</v>
      </c>
      <c r="L387" s="6" t="s">
        <v>1980</v>
      </c>
      <c r="M387" s="6" t="s">
        <v>1981</v>
      </c>
      <c r="N387" s="10"/>
      <c r="O387" s="4" t="str">
        <f aca="false">IF(N387="","",LEN(N387))</f>
        <v/>
      </c>
    </row>
    <row r="388" customFormat="false" ht="39" hidden="false" customHeight="true" outlineLevel="0" collapsed="false">
      <c r="A388" s="4" t="n">
        <v>387</v>
      </c>
      <c r="B388" s="5" t="n">
        <f aca="false">IF(OR(C388="სხვა მოდელი წერია",I388&gt;=განმარტება!$B$4),1,IF(OR(C388="ცარიელი",I388&gt;=1),2,IF(H388&gt;=განმარტება!$B$5,3,4)))</f>
        <v>3</v>
      </c>
      <c r="C388" s="6" t="s">
        <v>15</v>
      </c>
      <c r="D388" s="6" t="s">
        <v>1982</v>
      </c>
      <c r="E388" s="7" t="s">
        <v>1983</v>
      </c>
      <c r="F388" s="7" t="n">
        <v>1554</v>
      </c>
      <c r="G388" s="6" t="s">
        <v>24</v>
      </c>
      <c r="H388" s="8" t="n">
        <v>1629</v>
      </c>
      <c r="I388" s="8" t="n">
        <v>0</v>
      </c>
      <c r="J388" s="7" t="n">
        <v>0</v>
      </c>
      <c r="K388" s="9" t="s">
        <v>1984</v>
      </c>
      <c r="L388" s="6" t="s">
        <v>1985</v>
      </c>
      <c r="M388" s="6" t="s">
        <v>1986</v>
      </c>
      <c r="N388" s="10"/>
      <c r="O388" s="4" t="str">
        <f aca="false">IF(N388="","",LEN(N388))</f>
        <v/>
      </c>
    </row>
    <row r="389" customFormat="false" ht="39" hidden="false" customHeight="true" outlineLevel="0" collapsed="false">
      <c r="A389" s="4" t="n">
        <v>388</v>
      </c>
      <c r="B389" s="5" t="n">
        <f aca="false">IF(OR(C389="სხვა მოდელი წერია",I389&gt;=განმარტება!$B$4),1,IF(OR(C389="ცარიელი",I389&gt;=1),2,IF(H389&gt;=განმარტება!$B$5,3,4)))</f>
        <v>3</v>
      </c>
      <c r="C389" s="6" t="s">
        <v>15</v>
      </c>
      <c r="D389" s="6" t="s">
        <v>1987</v>
      </c>
      <c r="E389" s="7" t="s">
        <v>1988</v>
      </c>
      <c r="F389" s="7" t="n">
        <v>215</v>
      </c>
      <c r="G389" s="6" t="s">
        <v>205</v>
      </c>
      <c r="H389" s="8" t="n">
        <v>1612</v>
      </c>
      <c r="I389" s="8" t="n">
        <v>0</v>
      </c>
      <c r="J389" s="7" t="n">
        <v>0</v>
      </c>
      <c r="K389" s="9" t="s">
        <v>1989</v>
      </c>
      <c r="L389" s="6" t="s">
        <v>1990</v>
      </c>
      <c r="M389" s="6" t="s">
        <v>1991</v>
      </c>
      <c r="N389" s="10"/>
      <c r="O389" s="4" t="str">
        <f aca="false">IF(N389="","",LEN(N389))</f>
        <v/>
      </c>
    </row>
    <row r="390" customFormat="false" ht="39" hidden="false" customHeight="true" outlineLevel="0" collapsed="false">
      <c r="A390" s="4" t="n">
        <v>389</v>
      </c>
      <c r="B390" s="5" t="n">
        <f aca="false">IF(OR(C390="სხვა მოდელი წერია",I390&gt;=განმარტება!$B$4),1,IF(OR(C390="ცარიელი",I390&gt;=1),2,IF(H390&gt;=განმარტება!$B$5,3,4)))</f>
        <v>3</v>
      </c>
      <c r="C390" s="6" t="s">
        <v>15</v>
      </c>
      <c r="D390" s="6" t="s">
        <v>1992</v>
      </c>
      <c r="E390" s="7" t="s">
        <v>1993</v>
      </c>
      <c r="F390" s="7" t="n">
        <v>2070</v>
      </c>
      <c r="G390" s="6" t="s">
        <v>1994</v>
      </c>
      <c r="H390" s="8" t="n">
        <v>1600</v>
      </c>
      <c r="I390" s="8" t="n">
        <v>0</v>
      </c>
      <c r="J390" s="7" t="n">
        <v>0</v>
      </c>
      <c r="K390" s="9" t="s">
        <v>1995</v>
      </c>
      <c r="L390" s="6" t="s">
        <v>1996</v>
      </c>
      <c r="M390" s="6" t="s">
        <v>1997</v>
      </c>
      <c r="N390" s="10"/>
      <c r="O390" s="4" t="str">
        <f aca="false">IF(N390="","",LEN(N390))</f>
        <v/>
      </c>
    </row>
    <row r="391" customFormat="false" ht="39" hidden="false" customHeight="true" outlineLevel="0" collapsed="false">
      <c r="A391" s="4" t="n">
        <v>390</v>
      </c>
      <c r="B391" s="5" t="n">
        <f aca="false">IF(OR(C391="სხვა მოდელი წერია",I391&gt;=განმარტება!$B$4),1,IF(OR(C391="ცარიელი",I391&gt;=1),2,IF(H391&gt;=განმარტება!$B$5,3,4)))</f>
        <v>3</v>
      </c>
      <c r="C391" s="6" t="s">
        <v>15</v>
      </c>
      <c r="D391" s="6" t="s">
        <v>1998</v>
      </c>
      <c r="E391" s="7" t="s">
        <v>1999</v>
      </c>
      <c r="F391" s="7" t="n">
        <v>2063</v>
      </c>
      <c r="G391" s="6" t="s">
        <v>1994</v>
      </c>
      <c r="H391" s="8" t="n">
        <v>1599</v>
      </c>
      <c r="I391" s="8" t="n">
        <v>0</v>
      </c>
      <c r="J391" s="7" t="n">
        <v>0</v>
      </c>
      <c r="K391" s="9" t="s">
        <v>2000</v>
      </c>
      <c r="L391" s="6" t="s">
        <v>2001</v>
      </c>
      <c r="M391" s="6" t="s">
        <v>2002</v>
      </c>
      <c r="N391" s="10"/>
      <c r="O391" s="4" t="str">
        <f aca="false">IF(N391="","",LEN(N391))</f>
        <v/>
      </c>
    </row>
    <row r="392" customFormat="false" ht="39" hidden="false" customHeight="true" outlineLevel="0" collapsed="false">
      <c r="A392" s="4" t="n">
        <v>391</v>
      </c>
      <c r="B392" s="5" t="n">
        <f aca="false">IF(OR(C392="სხვა მოდელი წერია",I392&gt;=განმარტება!$B$4),1,IF(OR(C392="ცარიელი",I392&gt;=1),2,IF(H392&gt;=განმარტება!$B$5,3,4)))</f>
        <v>3</v>
      </c>
      <c r="C392" s="6" t="s">
        <v>15</v>
      </c>
      <c r="D392" s="6" t="s">
        <v>2003</v>
      </c>
      <c r="E392" s="7" t="s">
        <v>2004</v>
      </c>
      <c r="F392" s="7" t="n">
        <v>1625</v>
      </c>
      <c r="G392" s="6" t="s">
        <v>285</v>
      </c>
      <c r="H392" s="8" t="n">
        <v>1599</v>
      </c>
      <c r="I392" s="8" t="n">
        <v>0</v>
      </c>
      <c r="J392" s="7" t="n">
        <v>0</v>
      </c>
      <c r="K392" s="9" t="s">
        <v>2005</v>
      </c>
      <c r="L392" s="6" t="s">
        <v>2006</v>
      </c>
      <c r="M392" s="6" t="s">
        <v>2007</v>
      </c>
      <c r="N392" s="10"/>
      <c r="O392" s="4" t="str">
        <f aca="false">IF(N392="","",LEN(N392))</f>
        <v/>
      </c>
    </row>
    <row r="393" customFormat="false" ht="39" hidden="false" customHeight="true" outlineLevel="0" collapsed="false">
      <c r="A393" s="4" t="n">
        <v>392</v>
      </c>
      <c r="B393" s="5" t="n">
        <f aca="false">IF(OR(C393="სხვა მოდელი წერია",I393&gt;=განმარტება!$B$4),1,IF(OR(C393="ცარიელი",I393&gt;=1),2,IF(H393&gt;=განმარტება!$B$5,3,4)))</f>
        <v>3</v>
      </c>
      <c r="C393" s="6" t="s">
        <v>15</v>
      </c>
      <c r="D393" s="6" t="s">
        <v>2008</v>
      </c>
      <c r="E393" s="7" t="s">
        <v>2009</v>
      </c>
      <c r="F393" s="7" t="n">
        <v>3998</v>
      </c>
      <c r="G393" s="6" t="s">
        <v>285</v>
      </c>
      <c r="H393" s="8" t="n">
        <v>1599</v>
      </c>
      <c r="I393" s="8" t="n">
        <v>0</v>
      </c>
      <c r="J393" s="7" t="n">
        <v>0</v>
      </c>
      <c r="K393" s="9" t="s">
        <v>2010</v>
      </c>
      <c r="L393" s="6" t="s">
        <v>2011</v>
      </c>
      <c r="M393" s="6" t="s">
        <v>2012</v>
      </c>
      <c r="N393" s="10"/>
      <c r="O393" s="4" t="str">
        <f aca="false">IF(N393="","",LEN(N393))</f>
        <v/>
      </c>
    </row>
    <row r="394" customFormat="false" ht="39" hidden="false" customHeight="true" outlineLevel="0" collapsed="false">
      <c r="A394" s="4" t="n">
        <v>393</v>
      </c>
      <c r="B394" s="5" t="n">
        <f aca="false">IF(OR(C394="სხვა მოდელი წერია",I394&gt;=განმარტება!$B$4),1,IF(OR(C394="ცარიელი",I394&gt;=1),2,IF(H394&gt;=განმარტება!$B$5,3,4)))</f>
        <v>3</v>
      </c>
      <c r="C394" s="6" t="s">
        <v>15</v>
      </c>
      <c r="D394" s="6" t="s">
        <v>2013</v>
      </c>
      <c r="E394" s="7" t="s">
        <v>2014</v>
      </c>
      <c r="F394" s="7" t="n">
        <v>2848</v>
      </c>
      <c r="G394" s="6" t="s">
        <v>112</v>
      </c>
      <c r="H394" s="8" t="n">
        <v>1599</v>
      </c>
      <c r="I394" s="8" t="n">
        <v>0</v>
      </c>
      <c r="J394" s="7" t="n">
        <v>0</v>
      </c>
      <c r="K394" s="9" t="s">
        <v>2015</v>
      </c>
      <c r="L394" s="6" t="s">
        <v>2016</v>
      </c>
      <c r="M394" s="6" t="s">
        <v>2017</v>
      </c>
      <c r="N394" s="10"/>
      <c r="O394" s="4" t="str">
        <f aca="false">IF(N394="","",LEN(N394))</f>
        <v/>
      </c>
    </row>
    <row r="395" customFormat="false" ht="39" hidden="false" customHeight="true" outlineLevel="0" collapsed="false">
      <c r="A395" s="4" t="n">
        <v>394</v>
      </c>
      <c r="B395" s="5" t="n">
        <f aca="false">IF(OR(C395="სხვა მოდელი წერია",I395&gt;=განმარტება!$B$4),1,IF(OR(C395="ცარიელი",I395&gt;=1),2,IF(H395&gt;=განმარტება!$B$5,3,4)))</f>
        <v>3</v>
      </c>
      <c r="C395" s="6" t="s">
        <v>15</v>
      </c>
      <c r="D395" s="6" t="s">
        <v>2018</v>
      </c>
      <c r="E395" s="7" t="s">
        <v>2019</v>
      </c>
      <c r="F395" s="7" t="n">
        <v>3066</v>
      </c>
      <c r="G395" s="6" t="s">
        <v>24</v>
      </c>
      <c r="H395" s="8" t="n">
        <v>1599</v>
      </c>
      <c r="I395" s="8" t="n">
        <v>0</v>
      </c>
      <c r="J395" s="7" t="n">
        <v>0</v>
      </c>
      <c r="K395" s="9" t="s">
        <v>2020</v>
      </c>
      <c r="L395" s="6" t="s">
        <v>2021</v>
      </c>
      <c r="M395" s="6" t="s">
        <v>2022</v>
      </c>
      <c r="N395" s="10"/>
      <c r="O395" s="4" t="str">
        <f aca="false">IF(N395="","",LEN(N395))</f>
        <v/>
      </c>
    </row>
    <row r="396" customFormat="false" ht="39" hidden="false" customHeight="true" outlineLevel="0" collapsed="false">
      <c r="A396" s="4" t="n">
        <v>395</v>
      </c>
      <c r="B396" s="5" t="n">
        <f aca="false">IF(OR(C396="სხვა მოდელი წერია",I396&gt;=განმარტება!$B$4),1,IF(OR(C396="ცარიელი",I396&gt;=1),2,IF(H396&gt;=განმარტება!$B$5,3,4)))</f>
        <v>3</v>
      </c>
      <c r="C396" s="6" t="s">
        <v>15</v>
      </c>
      <c r="D396" s="6" t="s">
        <v>2023</v>
      </c>
      <c r="E396" s="7" t="s">
        <v>2024</v>
      </c>
      <c r="F396" s="7" t="n">
        <v>4019</v>
      </c>
      <c r="G396" s="6" t="s">
        <v>24</v>
      </c>
      <c r="H396" s="8" t="n">
        <v>1599</v>
      </c>
      <c r="I396" s="8" t="n">
        <v>0</v>
      </c>
      <c r="J396" s="7" t="n">
        <v>0</v>
      </c>
      <c r="K396" s="9" t="s">
        <v>2025</v>
      </c>
      <c r="L396" s="6" t="s">
        <v>2026</v>
      </c>
      <c r="M396" s="6" t="s">
        <v>2027</v>
      </c>
      <c r="N396" s="10"/>
      <c r="O396" s="4" t="str">
        <f aca="false">IF(N396="","",LEN(N396))</f>
        <v/>
      </c>
    </row>
    <row r="397" customFormat="false" ht="64.5" hidden="false" customHeight="true" outlineLevel="0" collapsed="false">
      <c r="A397" s="4" t="n">
        <v>396</v>
      </c>
      <c r="B397" s="5" t="n">
        <f aca="false">IF(OR(C397="სხვა მოდელი წერია",I397&gt;=განმარტება!$B$4),1,IF(OR(C397="ცარიელი",I397&gt;=1),2,IF(H397&gt;=განმარტება!$B$5,3,4)))</f>
        <v>3</v>
      </c>
      <c r="C397" s="6" t="s">
        <v>316</v>
      </c>
      <c r="D397" s="6" t="s">
        <v>2028</v>
      </c>
      <c r="E397" s="7" t="s">
        <v>2029</v>
      </c>
      <c r="F397" s="7" t="n">
        <v>3282</v>
      </c>
      <c r="G397" s="6" t="s">
        <v>24</v>
      </c>
      <c r="H397" s="8" t="n">
        <v>1599</v>
      </c>
      <c r="I397" s="8" t="n">
        <v>0</v>
      </c>
      <c r="J397" s="7" t="n">
        <v>0</v>
      </c>
      <c r="K397" s="9" t="s">
        <v>2030</v>
      </c>
      <c r="L397" s="6" t="s">
        <v>2031</v>
      </c>
      <c r="M397" s="6" t="s">
        <v>2032</v>
      </c>
      <c r="N397" s="10"/>
      <c r="O397" s="4" t="str">
        <f aca="false">IF(N397="","",LEN(N397))</f>
        <v/>
      </c>
    </row>
    <row r="398" customFormat="false" ht="51.75" hidden="false" customHeight="true" outlineLevel="0" collapsed="false">
      <c r="A398" s="4" t="n">
        <v>397</v>
      </c>
      <c r="B398" s="5" t="n">
        <f aca="false">IF(OR(C398="სხვა მოდელი წერია",I398&gt;=განმარტება!$B$4),1,IF(OR(C398="ცარიელი",I398&gt;=1),2,IF(H398&gt;=განმარტება!$B$5,3,4)))</f>
        <v>3</v>
      </c>
      <c r="C398" s="6" t="s">
        <v>15</v>
      </c>
      <c r="D398" s="6" t="s">
        <v>2033</v>
      </c>
      <c r="E398" s="7" t="s">
        <v>2034</v>
      </c>
      <c r="F398" s="7" t="n">
        <v>2827</v>
      </c>
      <c r="G398" s="6" t="s">
        <v>693</v>
      </c>
      <c r="H398" s="8" t="n">
        <v>1599</v>
      </c>
      <c r="I398" s="8" t="n">
        <v>0</v>
      </c>
      <c r="J398" s="7" t="n">
        <v>0</v>
      </c>
      <c r="K398" s="9" t="s">
        <v>2035</v>
      </c>
      <c r="L398" s="6" t="s">
        <v>2036</v>
      </c>
      <c r="M398" s="6" t="s">
        <v>2037</v>
      </c>
      <c r="N398" s="10"/>
      <c r="O398" s="4" t="str">
        <f aca="false">IF(N398="","",LEN(N398))</f>
        <v/>
      </c>
    </row>
    <row r="399" customFormat="false" ht="51.75" hidden="false" customHeight="true" outlineLevel="0" collapsed="false">
      <c r="A399" s="4" t="n">
        <v>398</v>
      </c>
      <c r="B399" s="5" t="n">
        <f aca="false">IF(OR(C399="სხვა მოდელი წერია",I399&gt;=განმარტება!$B$4),1,IF(OR(C399="ცარიელი",I399&gt;=1),2,IF(H399&gt;=განმარტება!$B$5,3,4)))</f>
        <v>3</v>
      </c>
      <c r="C399" s="6" t="s">
        <v>15</v>
      </c>
      <c r="D399" s="6" t="s">
        <v>2038</v>
      </c>
      <c r="E399" s="7" t="s">
        <v>2039</v>
      </c>
      <c r="F399" s="7" t="n">
        <v>880</v>
      </c>
      <c r="G399" s="6" t="s">
        <v>211</v>
      </c>
      <c r="H399" s="8" t="n">
        <v>1599</v>
      </c>
      <c r="I399" s="8" t="n">
        <v>0</v>
      </c>
      <c r="J399" s="7" t="n">
        <v>0</v>
      </c>
      <c r="K399" s="9" t="s">
        <v>2040</v>
      </c>
      <c r="L399" s="6" t="s">
        <v>2041</v>
      </c>
      <c r="M399" s="6" t="s">
        <v>2042</v>
      </c>
      <c r="N399" s="10"/>
      <c r="O399" s="4" t="str">
        <f aca="false">IF(N399="","",LEN(N399))</f>
        <v/>
      </c>
    </row>
    <row r="400" customFormat="false" ht="51.75" hidden="false" customHeight="true" outlineLevel="0" collapsed="false">
      <c r="A400" s="4" t="n">
        <v>399</v>
      </c>
      <c r="B400" s="5" t="n">
        <f aca="false">IF(OR(C400="სხვა მოდელი წერია",I400&gt;=განმარტება!$B$4),1,IF(OR(C400="ცარიელი",I400&gt;=1),2,IF(H400&gt;=განმარტება!$B$5,3,4)))</f>
        <v>3</v>
      </c>
      <c r="C400" s="6" t="s">
        <v>15</v>
      </c>
      <c r="D400" s="6" t="s">
        <v>2043</v>
      </c>
      <c r="E400" s="7" t="s">
        <v>2044</v>
      </c>
      <c r="F400" s="7" t="n">
        <v>1665</v>
      </c>
      <c r="G400" s="6" t="s">
        <v>211</v>
      </c>
      <c r="H400" s="8" t="n">
        <v>1599</v>
      </c>
      <c r="I400" s="8" t="n">
        <v>0</v>
      </c>
      <c r="J400" s="7" t="n">
        <v>0</v>
      </c>
      <c r="K400" s="9" t="s">
        <v>2045</v>
      </c>
      <c r="L400" s="6" t="s">
        <v>2046</v>
      </c>
      <c r="M400" s="6" t="s">
        <v>2047</v>
      </c>
      <c r="N400" s="10"/>
      <c r="O400" s="4" t="str">
        <f aca="false">IF(N400="","",LEN(N400))</f>
        <v/>
      </c>
    </row>
    <row r="401" customFormat="false" ht="51.75" hidden="false" customHeight="true" outlineLevel="0" collapsed="false">
      <c r="A401" s="4" t="n">
        <v>400</v>
      </c>
      <c r="B401" s="5" t="n">
        <f aca="false">IF(OR(C401="სხვა მოდელი წერია",I401&gt;=განმარტება!$B$4),1,IF(OR(C401="ცარიელი",I401&gt;=1),2,IF(H401&gt;=განმარტება!$B$5,3,4)))</f>
        <v>3</v>
      </c>
      <c r="C401" s="6" t="s">
        <v>15</v>
      </c>
      <c r="D401" s="6" t="s">
        <v>2048</v>
      </c>
      <c r="E401" s="7" t="s">
        <v>2049</v>
      </c>
      <c r="F401" s="7" t="n">
        <v>964</v>
      </c>
      <c r="G401" s="6" t="s">
        <v>211</v>
      </c>
      <c r="H401" s="8" t="n">
        <v>1599</v>
      </c>
      <c r="I401" s="8" t="n">
        <v>0</v>
      </c>
      <c r="J401" s="7" t="n">
        <v>0</v>
      </c>
      <c r="K401" s="9" t="s">
        <v>2050</v>
      </c>
      <c r="L401" s="6" t="s">
        <v>2051</v>
      </c>
      <c r="M401" s="6" t="s">
        <v>2052</v>
      </c>
      <c r="N401" s="10"/>
      <c r="O401" s="4" t="str">
        <f aca="false">IF(N401="","",LEN(N401))</f>
        <v/>
      </c>
    </row>
    <row r="402" customFormat="false" ht="39" hidden="false" customHeight="true" outlineLevel="0" collapsed="false">
      <c r="A402" s="4" t="n">
        <v>401</v>
      </c>
      <c r="B402" s="5" t="n">
        <f aca="false">IF(OR(C402="სხვა მოდელი წერია",I402&gt;=განმარტება!$B$4),1,IF(OR(C402="ცარიელი",I402&gt;=1),2,IF(H402&gt;=განმარტება!$B$5,3,4)))</f>
        <v>3</v>
      </c>
      <c r="C402" s="6" t="s">
        <v>15</v>
      </c>
      <c r="D402" s="6" t="s">
        <v>2053</v>
      </c>
      <c r="E402" s="7" t="s">
        <v>2054</v>
      </c>
      <c r="F402" s="7" t="n">
        <v>1460</v>
      </c>
      <c r="G402" s="6" t="s">
        <v>205</v>
      </c>
      <c r="H402" s="8" t="n">
        <v>1599</v>
      </c>
      <c r="I402" s="8" t="n">
        <v>0</v>
      </c>
      <c r="J402" s="7" t="n">
        <v>0</v>
      </c>
      <c r="K402" s="9" t="s">
        <v>2055</v>
      </c>
      <c r="L402" s="6" t="s">
        <v>2056</v>
      </c>
      <c r="M402" s="6" t="s">
        <v>2057</v>
      </c>
      <c r="N402" s="10"/>
      <c r="O402" s="4" t="str">
        <f aca="false">IF(N402="","",LEN(N402))</f>
        <v/>
      </c>
    </row>
    <row r="403" customFormat="false" ht="64.5" hidden="false" customHeight="true" outlineLevel="0" collapsed="false">
      <c r="A403" s="4" t="n">
        <v>402</v>
      </c>
      <c r="B403" s="5" t="n">
        <f aca="false">IF(OR(C403="სხვა მოდელი წერია",I403&gt;=განმარტება!$B$4),1,IF(OR(C403="ცარიელი",I403&gt;=1),2,IF(H403&gt;=განმარტება!$B$5,3,4)))</f>
        <v>3</v>
      </c>
      <c r="C403" s="6" t="s">
        <v>316</v>
      </c>
      <c r="D403" s="6" t="s">
        <v>2058</v>
      </c>
      <c r="E403" s="7" t="s">
        <v>2059</v>
      </c>
      <c r="F403" s="7" t="n">
        <v>3257</v>
      </c>
      <c r="G403" s="6" t="s">
        <v>95</v>
      </c>
      <c r="H403" s="8" t="n">
        <v>1599</v>
      </c>
      <c r="I403" s="8" t="n">
        <v>0</v>
      </c>
      <c r="J403" s="7" t="n">
        <v>0</v>
      </c>
      <c r="K403" s="9" t="s">
        <v>2060</v>
      </c>
      <c r="L403" s="6" t="s">
        <v>2061</v>
      </c>
      <c r="M403" s="6" t="s">
        <v>2062</v>
      </c>
      <c r="N403" s="10"/>
      <c r="O403" s="4" t="str">
        <f aca="false">IF(N403="","",LEN(N403))</f>
        <v/>
      </c>
    </row>
    <row r="404" customFormat="false" ht="64.5" hidden="false" customHeight="true" outlineLevel="0" collapsed="false">
      <c r="A404" s="4" t="n">
        <v>403</v>
      </c>
      <c r="B404" s="5" t="n">
        <f aca="false">IF(OR(C404="სხვა მოდელი წერია",I404&gt;=განმარტება!$B$4),1,IF(OR(C404="ცარიელი",I404&gt;=1),2,IF(H404&gt;=განმარტება!$B$5,3,4)))</f>
        <v>3</v>
      </c>
      <c r="C404" s="6" t="s">
        <v>15</v>
      </c>
      <c r="D404" s="6" t="s">
        <v>2063</v>
      </c>
      <c r="E404" s="7" t="s">
        <v>2064</v>
      </c>
      <c r="F404" s="7" t="n">
        <v>3169</v>
      </c>
      <c r="G404" s="6" t="s">
        <v>95</v>
      </c>
      <c r="H404" s="8" t="n">
        <v>1599</v>
      </c>
      <c r="I404" s="8" t="n">
        <v>0</v>
      </c>
      <c r="J404" s="7" t="n">
        <v>0</v>
      </c>
      <c r="K404" s="9" t="s">
        <v>2065</v>
      </c>
      <c r="L404" s="6" t="s">
        <v>2066</v>
      </c>
      <c r="M404" s="6" t="s">
        <v>2067</v>
      </c>
      <c r="N404" s="10"/>
      <c r="O404" s="4" t="str">
        <f aca="false">IF(N404="","",LEN(N404))</f>
        <v/>
      </c>
    </row>
    <row r="405" customFormat="false" ht="51.75" hidden="false" customHeight="true" outlineLevel="0" collapsed="false">
      <c r="A405" s="4" t="n">
        <v>404</v>
      </c>
      <c r="B405" s="5" t="n">
        <f aca="false">IF(OR(C405="სხვა მოდელი წერია",I405&gt;=განმარტება!$B$4),1,IF(OR(C405="ცარიელი",I405&gt;=1),2,IF(H405&gt;=განმარტება!$B$5,3,4)))</f>
        <v>3</v>
      </c>
      <c r="C405" s="6" t="s">
        <v>15</v>
      </c>
      <c r="D405" s="6" t="s">
        <v>2068</v>
      </c>
      <c r="E405" s="7" t="s">
        <v>2069</v>
      </c>
      <c r="F405" s="7" t="n">
        <v>3994</v>
      </c>
      <c r="G405" s="6" t="s">
        <v>48</v>
      </c>
      <c r="H405" s="8" t="n">
        <v>1599</v>
      </c>
      <c r="I405" s="8" t="n">
        <v>0</v>
      </c>
      <c r="J405" s="7" t="n">
        <v>0</v>
      </c>
      <c r="K405" s="9" t="s">
        <v>2070</v>
      </c>
      <c r="L405" s="6" t="s">
        <v>2071</v>
      </c>
      <c r="M405" s="6" t="s">
        <v>2072</v>
      </c>
      <c r="N405" s="10"/>
      <c r="O405" s="4" t="str">
        <f aca="false">IF(N405="","",LEN(N405))</f>
        <v/>
      </c>
    </row>
    <row r="406" customFormat="false" ht="39" hidden="false" customHeight="true" outlineLevel="0" collapsed="false">
      <c r="A406" s="4" t="n">
        <v>405</v>
      </c>
      <c r="B406" s="5" t="n">
        <f aca="false">IF(OR(C406="სხვა მოდელი წერია",I406&gt;=განმარტება!$B$4),1,IF(OR(C406="ცარიელი",I406&gt;=1),2,IF(H406&gt;=განმარტება!$B$5,3,4)))</f>
        <v>3</v>
      </c>
      <c r="C406" s="6" t="s">
        <v>15</v>
      </c>
      <c r="D406" s="6" t="s">
        <v>2073</v>
      </c>
      <c r="E406" s="7" t="s">
        <v>2074</v>
      </c>
      <c r="F406" s="7" t="n">
        <v>1503</v>
      </c>
      <c r="G406" s="6" t="s">
        <v>858</v>
      </c>
      <c r="H406" s="8" t="n">
        <v>1599</v>
      </c>
      <c r="I406" s="8" t="n">
        <v>0</v>
      </c>
      <c r="J406" s="7" t="n">
        <v>0</v>
      </c>
      <c r="K406" s="9" t="s">
        <v>2075</v>
      </c>
      <c r="L406" s="6" t="s">
        <v>2076</v>
      </c>
      <c r="M406" s="6" t="s">
        <v>2077</v>
      </c>
      <c r="N406" s="10"/>
      <c r="O406" s="4" t="str">
        <f aca="false">IF(N406="","",LEN(N406))</f>
        <v/>
      </c>
    </row>
    <row r="407" customFormat="false" ht="39" hidden="false" customHeight="true" outlineLevel="0" collapsed="false">
      <c r="A407" s="4" t="n">
        <v>406</v>
      </c>
      <c r="B407" s="5" t="n">
        <f aca="false">IF(OR(C407="სხვა მოდელი წერია",I407&gt;=განმარტება!$B$4),1,IF(OR(C407="ცარიელი",I407&gt;=1),2,IF(H407&gt;=განმარტება!$B$5,3,4)))</f>
        <v>3</v>
      </c>
      <c r="C407" s="6" t="s">
        <v>15</v>
      </c>
      <c r="D407" s="6" t="s">
        <v>2078</v>
      </c>
      <c r="E407" s="7" t="s">
        <v>2079</v>
      </c>
      <c r="F407" s="7" t="n">
        <v>207</v>
      </c>
      <c r="G407" s="6" t="s">
        <v>205</v>
      </c>
      <c r="H407" s="8" t="n">
        <v>1579</v>
      </c>
      <c r="I407" s="8" t="n">
        <v>0</v>
      </c>
      <c r="J407" s="7" t="n">
        <v>0</v>
      </c>
      <c r="K407" s="9" t="s">
        <v>2080</v>
      </c>
      <c r="L407" s="6" t="s">
        <v>2081</v>
      </c>
      <c r="M407" s="6" t="s">
        <v>2082</v>
      </c>
      <c r="N407" s="10"/>
      <c r="O407" s="4" t="str">
        <f aca="false">IF(N407="","",LEN(N407))</f>
        <v/>
      </c>
    </row>
    <row r="408" customFormat="false" ht="39" hidden="false" customHeight="true" outlineLevel="0" collapsed="false">
      <c r="A408" s="4" t="n">
        <v>407</v>
      </c>
      <c r="B408" s="5" t="n">
        <f aca="false">IF(OR(C408="სხვა მოდელი წერია",I408&gt;=განმარტება!$B$4),1,IF(OR(C408="ცარიელი",I408&gt;=1),2,IF(H408&gt;=განმარტება!$B$5,3,4)))</f>
        <v>3</v>
      </c>
      <c r="C408" s="6" t="s">
        <v>15</v>
      </c>
      <c r="D408" s="6" t="s">
        <v>2083</v>
      </c>
      <c r="E408" s="7" t="s">
        <v>2084</v>
      </c>
      <c r="F408" s="7" t="n">
        <v>1529</v>
      </c>
      <c r="G408" s="6" t="s">
        <v>205</v>
      </c>
      <c r="H408" s="8" t="n">
        <v>1566</v>
      </c>
      <c r="I408" s="8" t="n">
        <v>0</v>
      </c>
      <c r="J408" s="7" t="n">
        <v>0</v>
      </c>
      <c r="K408" s="9" t="s">
        <v>2085</v>
      </c>
      <c r="L408" s="6" t="s">
        <v>2086</v>
      </c>
      <c r="M408" s="6" t="s">
        <v>2087</v>
      </c>
      <c r="N408" s="10"/>
      <c r="O408" s="4" t="str">
        <f aca="false">IF(N408="","",LEN(N408))</f>
        <v/>
      </c>
    </row>
    <row r="409" customFormat="false" ht="51.75" hidden="false" customHeight="true" outlineLevel="0" collapsed="false">
      <c r="A409" s="4" t="n">
        <v>408</v>
      </c>
      <c r="B409" s="5" t="n">
        <f aca="false">IF(OR(C409="სხვა მოდელი წერია",I409&gt;=განმარტება!$B$4),1,IF(OR(C409="ცარიელი",I409&gt;=1),2,IF(H409&gt;=განმარტება!$B$5,3,4)))</f>
        <v>3</v>
      </c>
      <c r="C409" s="6" t="s">
        <v>15</v>
      </c>
      <c r="D409" s="6" t="s">
        <v>2088</v>
      </c>
      <c r="E409" s="7" t="s">
        <v>2089</v>
      </c>
      <c r="F409" s="7" t="n">
        <v>1379</v>
      </c>
      <c r="G409" s="6" t="s">
        <v>211</v>
      </c>
      <c r="H409" s="8" t="n">
        <v>1559</v>
      </c>
      <c r="I409" s="8" t="n">
        <v>0</v>
      </c>
      <c r="J409" s="7" t="n">
        <v>0</v>
      </c>
      <c r="K409" s="9" t="s">
        <v>2090</v>
      </c>
      <c r="L409" s="6" t="s">
        <v>2091</v>
      </c>
      <c r="M409" s="6" t="s">
        <v>2092</v>
      </c>
      <c r="N409" s="10"/>
      <c r="O409" s="4" t="str">
        <f aca="false">IF(N409="","",LEN(N409))</f>
        <v/>
      </c>
    </row>
    <row r="410" customFormat="false" ht="39" hidden="false" customHeight="true" outlineLevel="0" collapsed="false">
      <c r="A410" s="4" t="n">
        <v>409</v>
      </c>
      <c r="B410" s="5" t="n">
        <f aca="false">IF(OR(C410="სხვა მოდელი წერია",I410&gt;=განმარტება!$B$4),1,IF(OR(C410="ცარიელი",I410&gt;=1),2,IF(H410&gt;=განმარტება!$B$5,3,4)))</f>
        <v>3</v>
      </c>
      <c r="C410" s="6" t="s">
        <v>15</v>
      </c>
      <c r="D410" s="6" t="s">
        <v>2093</v>
      </c>
      <c r="E410" s="7" t="s">
        <v>2094</v>
      </c>
      <c r="F410" s="7" t="n">
        <v>2581</v>
      </c>
      <c r="G410" s="6" t="s">
        <v>118</v>
      </c>
      <c r="H410" s="8" t="n">
        <v>1555</v>
      </c>
      <c r="I410" s="8" t="n">
        <v>0</v>
      </c>
      <c r="J410" s="7" t="n">
        <v>0</v>
      </c>
      <c r="K410" s="9" t="s">
        <v>2095</v>
      </c>
      <c r="L410" s="6" t="s">
        <v>2096</v>
      </c>
      <c r="M410" s="6" t="s">
        <v>2097</v>
      </c>
      <c r="N410" s="10"/>
      <c r="O410" s="4" t="str">
        <f aca="false">IF(N410="","",LEN(N410))</f>
        <v/>
      </c>
    </row>
    <row r="411" customFormat="false" ht="39" hidden="false" customHeight="true" outlineLevel="0" collapsed="false">
      <c r="A411" s="4" t="n">
        <v>410</v>
      </c>
      <c r="B411" s="5" t="n">
        <f aca="false">IF(OR(C411="სხვა მოდელი წერია",I411&gt;=განმარტება!$B$4),1,IF(OR(C411="ცარიელი",I411&gt;=1),2,IF(H411&gt;=განმარტება!$B$5,3,4)))</f>
        <v>3</v>
      </c>
      <c r="C411" s="6" t="s">
        <v>15</v>
      </c>
      <c r="D411" s="6" t="s">
        <v>2098</v>
      </c>
      <c r="E411" s="7" t="s">
        <v>2099</v>
      </c>
      <c r="F411" s="7" t="n">
        <v>13147</v>
      </c>
      <c r="G411" s="6" t="s">
        <v>24</v>
      </c>
      <c r="H411" s="8" t="n">
        <v>1555</v>
      </c>
      <c r="I411" s="8" t="n">
        <v>0</v>
      </c>
      <c r="J411" s="7" t="n">
        <v>0</v>
      </c>
      <c r="K411" s="9" t="s">
        <v>2100</v>
      </c>
      <c r="L411" s="6" t="s">
        <v>2101</v>
      </c>
      <c r="M411" s="6" t="s">
        <v>2102</v>
      </c>
      <c r="N411" s="10"/>
      <c r="O411" s="4" t="str">
        <f aca="false">IF(N411="","",LEN(N411))</f>
        <v/>
      </c>
    </row>
    <row r="412" customFormat="false" ht="39" hidden="false" customHeight="true" outlineLevel="0" collapsed="false">
      <c r="A412" s="4" t="n">
        <v>411</v>
      </c>
      <c r="B412" s="5" t="n">
        <f aca="false">IF(OR(C412="სხვა მოდელი წერია",I412&gt;=განმარტება!$B$4),1,IF(OR(C412="ცარიელი",I412&gt;=1),2,IF(H412&gt;=განმარტება!$B$5,3,4)))</f>
        <v>3</v>
      </c>
      <c r="C412" s="6" t="s">
        <v>15</v>
      </c>
      <c r="D412" s="6" t="s">
        <v>2103</v>
      </c>
      <c r="E412" s="7" t="s">
        <v>2104</v>
      </c>
      <c r="F412" s="7" t="n">
        <v>1698</v>
      </c>
      <c r="G412" s="6" t="s">
        <v>112</v>
      </c>
      <c r="H412" s="8" t="n">
        <v>1552</v>
      </c>
      <c r="I412" s="8" t="n">
        <v>0</v>
      </c>
      <c r="J412" s="7" t="n">
        <v>0</v>
      </c>
      <c r="K412" s="9" t="s">
        <v>2105</v>
      </c>
      <c r="L412" s="6" t="s">
        <v>2106</v>
      </c>
      <c r="M412" s="6" t="s">
        <v>2107</v>
      </c>
      <c r="N412" s="10"/>
      <c r="O412" s="4" t="str">
        <f aca="false">IF(N412="","",LEN(N412))</f>
        <v/>
      </c>
    </row>
    <row r="413" customFormat="false" ht="39" hidden="false" customHeight="true" outlineLevel="0" collapsed="false">
      <c r="A413" s="4" t="n">
        <v>412</v>
      </c>
      <c r="B413" s="5" t="n">
        <f aca="false">IF(OR(C413="სხვა მოდელი წერია",I413&gt;=განმარტება!$B$4),1,IF(OR(C413="ცარიელი",I413&gt;=1),2,IF(H413&gt;=განმარტება!$B$5,3,4)))</f>
        <v>3</v>
      </c>
      <c r="C413" s="6" t="s">
        <v>15</v>
      </c>
      <c r="D413" s="6" t="s">
        <v>2108</v>
      </c>
      <c r="E413" s="7" t="s">
        <v>2109</v>
      </c>
      <c r="F413" s="7" t="n">
        <v>8921</v>
      </c>
      <c r="G413" s="6" t="s">
        <v>1267</v>
      </c>
      <c r="H413" s="8" t="n">
        <v>1549</v>
      </c>
      <c r="I413" s="8" t="n">
        <v>0</v>
      </c>
      <c r="J413" s="7" t="n">
        <v>0</v>
      </c>
      <c r="K413" s="9" t="s">
        <v>2110</v>
      </c>
      <c r="L413" s="6" t="s">
        <v>2111</v>
      </c>
      <c r="M413" s="6" t="s">
        <v>2112</v>
      </c>
      <c r="N413" s="10"/>
      <c r="O413" s="4" t="str">
        <f aca="false">IF(N413="","",LEN(N413))</f>
        <v/>
      </c>
    </row>
    <row r="414" customFormat="false" ht="39" hidden="false" customHeight="true" outlineLevel="0" collapsed="false">
      <c r="A414" s="4" t="n">
        <v>413</v>
      </c>
      <c r="B414" s="5" t="n">
        <f aca="false">IF(OR(C414="სხვა მოდელი წერია",I414&gt;=განმარტება!$B$4),1,IF(OR(C414="ცარიელი",I414&gt;=1),2,IF(H414&gt;=განმარტება!$B$5,3,4)))</f>
        <v>3</v>
      </c>
      <c r="C414" s="6" t="s">
        <v>15</v>
      </c>
      <c r="D414" s="6" t="s">
        <v>2113</v>
      </c>
      <c r="E414" s="7" t="s">
        <v>2114</v>
      </c>
      <c r="F414" s="7" t="n">
        <v>2788</v>
      </c>
      <c r="G414" s="6" t="s">
        <v>112</v>
      </c>
      <c r="H414" s="8" t="n">
        <v>1549</v>
      </c>
      <c r="I414" s="8" t="n">
        <v>0</v>
      </c>
      <c r="J414" s="7" t="n">
        <v>0</v>
      </c>
      <c r="K414" s="9" t="s">
        <v>2115</v>
      </c>
      <c r="L414" s="6" t="s">
        <v>2116</v>
      </c>
      <c r="M414" s="6" t="s">
        <v>2117</v>
      </c>
      <c r="N414" s="10"/>
      <c r="O414" s="4" t="str">
        <f aca="false">IF(N414="","",LEN(N414))</f>
        <v/>
      </c>
    </row>
    <row r="415" customFormat="false" ht="39" hidden="false" customHeight="true" outlineLevel="0" collapsed="false">
      <c r="A415" s="4" t="n">
        <v>414</v>
      </c>
      <c r="B415" s="5" t="n">
        <f aca="false">IF(OR(C415="სხვა მოდელი წერია",I415&gt;=განმარტება!$B$4),1,IF(OR(C415="ცარიელი",I415&gt;=1),2,IF(H415&gt;=განმარტება!$B$5,3,4)))</f>
        <v>3</v>
      </c>
      <c r="C415" s="6" t="s">
        <v>15</v>
      </c>
      <c r="D415" s="6" t="s">
        <v>2118</v>
      </c>
      <c r="E415" s="7" t="s">
        <v>2119</v>
      </c>
      <c r="F415" s="7" t="n">
        <v>1571</v>
      </c>
      <c r="G415" s="6" t="s">
        <v>24</v>
      </c>
      <c r="H415" s="8" t="n">
        <v>1549</v>
      </c>
      <c r="I415" s="8" t="n">
        <v>0</v>
      </c>
      <c r="J415" s="7" t="n">
        <v>0</v>
      </c>
      <c r="K415" s="9" t="s">
        <v>2120</v>
      </c>
      <c r="L415" s="6" t="s">
        <v>2121</v>
      </c>
      <c r="M415" s="6" t="s">
        <v>2122</v>
      </c>
      <c r="N415" s="10"/>
      <c r="O415" s="4" t="str">
        <f aca="false">IF(N415="","",LEN(N415))</f>
        <v/>
      </c>
    </row>
    <row r="416" customFormat="false" ht="51.75" hidden="false" customHeight="true" outlineLevel="0" collapsed="false">
      <c r="A416" s="4" t="n">
        <v>415</v>
      </c>
      <c r="B416" s="5" t="n">
        <f aca="false">IF(OR(C416="სხვა მოდელი წერია",I416&gt;=განმარტება!$B$4),1,IF(OR(C416="ცარიელი",I416&gt;=1),2,IF(H416&gt;=განმარტება!$B$5,3,4)))</f>
        <v>3</v>
      </c>
      <c r="C416" s="6" t="s">
        <v>15</v>
      </c>
      <c r="D416" s="6" t="s">
        <v>2123</v>
      </c>
      <c r="E416" s="7" t="s">
        <v>2124</v>
      </c>
      <c r="F416" s="7" t="n">
        <v>3047</v>
      </c>
      <c r="G416" s="6" t="s">
        <v>211</v>
      </c>
      <c r="H416" s="8" t="n">
        <v>1549</v>
      </c>
      <c r="I416" s="8" t="n">
        <v>0</v>
      </c>
      <c r="J416" s="7" t="n">
        <v>0</v>
      </c>
      <c r="K416" s="9" t="s">
        <v>2125</v>
      </c>
      <c r="L416" s="6" t="s">
        <v>2126</v>
      </c>
      <c r="M416" s="6" t="s">
        <v>2127</v>
      </c>
      <c r="N416" s="10"/>
      <c r="O416" s="4" t="str">
        <f aca="false">IF(N416="","",LEN(N416))</f>
        <v/>
      </c>
    </row>
    <row r="417" customFormat="false" ht="39" hidden="false" customHeight="true" outlineLevel="0" collapsed="false">
      <c r="A417" s="4" t="n">
        <v>416</v>
      </c>
      <c r="B417" s="5" t="n">
        <f aca="false">IF(OR(C417="სხვა მოდელი წერია",I417&gt;=განმარტება!$B$4),1,IF(OR(C417="ცარიელი",I417&gt;=1),2,IF(H417&gt;=განმარტება!$B$5,3,4)))</f>
        <v>3</v>
      </c>
      <c r="C417" s="6" t="s">
        <v>15</v>
      </c>
      <c r="D417" s="6" t="s">
        <v>2128</v>
      </c>
      <c r="E417" s="7" t="s">
        <v>2129</v>
      </c>
      <c r="F417" s="7" t="n">
        <v>2263</v>
      </c>
      <c r="G417" s="6" t="s">
        <v>205</v>
      </c>
      <c r="H417" s="8" t="n">
        <v>1549</v>
      </c>
      <c r="I417" s="8" t="n">
        <v>0</v>
      </c>
      <c r="J417" s="7" t="n">
        <v>0</v>
      </c>
      <c r="K417" s="9" t="s">
        <v>2130</v>
      </c>
      <c r="L417" s="6" t="s">
        <v>2131</v>
      </c>
      <c r="M417" s="6" t="s">
        <v>2132</v>
      </c>
      <c r="N417" s="10"/>
      <c r="O417" s="4" t="str">
        <f aca="false">IF(N417="","",LEN(N417))</f>
        <v/>
      </c>
    </row>
    <row r="418" customFormat="false" ht="39" hidden="false" customHeight="true" outlineLevel="0" collapsed="false">
      <c r="A418" s="4" t="n">
        <v>417</v>
      </c>
      <c r="B418" s="5" t="n">
        <f aca="false">IF(OR(C418="სხვა მოდელი წერია",I418&gt;=განმარტება!$B$4),1,IF(OR(C418="ცარიელი",I418&gt;=1),2,IF(H418&gt;=განმარტება!$B$5,3,4)))</f>
        <v>3</v>
      </c>
      <c r="C418" s="6" t="s">
        <v>15</v>
      </c>
      <c r="D418" s="6" t="s">
        <v>2133</v>
      </c>
      <c r="E418" s="7" t="s">
        <v>2134</v>
      </c>
      <c r="F418" s="7" t="n">
        <v>228</v>
      </c>
      <c r="G418" s="6" t="s">
        <v>205</v>
      </c>
      <c r="H418" s="8" t="n">
        <v>1531</v>
      </c>
      <c r="I418" s="8" t="n">
        <v>0</v>
      </c>
      <c r="J418" s="7" t="n">
        <v>0</v>
      </c>
      <c r="K418" s="9" t="s">
        <v>2135</v>
      </c>
      <c r="L418" s="6" t="s">
        <v>2136</v>
      </c>
      <c r="M418" s="6" t="s">
        <v>2137</v>
      </c>
      <c r="N418" s="10"/>
      <c r="O418" s="4" t="str">
        <f aca="false">IF(N418="","",LEN(N418))</f>
        <v/>
      </c>
    </row>
    <row r="419" customFormat="false" ht="39" hidden="false" customHeight="true" outlineLevel="0" collapsed="false">
      <c r="A419" s="4" t="n">
        <v>418</v>
      </c>
      <c r="B419" s="5" t="n">
        <f aca="false">IF(OR(C419="სხვა მოდელი წერია",I419&gt;=განმარტება!$B$4),1,IF(OR(C419="ცარიელი",I419&gt;=1),2,IF(H419&gt;=განმარტება!$B$5,3,4)))</f>
        <v>3</v>
      </c>
      <c r="C419" s="6" t="s">
        <v>15</v>
      </c>
      <c r="D419" s="6" t="s">
        <v>2138</v>
      </c>
      <c r="E419" s="7" t="s">
        <v>2139</v>
      </c>
      <c r="F419" s="7" t="n">
        <v>755</v>
      </c>
      <c r="G419" s="6" t="s">
        <v>302</v>
      </c>
      <c r="H419" s="8" t="n">
        <v>1521</v>
      </c>
      <c r="I419" s="8" t="n">
        <v>0</v>
      </c>
      <c r="J419" s="7" t="n">
        <v>0</v>
      </c>
      <c r="K419" s="9" t="s">
        <v>2140</v>
      </c>
      <c r="L419" s="6" t="s">
        <v>2141</v>
      </c>
      <c r="M419" s="6" t="s">
        <v>2142</v>
      </c>
      <c r="N419" s="10"/>
      <c r="O419" s="4" t="str">
        <f aca="false">IF(N419="","",LEN(N419))</f>
        <v/>
      </c>
    </row>
    <row r="420" customFormat="false" ht="39" hidden="false" customHeight="true" outlineLevel="0" collapsed="false">
      <c r="A420" s="4" t="n">
        <v>419</v>
      </c>
      <c r="B420" s="5" t="n">
        <f aca="false">IF(OR(C420="სხვა მოდელი წერია",I420&gt;=განმარტება!$B$4),1,IF(OR(C420="ცარიელი",I420&gt;=1),2,IF(H420&gt;=განმარტება!$B$5,3,4)))</f>
        <v>3</v>
      </c>
      <c r="C420" s="6" t="s">
        <v>15</v>
      </c>
      <c r="D420" s="6" t="s">
        <v>2143</v>
      </c>
      <c r="E420" s="7" t="s">
        <v>2144</v>
      </c>
      <c r="F420" s="7" t="n">
        <v>1450</v>
      </c>
      <c r="G420" s="6" t="s">
        <v>205</v>
      </c>
      <c r="H420" s="8" t="n">
        <v>1508</v>
      </c>
      <c r="I420" s="8" t="n">
        <v>0</v>
      </c>
      <c r="J420" s="7" t="n">
        <v>0</v>
      </c>
      <c r="K420" s="9" t="s">
        <v>2145</v>
      </c>
      <c r="L420" s="6" t="s">
        <v>2146</v>
      </c>
      <c r="M420" s="6" t="s">
        <v>2147</v>
      </c>
      <c r="N420" s="10"/>
      <c r="O420" s="4" t="str">
        <f aca="false">IF(N420="","",LEN(N420))</f>
        <v/>
      </c>
    </row>
    <row r="421" customFormat="false" ht="51.75" hidden="false" customHeight="true" outlineLevel="0" collapsed="false">
      <c r="A421" s="4" t="n">
        <v>420</v>
      </c>
      <c r="B421" s="5" t="n">
        <f aca="false">IF(OR(C421="სხვა მოდელი წერია",I421&gt;=განმარტება!$B$4),1,IF(OR(C421="ცარიელი",I421&gt;=1),2,IF(H421&gt;=განმარტება!$B$5,3,4)))</f>
        <v>3</v>
      </c>
      <c r="C421" s="6" t="s">
        <v>15</v>
      </c>
      <c r="D421" s="6" t="s">
        <v>2148</v>
      </c>
      <c r="E421" s="7" t="s">
        <v>2149</v>
      </c>
      <c r="F421" s="7" t="n">
        <v>3434</v>
      </c>
      <c r="G421" s="6" t="s">
        <v>2150</v>
      </c>
      <c r="H421" s="8" t="n">
        <v>1499</v>
      </c>
      <c r="I421" s="8" t="n">
        <v>0</v>
      </c>
      <c r="J421" s="7" t="n">
        <v>0</v>
      </c>
      <c r="K421" s="9" t="s">
        <v>2151</v>
      </c>
      <c r="L421" s="6" t="s">
        <v>2152</v>
      </c>
      <c r="M421" s="6" t="s">
        <v>2153</v>
      </c>
      <c r="N421" s="10"/>
      <c r="O421" s="4" t="str">
        <f aca="false">IF(N421="","",LEN(N421))</f>
        <v/>
      </c>
    </row>
    <row r="422" customFormat="false" ht="39" hidden="false" customHeight="true" outlineLevel="0" collapsed="false">
      <c r="A422" s="4" t="n">
        <v>421</v>
      </c>
      <c r="B422" s="5" t="n">
        <f aca="false">IF(OR(C422="სხვა მოდელი წერია",I422&gt;=განმარტება!$B$4),1,IF(OR(C422="ცარიელი",I422&gt;=1),2,IF(H422&gt;=განმარტება!$B$5,3,4)))</f>
        <v>3</v>
      </c>
      <c r="C422" s="6" t="s">
        <v>15</v>
      </c>
      <c r="D422" s="6" t="s">
        <v>2154</v>
      </c>
      <c r="E422" s="7" t="s">
        <v>2155</v>
      </c>
      <c r="F422" s="7" t="n">
        <v>2811</v>
      </c>
      <c r="G422" s="6" t="s">
        <v>112</v>
      </c>
      <c r="H422" s="8" t="n">
        <v>1499</v>
      </c>
      <c r="I422" s="8" t="n">
        <v>0</v>
      </c>
      <c r="J422" s="7" t="n">
        <v>0</v>
      </c>
      <c r="K422" s="9" t="s">
        <v>2156</v>
      </c>
      <c r="L422" s="6" t="s">
        <v>2157</v>
      </c>
      <c r="M422" s="6" t="s">
        <v>2158</v>
      </c>
      <c r="N422" s="10"/>
      <c r="O422" s="4" t="str">
        <f aca="false">IF(N422="","",LEN(N422))</f>
        <v/>
      </c>
    </row>
    <row r="423" customFormat="false" ht="39" hidden="false" customHeight="true" outlineLevel="0" collapsed="false">
      <c r="A423" s="4" t="n">
        <v>422</v>
      </c>
      <c r="B423" s="5" t="n">
        <f aca="false">IF(OR(C423="სხვა მოდელი წერია",I423&gt;=განმარტება!$B$4),1,IF(OR(C423="ცარიელი",I423&gt;=1),2,IF(H423&gt;=განმარტება!$B$5,3,4)))</f>
        <v>3</v>
      </c>
      <c r="C423" s="6" t="s">
        <v>15</v>
      </c>
      <c r="D423" s="6" t="s">
        <v>2159</v>
      </c>
      <c r="E423" s="7" t="s">
        <v>2160</v>
      </c>
      <c r="F423" s="7" t="n">
        <v>1783</v>
      </c>
      <c r="G423" s="6" t="s">
        <v>112</v>
      </c>
      <c r="H423" s="8" t="n">
        <v>1499</v>
      </c>
      <c r="I423" s="8" t="n">
        <v>0</v>
      </c>
      <c r="J423" s="7" t="n">
        <v>0</v>
      </c>
      <c r="K423" s="9" t="s">
        <v>2161</v>
      </c>
      <c r="L423" s="6" t="s">
        <v>2162</v>
      </c>
      <c r="M423" s="6" t="s">
        <v>2163</v>
      </c>
      <c r="N423" s="10"/>
      <c r="O423" s="4" t="str">
        <f aca="false">IF(N423="","",LEN(N423))</f>
        <v/>
      </c>
    </row>
    <row r="424" customFormat="false" ht="39" hidden="false" customHeight="true" outlineLevel="0" collapsed="false">
      <c r="A424" s="4" t="n">
        <v>423</v>
      </c>
      <c r="B424" s="5" t="n">
        <f aca="false">IF(OR(C424="სხვა მოდელი წერია",I424&gt;=განმარტება!$B$4),1,IF(OR(C424="ცარიელი",I424&gt;=1),2,IF(H424&gt;=განმარტება!$B$5,3,4)))</f>
        <v>3</v>
      </c>
      <c r="C424" s="6" t="s">
        <v>15</v>
      </c>
      <c r="D424" s="6" t="s">
        <v>2164</v>
      </c>
      <c r="E424" s="7" t="s">
        <v>2165</v>
      </c>
      <c r="F424" s="7" t="n">
        <v>1408</v>
      </c>
      <c r="G424" s="6" t="s">
        <v>24</v>
      </c>
      <c r="H424" s="8" t="n">
        <v>1499</v>
      </c>
      <c r="I424" s="8" t="n">
        <v>0</v>
      </c>
      <c r="J424" s="7" t="n">
        <v>0</v>
      </c>
      <c r="K424" s="9" t="s">
        <v>2166</v>
      </c>
      <c r="L424" s="6" t="s">
        <v>2167</v>
      </c>
      <c r="M424" s="6" t="s">
        <v>2168</v>
      </c>
      <c r="N424" s="10"/>
      <c r="O424" s="4" t="str">
        <f aca="false">IF(N424="","",LEN(N424))</f>
        <v/>
      </c>
    </row>
    <row r="425" customFormat="false" ht="39" hidden="false" customHeight="true" outlineLevel="0" collapsed="false">
      <c r="A425" s="4" t="n">
        <v>424</v>
      </c>
      <c r="B425" s="5" t="n">
        <f aca="false">IF(OR(C425="სხვა მოდელი წერია",I425&gt;=განმარტება!$B$4),1,IF(OR(C425="ცარიელი",I425&gt;=1),2,IF(H425&gt;=განმარტება!$B$5,3,4)))</f>
        <v>3</v>
      </c>
      <c r="C425" s="6" t="s">
        <v>15</v>
      </c>
      <c r="D425" s="6" t="s">
        <v>2169</v>
      </c>
      <c r="E425" s="7" t="s">
        <v>2170</v>
      </c>
      <c r="F425" s="7" t="n">
        <v>2956</v>
      </c>
      <c r="G425" s="6" t="s">
        <v>24</v>
      </c>
      <c r="H425" s="8" t="n">
        <v>1499</v>
      </c>
      <c r="I425" s="8" t="n">
        <v>0</v>
      </c>
      <c r="J425" s="7" t="n">
        <v>0</v>
      </c>
      <c r="K425" s="9" t="s">
        <v>2171</v>
      </c>
      <c r="L425" s="6" t="s">
        <v>2172</v>
      </c>
      <c r="M425" s="6" t="s">
        <v>2173</v>
      </c>
      <c r="N425" s="10"/>
      <c r="O425" s="4" t="str">
        <f aca="false">IF(N425="","",LEN(N425))</f>
        <v/>
      </c>
    </row>
    <row r="426" customFormat="false" ht="39" hidden="false" customHeight="true" outlineLevel="0" collapsed="false">
      <c r="A426" s="4" t="n">
        <v>425</v>
      </c>
      <c r="B426" s="5" t="n">
        <f aca="false">IF(OR(C426="სხვა მოდელი წერია",I426&gt;=განმარტება!$B$4),1,IF(OR(C426="ცარიელი",I426&gt;=1),2,IF(H426&gt;=განმარტება!$B$5,3,4)))</f>
        <v>3</v>
      </c>
      <c r="C426" s="6" t="s">
        <v>15</v>
      </c>
      <c r="D426" s="6" t="s">
        <v>2174</v>
      </c>
      <c r="E426" s="7" t="s">
        <v>2175</v>
      </c>
      <c r="F426" s="7" t="n">
        <v>2914</v>
      </c>
      <c r="G426" s="6" t="s">
        <v>24</v>
      </c>
      <c r="H426" s="8" t="n">
        <v>1499</v>
      </c>
      <c r="I426" s="8" t="n">
        <v>0</v>
      </c>
      <c r="J426" s="7" t="n">
        <v>0</v>
      </c>
      <c r="K426" s="9" t="s">
        <v>2176</v>
      </c>
      <c r="L426" s="6" t="s">
        <v>2177</v>
      </c>
      <c r="M426" s="6" t="s">
        <v>2178</v>
      </c>
      <c r="N426" s="10"/>
      <c r="O426" s="4" t="str">
        <f aca="false">IF(N426="","",LEN(N426))</f>
        <v/>
      </c>
    </row>
    <row r="427" customFormat="false" ht="39" hidden="false" customHeight="true" outlineLevel="0" collapsed="false">
      <c r="A427" s="4" t="n">
        <v>426</v>
      </c>
      <c r="B427" s="5" t="n">
        <f aca="false">IF(OR(C427="სხვა მოდელი წერია",I427&gt;=განმარტება!$B$4),1,IF(OR(C427="ცარიელი",I427&gt;=1),2,IF(H427&gt;=განმარტება!$B$5,3,4)))</f>
        <v>3</v>
      </c>
      <c r="C427" s="6" t="s">
        <v>15</v>
      </c>
      <c r="D427" s="6" t="s">
        <v>2179</v>
      </c>
      <c r="E427" s="7" t="s">
        <v>2180</v>
      </c>
      <c r="F427" s="7" t="n">
        <v>3189</v>
      </c>
      <c r="G427" s="6" t="s">
        <v>24</v>
      </c>
      <c r="H427" s="8" t="n">
        <v>1499</v>
      </c>
      <c r="I427" s="8" t="n">
        <v>0</v>
      </c>
      <c r="J427" s="7" t="n">
        <v>0</v>
      </c>
      <c r="K427" s="9" t="s">
        <v>2181</v>
      </c>
      <c r="L427" s="6" t="s">
        <v>2182</v>
      </c>
      <c r="M427" s="6" t="s">
        <v>2183</v>
      </c>
      <c r="N427" s="10"/>
      <c r="O427" s="4" t="str">
        <f aca="false">IF(N427="","",LEN(N427))</f>
        <v/>
      </c>
    </row>
    <row r="428" customFormat="false" ht="39" hidden="false" customHeight="true" outlineLevel="0" collapsed="false">
      <c r="A428" s="4" t="n">
        <v>427</v>
      </c>
      <c r="B428" s="5" t="n">
        <f aca="false">IF(OR(C428="სხვა მოდელი წერია",I428&gt;=განმარტება!$B$4),1,IF(OR(C428="ცარიელი",I428&gt;=1),2,IF(H428&gt;=განმარტება!$B$5,3,4)))</f>
        <v>3</v>
      </c>
      <c r="C428" s="6" t="s">
        <v>15</v>
      </c>
      <c r="D428" s="6" t="s">
        <v>2184</v>
      </c>
      <c r="E428" s="7" t="s">
        <v>2185</v>
      </c>
      <c r="F428" s="7" t="n">
        <v>549</v>
      </c>
      <c r="G428" s="6" t="s">
        <v>24</v>
      </c>
      <c r="H428" s="8" t="n">
        <v>1499</v>
      </c>
      <c r="I428" s="8" t="n">
        <v>0</v>
      </c>
      <c r="J428" s="7" t="n">
        <v>0</v>
      </c>
      <c r="K428" s="9" t="s">
        <v>2186</v>
      </c>
      <c r="L428" s="6" t="s">
        <v>2187</v>
      </c>
      <c r="M428" s="6" t="s">
        <v>2188</v>
      </c>
      <c r="N428" s="10"/>
      <c r="O428" s="4" t="str">
        <f aca="false">IF(N428="","",LEN(N428))</f>
        <v/>
      </c>
    </row>
    <row r="429" customFormat="false" ht="51.75" hidden="false" customHeight="true" outlineLevel="0" collapsed="false">
      <c r="A429" s="4" t="n">
        <v>428</v>
      </c>
      <c r="B429" s="5" t="n">
        <f aca="false">IF(OR(C429="სხვა მოდელი წერია",I429&gt;=განმარტება!$B$4),1,IF(OR(C429="ცარიელი",I429&gt;=1),2,IF(H429&gt;=განმარტება!$B$5,3,4)))</f>
        <v>3</v>
      </c>
      <c r="C429" s="6" t="s">
        <v>15</v>
      </c>
      <c r="D429" s="6" t="s">
        <v>2189</v>
      </c>
      <c r="E429" s="7" t="s">
        <v>2190</v>
      </c>
      <c r="F429" s="7" t="n">
        <v>3034</v>
      </c>
      <c r="G429" s="6" t="s">
        <v>211</v>
      </c>
      <c r="H429" s="8" t="n">
        <v>1499</v>
      </c>
      <c r="I429" s="8" t="n">
        <v>0</v>
      </c>
      <c r="J429" s="7" t="n">
        <v>0</v>
      </c>
      <c r="K429" s="9" t="s">
        <v>2191</v>
      </c>
      <c r="L429" s="6" t="s">
        <v>2192</v>
      </c>
      <c r="M429" s="6" t="s">
        <v>2193</v>
      </c>
      <c r="N429" s="10"/>
      <c r="O429" s="4" t="str">
        <f aca="false">IF(N429="","",LEN(N429))</f>
        <v/>
      </c>
    </row>
    <row r="430" customFormat="false" ht="51.75" hidden="false" customHeight="true" outlineLevel="0" collapsed="false">
      <c r="A430" s="4" t="n">
        <v>429</v>
      </c>
      <c r="B430" s="5" t="n">
        <f aca="false">IF(OR(C430="სხვა მოდელი წერია",I430&gt;=განმარტება!$B$4),1,IF(OR(C430="ცარიელი",I430&gt;=1),2,IF(H430&gt;=განმარტება!$B$5,3,4)))</f>
        <v>3</v>
      </c>
      <c r="C430" s="6" t="s">
        <v>15</v>
      </c>
      <c r="D430" s="6" t="s">
        <v>2194</v>
      </c>
      <c r="E430" s="7" t="s">
        <v>2195</v>
      </c>
      <c r="F430" s="7" t="n">
        <v>2455</v>
      </c>
      <c r="G430" s="6" t="s">
        <v>211</v>
      </c>
      <c r="H430" s="8" t="n">
        <v>1499</v>
      </c>
      <c r="I430" s="8" t="n">
        <v>0</v>
      </c>
      <c r="J430" s="7" t="n">
        <v>0</v>
      </c>
      <c r="K430" s="9" t="s">
        <v>2196</v>
      </c>
      <c r="L430" s="6" t="s">
        <v>2197</v>
      </c>
      <c r="M430" s="6" t="s">
        <v>2198</v>
      </c>
      <c r="N430" s="10"/>
      <c r="O430" s="4" t="str">
        <f aca="false">IF(N430="","",LEN(N430))</f>
        <v/>
      </c>
    </row>
    <row r="431" customFormat="false" ht="51.75" hidden="false" customHeight="true" outlineLevel="0" collapsed="false">
      <c r="A431" s="4" t="n">
        <v>430</v>
      </c>
      <c r="B431" s="5" t="n">
        <f aca="false">IF(OR(C431="სხვა მოდელი წერია",I431&gt;=განმარტება!$B$4),1,IF(OR(C431="ცარიელი",I431&gt;=1),2,IF(H431&gt;=განმარტება!$B$5,3,4)))</f>
        <v>3</v>
      </c>
      <c r="C431" s="6" t="s">
        <v>15</v>
      </c>
      <c r="D431" s="6" t="s">
        <v>2199</v>
      </c>
      <c r="E431" s="7" t="s">
        <v>2200</v>
      </c>
      <c r="F431" s="7" t="n">
        <v>2697</v>
      </c>
      <c r="G431" s="6" t="s">
        <v>211</v>
      </c>
      <c r="H431" s="8" t="n">
        <v>1499</v>
      </c>
      <c r="I431" s="8" t="n">
        <v>0</v>
      </c>
      <c r="J431" s="7" t="n">
        <v>0</v>
      </c>
      <c r="K431" s="9" t="s">
        <v>2201</v>
      </c>
      <c r="L431" s="6" t="s">
        <v>2202</v>
      </c>
      <c r="M431" s="6" t="s">
        <v>2203</v>
      </c>
      <c r="N431" s="10"/>
      <c r="O431" s="4" t="str">
        <f aca="false">IF(N431="","",LEN(N431))</f>
        <v/>
      </c>
    </row>
    <row r="432" customFormat="false" ht="51.75" hidden="false" customHeight="true" outlineLevel="0" collapsed="false">
      <c r="A432" s="4" t="n">
        <v>431</v>
      </c>
      <c r="B432" s="5" t="n">
        <f aca="false">IF(OR(C432="სხვა მოდელი წერია",I432&gt;=განმარტება!$B$4),1,IF(OR(C432="ცარიელი",I432&gt;=1),2,IF(H432&gt;=განმარტება!$B$5,3,4)))</f>
        <v>3</v>
      </c>
      <c r="C432" s="6" t="s">
        <v>15</v>
      </c>
      <c r="D432" s="6" t="s">
        <v>2204</v>
      </c>
      <c r="E432" s="7" t="s">
        <v>2205</v>
      </c>
      <c r="F432" s="7" t="n">
        <v>1392</v>
      </c>
      <c r="G432" s="6" t="s">
        <v>211</v>
      </c>
      <c r="H432" s="8" t="n">
        <v>1499</v>
      </c>
      <c r="I432" s="8" t="n">
        <v>0</v>
      </c>
      <c r="J432" s="7" t="n">
        <v>0</v>
      </c>
      <c r="K432" s="9" t="s">
        <v>2206</v>
      </c>
      <c r="L432" s="6" t="s">
        <v>2207</v>
      </c>
      <c r="M432" s="6" t="s">
        <v>2208</v>
      </c>
      <c r="N432" s="10"/>
      <c r="O432" s="4" t="str">
        <f aca="false">IF(N432="","",LEN(N432))</f>
        <v/>
      </c>
    </row>
    <row r="433" customFormat="false" ht="39" hidden="false" customHeight="true" outlineLevel="0" collapsed="false">
      <c r="A433" s="4" t="n">
        <v>432</v>
      </c>
      <c r="B433" s="5" t="n">
        <f aca="false">IF(OR(C433="სხვა მოდელი წერია",I433&gt;=განმარტება!$B$4),1,IF(OR(C433="ცარიელი",I433&gt;=1),2,IF(H433&gt;=განმარტება!$B$5,3,4)))</f>
        <v>3</v>
      </c>
      <c r="C433" s="6" t="s">
        <v>15</v>
      </c>
      <c r="D433" s="6" t="s">
        <v>2209</v>
      </c>
      <c r="E433" s="7" t="s">
        <v>2210</v>
      </c>
      <c r="F433" s="7" t="n">
        <v>1299</v>
      </c>
      <c r="G433" s="6" t="s">
        <v>205</v>
      </c>
      <c r="H433" s="8" t="n">
        <v>1499</v>
      </c>
      <c r="I433" s="8" t="n">
        <v>0</v>
      </c>
      <c r="J433" s="7" t="n">
        <v>0</v>
      </c>
      <c r="K433" s="9" t="s">
        <v>2211</v>
      </c>
      <c r="L433" s="6" t="s">
        <v>2212</v>
      </c>
      <c r="M433" s="6" t="s">
        <v>2213</v>
      </c>
      <c r="N433" s="10"/>
      <c r="O433" s="4" t="str">
        <f aca="false">IF(N433="","",LEN(N433))</f>
        <v/>
      </c>
    </row>
    <row r="434" customFormat="false" ht="64.5" hidden="false" customHeight="true" outlineLevel="0" collapsed="false">
      <c r="A434" s="4" t="n">
        <v>433</v>
      </c>
      <c r="B434" s="5" t="n">
        <f aca="false">IF(OR(C434="სხვა მოდელი წერია",I434&gt;=განმარტება!$B$4),1,IF(OR(C434="ცარიელი",I434&gt;=1),2,IF(H434&gt;=განმარტება!$B$5,3,4)))</f>
        <v>3</v>
      </c>
      <c r="C434" s="6" t="s">
        <v>15</v>
      </c>
      <c r="D434" s="6" t="s">
        <v>2214</v>
      </c>
      <c r="E434" s="7" t="s">
        <v>2215</v>
      </c>
      <c r="F434" s="7" t="n">
        <v>1924</v>
      </c>
      <c r="G434" s="6" t="s">
        <v>95</v>
      </c>
      <c r="H434" s="8" t="n">
        <v>1499</v>
      </c>
      <c r="I434" s="8" t="n">
        <v>0</v>
      </c>
      <c r="J434" s="7" t="n">
        <v>0</v>
      </c>
      <c r="K434" s="9" t="s">
        <v>2216</v>
      </c>
      <c r="L434" s="6" t="s">
        <v>2217</v>
      </c>
      <c r="M434" s="6" t="s">
        <v>2218</v>
      </c>
      <c r="N434" s="10"/>
      <c r="O434" s="4" t="str">
        <f aca="false">IF(N434="","",LEN(N434))</f>
        <v/>
      </c>
    </row>
    <row r="435" customFormat="false" ht="64.5" hidden="false" customHeight="true" outlineLevel="0" collapsed="false">
      <c r="A435" s="4" t="n">
        <v>434</v>
      </c>
      <c r="B435" s="5" t="n">
        <f aca="false">IF(OR(C435="სხვა მოდელი წერია",I435&gt;=განმარტება!$B$4),1,IF(OR(C435="ცარიელი",I435&gt;=1),2,IF(H435&gt;=განმარტება!$B$5,3,4)))</f>
        <v>3</v>
      </c>
      <c r="C435" s="6" t="s">
        <v>15</v>
      </c>
      <c r="D435" s="6" t="s">
        <v>2219</v>
      </c>
      <c r="E435" s="7" t="s">
        <v>2220</v>
      </c>
      <c r="F435" s="7" t="n">
        <v>3161</v>
      </c>
      <c r="G435" s="6" t="s">
        <v>95</v>
      </c>
      <c r="H435" s="8" t="n">
        <v>1499</v>
      </c>
      <c r="I435" s="8" t="n">
        <v>0</v>
      </c>
      <c r="J435" s="7" t="n">
        <v>0</v>
      </c>
      <c r="K435" s="9" t="s">
        <v>2221</v>
      </c>
      <c r="L435" s="6" t="s">
        <v>2222</v>
      </c>
      <c r="M435" s="6" t="s">
        <v>2223</v>
      </c>
      <c r="N435" s="10"/>
      <c r="O435" s="4" t="str">
        <f aca="false">IF(N435="","",LEN(N435))</f>
        <v/>
      </c>
    </row>
    <row r="436" customFormat="false" ht="51.75" hidden="false" customHeight="true" outlineLevel="0" collapsed="false">
      <c r="A436" s="4" t="n">
        <v>435</v>
      </c>
      <c r="B436" s="5" t="n">
        <f aca="false">IF(OR(C436="სხვა მოდელი წერია",I436&gt;=განმარტება!$B$4),1,IF(OR(C436="ცარიელი",I436&gt;=1),2,IF(H436&gt;=განმარტება!$B$5,3,4)))</f>
        <v>3</v>
      </c>
      <c r="C436" s="6" t="s">
        <v>15</v>
      </c>
      <c r="D436" s="6" t="s">
        <v>2224</v>
      </c>
      <c r="E436" s="7" t="s">
        <v>2225</v>
      </c>
      <c r="F436" s="7" t="n">
        <v>2818</v>
      </c>
      <c r="G436" s="6" t="s">
        <v>48</v>
      </c>
      <c r="H436" s="8" t="n">
        <v>1499</v>
      </c>
      <c r="I436" s="8" t="n">
        <v>0</v>
      </c>
      <c r="J436" s="7" t="n">
        <v>0</v>
      </c>
      <c r="K436" s="9" t="s">
        <v>2226</v>
      </c>
      <c r="L436" s="6" t="s">
        <v>2227</v>
      </c>
      <c r="M436" s="6" t="s">
        <v>2228</v>
      </c>
      <c r="N436" s="10"/>
      <c r="O436" s="4" t="str">
        <f aca="false">IF(N436="","",LEN(N436))</f>
        <v/>
      </c>
    </row>
    <row r="437" customFormat="false" ht="51.75" hidden="false" customHeight="true" outlineLevel="0" collapsed="false">
      <c r="A437" s="4" t="n">
        <v>436</v>
      </c>
      <c r="B437" s="5" t="n">
        <f aca="false">IF(OR(C437="სხვა მოდელი წერია",I437&gt;=განმარტება!$B$4),1,IF(OR(C437="ცარიელი",I437&gt;=1),2,IF(H437&gt;=განმარტება!$B$5,3,4)))</f>
        <v>3</v>
      </c>
      <c r="C437" s="6" t="s">
        <v>316</v>
      </c>
      <c r="D437" s="6" t="s">
        <v>2229</v>
      </c>
      <c r="E437" s="7" t="s">
        <v>2230</v>
      </c>
      <c r="F437" s="7" t="n">
        <v>12737</v>
      </c>
      <c r="G437" s="6" t="s">
        <v>211</v>
      </c>
      <c r="H437" s="8" t="n">
        <v>1485</v>
      </c>
      <c r="I437" s="8" t="n">
        <v>0</v>
      </c>
      <c r="J437" s="7" t="n">
        <v>0</v>
      </c>
      <c r="K437" s="9" t="s">
        <v>2231</v>
      </c>
      <c r="L437" s="6" t="s">
        <v>2232</v>
      </c>
      <c r="M437" s="6" t="s">
        <v>2233</v>
      </c>
      <c r="N437" s="10"/>
      <c r="O437" s="4" t="str">
        <f aca="false">IF(N437="","",LEN(N437))</f>
        <v/>
      </c>
    </row>
    <row r="438" customFormat="false" ht="39" hidden="false" customHeight="true" outlineLevel="0" collapsed="false">
      <c r="A438" s="4" t="n">
        <v>437</v>
      </c>
      <c r="B438" s="5" t="n">
        <f aca="false">IF(OR(C438="სხვა მოდელი წერია",I438&gt;=განმარტება!$B$4),1,IF(OR(C438="ცარიელი",I438&gt;=1),2,IF(H438&gt;=განმარტება!$B$5,3,4)))</f>
        <v>3</v>
      </c>
      <c r="C438" s="6" t="s">
        <v>15</v>
      </c>
      <c r="D438" s="6" t="s">
        <v>2234</v>
      </c>
      <c r="E438" s="7" t="s">
        <v>2235</v>
      </c>
      <c r="F438" s="7" t="n">
        <v>2214</v>
      </c>
      <c r="G438" s="6" t="s">
        <v>24</v>
      </c>
      <c r="H438" s="8" t="n">
        <v>1479</v>
      </c>
      <c r="I438" s="8" t="n">
        <v>0</v>
      </c>
      <c r="J438" s="7" t="n">
        <v>0</v>
      </c>
      <c r="K438" s="9" t="s">
        <v>2236</v>
      </c>
      <c r="L438" s="6" t="s">
        <v>2237</v>
      </c>
      <c r="M438" s="6" t="s">
        <v>2238</v>
      </c>
      <c r="N438" s="10"/>
      <c r="O438" s="4" t="str">
        <f aca="false">IF(N438="","",LEN(N438))</f>
        <v/>
      </c>
    </row>
    <row r="439" customFormat="false" ht="39" hidden="false" customHeight="true" outlineLevel="0" collapsed="false">
      <c r="A439" s="4" t="n">
        <v>438</v>
      </c>
      <c r="B439" s="5" t="n">
        <f aca="false">IF(OR(C439="სხვა მოდელი წერია",I439&gt;=განმარტება!$B$4),1,IF(OR(C439="ცარიელი",I439&gt;=1),2,IF(H439&gt;=განმარტება!$B$5,3,4)))</f>
        <v>3</v>
      </c>
      <c r="C439" s="6" t="s">
        <v>15</v>
      </c>
      <c r="D439" s="6" t="s">
        <v>2239</v>
      </c>
      <c r="E439" s="7" t="s">
        <v>2240</v>
      </c>
      <c r="F439" s="7" t="n">
        <v>159</v>
      </c>
      <c r="G439" s="6" t="s">
        <v>205</v>
      </c>
      <c r="H439" s="8" t="n">
        <v>1479</v>
      </c>
      <c r="I439" s="8" t="n">
        <v>0</v>
      </c>
      <c r="J439" s="7" t="n">
        <v>0</v>
      </c>
      <c r="K439" s="9" t="s">
        <v>2241</v>
      </c>
      <c r="L439" s="6" t="s">
        <v>2242</v>
      </c>
      <c r="M439" s="6" t="s">
        <v>2243</v>
      </c>
      <c r="N439" s="10"/>
      <c r="O439" s="4" t="str">
        <f aca="false">IF(N439="","",LEN(N439))</f>
        <v/>
      </c>
    </row>
    <row r="440" customFormat="false" ht="39" hidden="false" customHeight="true" outlineLevel="0" collapsed="false">
      <c r="A440" s="4" t="n">
        <v>439</v>
      </c>
      <c r="B440" s="5" t="n">
        <f aca="false">IF(OR(C440="სხვა მოდელი წერია",I440&gt;=განმარტება!$B$4),1,IF(OR(C440="ცარიელი",I440&gt;=1),2,IF(H440&gt;=განმარტება!$B$5,3,4)))</f>
        <v>3</v>
      </c>
      <c r="C440" s="6" t="s">
        <v>15</v>
      </c>
      <c r="D440" s="6" t="s">
        <v>2244</v>
      </c>
      <c r="E440" s="7" t="s">
        <v>2245</v>
      </c>
      <c r="F440" s="7" t="n">
        <v>2940</v>
      </c>
      <c r="G440" s="6" t="s">
        <v>402</v>
      </c>
      <c r="H440" s="8" t="n">
        <v>1459</v>
      </c>
      <c r="I440" s="8" t="n">
        <v>0</v>
      </c>
      <c r="J440" s="7" t="n">
        <v>0</v>
      </c>
      <c r="K440" s="9" t="s">
        <v>2246</v>
      </c>
      <c r="L440" s="6" t="s">
        <v>2247</v>
      </c>
      <c r="M440" s="6" t="s">
        <v>2248</v>
      </c>
      <c r="N440" s="10"/>
      <c r="O440" s="4" t="str">
        <f aca="false">IF(N440="","",LEN(N440))</f>
        <v/>
      </c>
    </row>
    <row r="441" customFormat="false" ht="39" hidden="false" customHeight="true" outlineLevel="0" collapsed="false">
      <c r="A441" s="4" t="n">
        <v>440</v>
      </c>
      <c r="B441" s="5" t="n">
        <f aca="false">IF(OR(C441="სხვა მოდელი წერია",I441&gt;=განმარტება!$B$4),1,IF(OR(C441="ცარიელი",I441&gt;=1),2,IF(H441&gt;=განმარტება!$B$5,3,4)))</f>
        <v>3</v>
      </c>
      <c r="C441" s="6" t="s">
        <v>15</v>
      </c>
      <c r="D441" s="6" t="s">
        <v>2249</v>
      </c>
      <c r="E441" s="7" t="s">
        <v>2250</v>
      </c>
      <c r="F441" s="7" t="n">
        <v>3073</v>
      </c>
      <c r="G441" s="6" t="s">
        <v>24</v>
      </c>
      <c r="H441" s="8" t="n">
        <v>1449</v>
      </c>
      <c r="I441" s="8" t="n">
        <v>0</v>
      </c>
      <c r="J441" s="7" t="n">
        <v>0</v>
      </c>
      <c r="K441" s="9" t="s">
        <v>2251</v>
      </c>
      <c r="L441" s="6" t="s">
        <v>2252</v>
      </c>
      <c r="M441" s="6" t="s">
        <v>2253</v>
      </c>
      <c r="N441" s="10"/>
      <c r="O441" s="4" t="str">
        <f aca="false">IF(N441="","",LEN(N441))</f>
        <v/>
      </c>
    </row>
    <row r="442" customFormat="false" ht="39" hidden="false" customHeight="true" outlineLevel="0" collapsed="false">
      <c r="A442" s="4" t="n">
        <v>441</v>
      </c>
      <c r="B442" s="5" t="n">
        <f aca="false">IF(OR(C442="სხვა მოდელი წერია",I442&gt;=განმარტება!$B$4),1,IF(OR(C442="ცარიელი",I442&gt;=1),2,IF(H442&gt;=განმარტება!$B$5,3,4)))</f>
        <v>3</v>
      </c>
      <c r="C442" s="6" t="s">
        <v>15</v>
      </c>
      <c r="D442" s="6" t="s">
        <v>2254</v>
      </c>
      <c r="E442" s="7" t="s">
        <v>2255</v>
      </c>
      <c r="F442" s="7" t="n">
        <v>1433</v>
      </c>
      <c r="G442" s="6" t="s">
        <v>24</v>
      </c>
      <c r="H442" s="8" t="n">
        <v>1449</v>
      </c>
      <c r="I442" s="8" t="n">
        <v>0</v>
      </c>
      <c r="J442" s="7" t="n">
        <v>0</v>
      </c>
      <c r="K442" s="9" t="s">
        <v>2256</v>
      </c>
      <c r="L442" s="6" t="s">
        <v>2257</v>
      </c>
      <c r="M442" s="6" t="s">
        <v>2258</v>
      </c>
      <c r="N442" s="10"/>
      <c r="O442" s="4" t="str">
        <f aca="false">IF(N442="","",LEN(N442))</f>
        <v/>
      </c>
    </row>
    <row r="443" customFormat="false" ht="51.75" hidden="false" customHeight="true" outlineLevel="0" collapsed="false">
      <c r="A443" s="4" t="n">
        <v>442</v>
      </c>
      <c r="B443" s="5" t="n">
        <f aca="false">IF(OR(C443="სხვა მოდელი წერია",I443&gt;=განმარტება!$B$4),1,IF(OR(C443="ცარიელი",I443&gt;=1),2,IF(H443&gt;=განმარტება!$B$5,3,4)))</f>
        <v>3</v>
      </c>
      <c r="C443" s="6" t="s">
        <v>15</v>
      </c>
      <c r="D443" s="6" t="s">
        <v>2259</v>
      </c>
      <c r="E443" s="7" t="s">
        <v>2260</v>
      </c>
      <c r="F443" s="7" t="n">
        <v>2840</v>
      </c>
      <c r="G443" s="6" t="s">
        <v>693</v>
      </c>
      <c r="H443" s="8" t="n">
        <v>1439</v>
      </c>
      <c r="I443" s="8" t="n">
        <v>0</v>
      </c>
      <c r="J443" s="7" t="n">
        <v>0</v>
      </c>
      <c r="K443" s="9" t="s">
        <v>2261</v>
      </c>
      <c r="L443" s="6" t="s">
        <v>2262</v>
      </c>
      <c r="M443" s="6" t="s">
        <v>2263</v>
      </c>
      <c r="N443" s="10"/>
      <c r="O443" s="4" t="str">
        <f aca="false">IF(N443="","",LEN(N443))</f>
        <v/>
      </c>
    </row>
    <row r="444" customFormat="false" ht="51.75" hidden="false" customHeight="true" outlineLevel="0" collapsed="false">
      <c r="A444" s="4" t="n">
        <v>443</v>
      </c>
      <c r="B444" s="5" t="n">
        <f aca="false">IF(OR(C444="სხვა მოდელი წერია",I444&gt;=განმარტება!$B$4),1,IF(OR(C444="ცარიელი",I444&gt;=1),2,IF(H444&gt;=განმარტება!$B$5,3,4)))</f>
        <v>3</v>
      </c>
      <c r="C444" s="6" t="s">
        <v>15</v>
      </c>
      <c r="D444" s="6" t="s">
        <v>2264</v>
      </c>
      <c r="E444" s="7" t="s">
        <v>2265</v>
      </c>
      <c r="F444" s="7" t="n">
        <v>3027</v>
      </c>
      <c r="G444" s="6" t="s">
        <v>2266</v>
      </c>
      <c r="H444" s="8" t="n">
        <v>1439</v>
      </c>
      <c r="I444" s="8" t="n">
        <v>0</v>
      </c>
      <c r="J444" s="7" t="n">
        <v>0</v>
      </c>
      <c r="K444" s="9" t="s">
        <v>2267</v>
      </c>
      <c r="L444" s="6" t="s">
        <v>2268</v>
      </c>
      <c r="M444" s="6" t="s">
        <v>2269</v>
      </c>
      <c r="N444" s="10"/>
      <c r="O444" s="4" t="str">
        <f aca="false">IF(N444="","",LEN(N444))</f>
        <v/>
      </c>
    </row>
    <row r="445" customFormat="false" ht="77.25" hidden="false" customHeight="true" outlineLevel="0" collapsed="false">
      <c r="A445" s="4" t="n">
        <v>444</v>
      </c>
      <c r="B445" s="5" t="n">
        <f aca="false">IF(OR(C445="სხვა მოდელი წერია",I445&gt;=განმარტება!$B$4),1,IF(OR(C445="ცარიელი",I445&gt;=1),2,IF(H445&gt;=განმარტება!$B$5,3,4)))</f>
        <v>3</v>
      </c>
      <c r="C445" s="6" t="s">
        <v>15</v>
      </c>
      <c r="D445" s="6" t="s">
        <v>2270</v>
      </c>
      <c r="E445" s="7" t="s">
        <v>2271</v>
      </c>
      <c r="F445" s="7" t="n">
        <v>12004</v>
      </c>
      <c r="G445" s="6" t="s">
        <v>2272</v>
      </c>
      <c r="H445" s="8" t="n">
        <v>1429</v>
      </c>
      <c r="I445" s="8" t="n">
        <v>0</v>
      </c>
      <c r="J445" s="7" t="n">
        <v>0</v>
      </c>
      <c r="K445" s="9" t="s">
        <v>2273</v>
      </c>
      <c r="L445" s="6" t="s">
        <v>2274</v>
      </c>
      <c r="M445" s="6" t="s">
        <v>2275</v>
      </c>
      <c r="N445" s="10"/>
      <c r="O445" s="4" t="str">
        <f aca="false">IF(N445="","",LEN(N445))</f>
        <v/>
      </c>
    </row>
    <row r="446" customFormat="false" ht="39" hidden="false" customHeight="true" outlineLevel="0" collapsed="false">
      <c r="A446" s="4" t="n">
        <v>445</v>
      </c>
      <c r="B446" s="5" t="n">
        <f aca="false">IF(OR(C446="სხვა მოდელი წერია",I446&gt;=განმარტება!$B$4),1,IF(OR(C446="ცარიელი",I446&gt;=1),2,IF(H446&gt;=განმარტება!$B$5,3,4)))</f>
        <v>3</v>
      </c>
      <c r="C446" s="6" t="s">
        <v>15</v>
      </c>
      <c r="D446" s="6" t="s">
        <v>2276</v>
      </c>
      <c r="E446" s="7" t="s">
        <v>2277</v>
      </c>
      <c r="F446" s="7" t="n">
        <v>8935</v>
      </c>
      <c r="G446" s="6" t="s">
        <v>1267</v>
      </c>
      <c r="H446" s="8" t="n">
        <v>1425</v>
      </c>
      <c r="I446" s="8" t="n">
        <v>0</v>
      </c>
      <c r="J446" s="7" t="n">
        <v>0</v>
      </c>
      <c r="K446" s="9" t="s">
        <v>2278</v>
      </c>
      <c r="L446" s="6" t="s">
        <v>2279</v>
      </c>
      <c r="M446" s="6" t="s">
        <v>2280</v>
      </c>
      <c r="N446" s="10"/>
      <c r="O446" s="4" t="str">
        <f aca="false">IF(N446="","",LEN(N446))</f>
        <v/>
      </c>
    </row>
    <row r="447" customFormat="false" ht="39" hidden="false" customHeight="true" outlineLevel="0" collapsed="false">
      <c r="A447" s="4" t="n">
        <v>446</v>
      </c>
      <c r="B447" s="5" t="n">
        <f aca="false">IF(OR(C447="სხვა მოდელი წერია",I447&gt;=განმარტება!$B$4),1,IF(OR(C447="ცარიელი",I447&gt;=1),2,IF(H447&gt;=განმარტება!$B$5,3,4)))</f>
        <v>3</v>
      </c>
      <c r="C447" s="6" t="s">
        <v>15</v>
      </c>
      <c r="D447" s="6" t="s">
        <v>2281</v>
      </c>
      <c r="E447" s="7" t="s">
        <v>2282</v>
      </c>
      <c r="F447" s="7" t="n">
        <v>2052</v>
      </c>
      <c r="G447" s="6" t="s">
        <v>1994</v>
      </c>
      <c r="H447" s="8" t="n">
        <v>1416</v>
      </c>
      <c r="I447" s="8" t="n">
        <v>0</v>
      </c>
      <c r="J447" s="7" t="n">
        <v>0</v>
      </c>
      <c r="K447" s="9" t="s">
        <v>2283</v>
      </c>
      <c r="L447" s="6" t="s">
        <v>2284</v>
      </c>
      <c r="M447" s="6" t="s">
        <v>2285</v>
      </c>
      <c r="N447" s="10"/>
      <c r="O447" s="4" t="str">
        <f aca="false">IF(N447="","",LEN(N447))</f>
        <v/>
      </c>
    </row>
    <row r="448" customFormat="false" ht="39" hidden="false" customHeight="true" outlineLevel="0" collapsed="false">
      <c r="A448" s="4" t="n">
        <v>447</v>
      </c>
      <c r="B448" s="5" t="n">
        <f aca="false">IF(OR(C448="სხვა მოდელი წერია",I448&gt;=განმარტება!$B$4),1,IF(OR(C448="ცარიელი",I448&gt;=1),2,IF(H448&gt;=განმარტება!$B$5,3,4)))</f>
        <v>3</v>
      </c>
      <c r="C448" s="6" t="s">
        <v>15</v>
      </c>
      <c r="D448" s="6" t="s">
        <v>2286</v>
      </c>
      <c r="E448" s="7" t="s">
        <v>2287</v>
      </c>
      <c r="F448" s="7" t="n">
        <v>2750</v>
      </c>
      <c r="G448" s="6" t="s">
        <v>156</v>
      </c>
      <c r="H448" s="8" t="n">
        <v>1400</v>
      </c>
      <c r="I448" s="8" t="n">
        <v>0</v>
      </c>
      <c r="J448" s="7" t="n">
        <v>0</v>
      </c>
      <c r="K448" s="9" t="s">
        <v>2288</v>
      </c>
      <c r="L448" s="6" t="s">
        <v>2289</v>
      </c>
      <c r="M448" s="6" t="s">
        <v>2290</v>
      </c>
      <c r="N448" s="10"/>
      <c r="O448" s="4" t="str">
        <f aca="false">IF(N448="","",LEN(N448))</f>
        <v/>
      </c>
    </row>
    <row r="449" customFormat="false" ht="39" hidden="false" customHeight="true" outlineLevel="0" collapsed="false">
      <c r="A449" s="4" t="n">
        <v>448</v>
      </c>
      <c r="B449" s="5" t="n">
        <f aca="false">IF(OR(C449="სხვა მოდელი წერია",I449&gt;=განმარტება!$B$4),1,IF(OR(C449="ცარიელი",I449&gt;=1),2,IF(H449&gt;=განმარტება!$B$5,3,4)))</f>
        <v>3</v>
      </c>
      <c r="C449" s="6" t="s">
        <v>15</v>
      </c>
      <c r="D449" s="6" t="s">
        <v>2291</v>
      </c>
      <c r="E449" s="7" t="s">
        <v>2292</v>
      </c>
      <c r="F449" s="7" t="n">
        <v>8927</v>
      </c>
      <c r="G449" s="6" t="s">
        <v>1267</v>
      </c>
      <c r="H449" s="8" t="n">
        <v>1399</v>
      </c>
      <c r="I449" s="8" t="n">
        <v>0</v>
      </c>
      <c r="J449" s="7" t="n">
        <v>0</v>
      </c>
      <c r="K449" s="9" t="s">
        <v>2293</v>
      </c>
      <c r="L449" s="6" t="s">
        <v>2294</v>
      </c>
      <c r="M449" s="6" t="s">
        <v>2295</v>
      </c>
      <c r="N449" s="10"/>
      <c r="O449" s="4" t="str">
        <f aca="false">IF(N449="","",LEN(N449))</f>
        <v/>
      </c>
    </row>
    <row r="450" customFormat="false" ht="39" hidden="false" customHeight="true" outlineLevel="0" collapsed="false">
      <c r="A450" s="4" t="n">
        <v>449</v>
      </c>
      <c r="B450" s="5" t="n">
        <f aca="false">IF(OR(C450="სხვა მოდელი წერია",I450&gt;=განმარტება!$B$4),1,IF(OR(C450="ცარიელი",I450&gt;=1),2,IF(H450&gt;=განმარტება!$B$5,3,4)))</f>
        <v>3</v>
      </c>
      <c r="C450" s="6" t="s">
        <v>15</v>
      </c>
      <c r="D450" s="6" t="s">
        <v>2296</v>
      </c>
      <c r="E450" s="7" t="s">
        <v>2297</v>
      </c>
      <c r="F450" s="7" t="n">
        <v>4003</v>
      </c>
      <c r="G450" s="6" t="s">
        <v>61</v>
      </c>
      <c r="H450" s="8" t="n">
        <v>1399</v>
      </c>
      <c r="I450" s="8" t="n">
        <v>0</v>
      </c>
      <c r="J450" s="7" t="n">
        <v>0</v>
      </c>
      <c r="K450" s="9" t="s">
        <v>2298</v>
      </c>
      <c r="L450" s="6" t="s">
        <v>2299</v>
      </c>
      <c r="M450" s="6" t="s">
        <v>2300</v>
      </c>
      <c r="N450" s="10"/>
      <c r="O450" s="4" t="str">
        <f aca="false">IF(N450="","",LEN(N450))</f>
        <v/>
      </c>
    </row>
    <row r="451" customFormat="false" ht="39" hidden="false" customHeight="true" outlineLevel="0" collapsed="false">
      <c r="A451" s="4" t="n">
        <v>450</v>
      </c>
      <c r="B451" s="5" t="n">
        <f aca="false">IF(OR(C451="სხვა მოდელი წერია",I451&gt;=განმარტება!$B$4),1,IF(OR(C451="ცარიელი",I451&gt;=1),2,IF(H451&gt;=განმარტება!$B$5,3,4)))</f>
        <v>3</v>
      </c>
      <c r="C451" s="6" t="s">
        <v>15</v>
      </c>
      <c r="D451" s="6" t="s">
        <v>2301</v>
      </c>
      <c r="E451" s="7" t="s">
        <v>2302</v>
      </c>
      <c r="F451" s="7" t="n">
        <v>2957</v>
      </c>
      <c r="G451" s="6" t="s">
        <v>285</v>
      </c>
      <c r="H451" s="8" t="n">
        <v>1399</v>
      </c>
      <c r="I451" s="8" t="n">
        <v>0</v>
      </c>
      <c r="J451" s="7" t="n">
        <v>0</v>
      </c>
      <c r="K451" s="9" t="s">
        <v>2303</v>
      </c>
      <c r="L451" s="6" t="s">
        <v>2304</v>
      </c>
      <c r="M451" s="6" t="s">
        <v>2305</v>
      </c>
      <c r="N451" s="10"/>
      <c r="O451" s="4" t="str">
        <f aca="false">IF(N451="","",LEN(N451))</f>
        <v/>
      </c>
    </row>
    <row r="452" customFormat="false" ht="39" hidden="false" customHeight="true" outlineLevel="0" collapsed="false">
      <c r="A452" s="4" t="n">
        <v>451</v>
      </c>
      <c r="B452" s="5" t="n">
        <f aca="false">IF(OR(C452="სხვა მოდელი წერია",I452&gt;=განმარტება!$B$4),1,IF(OR(C452="ცარიელი",I452&gt;=1),2,IF(H452&gt;=განმარტება!$B$5,3,4)))</f>
        <v>3</v>
      </c>
      <c r="C452" s="6" t="s">
        <v>15</v>
      </c>
      <c r="D452" s="6" t="s">
        <v>2306</v>
      </c>
      <c r="E452" s="7" t="s">
        <v>2307</v>
      </c>
      <c r="F452" s="7" t="n">
        <v>2925</v>
      </c>
      <c r="G452" s="6" t="s">
        <v>112</v>
      </c>
      <c r="H452" s="8" t="n">
        <v>1399</v>
      </c>
      <c r="I452" s="8" t="n">
        <v>0</v>
      </c>
      <c r="J452" s="7" t="n">
        <v>0</v>
      </c>
      <c r="K452" s="9" t="s">
        <v>2308</v>
      </c>
      <c r="L452" s="6" t="s">
        <v>2309</v>
      </c>
      <c r="M452" s="6" t="s">
        <v>2310</v>
      </c>
      <c r="N452" s="10"/>
      <c r="O452" s="4" t="str">
        <f aca="false">IF(N452="","",LEN(N452))</f>
        <v/>
      </c>
    </row>
    <row r="453" customFormat="false" ht="39" hidden="false" customHeight="true" outlineLevel="0" collapsed="false">
      <c r="A453" s="4" t="n">
        <v>452</v>
      </c>
      <c r="B453" s="5" t="n">
        <f aca="false">IF(OR(C453="სხვა მოდელი წერია",I453&gt;=განმარტება!$B$4),1,IF(OR(C453="ცარიელი",I453&gt;=1),2,IF(H453&gt;=განმარტება!$B$5,3,4)))</f>
        <v>3</v>
      </c>
      <c r="C453" s="6" t="s">
        <v>15</v>
      </c>
      <c r="D453" s="6" t="s">
        <v>2311</v>
      </c>
      <c r="E453" s="7" t="s">
        <v>2312</v>
      </c>
      <c r="F453" s="7" t="n">
        <v>251</v>
      </c>
      <c r="G453" s="6" t="s">
        <v>112</v>
      </c>
      <c r="H453" s="8" t="n">
        <v>1399</v>
      </c>
      <c r="I453" s="8" t="n">
        <v>0</v>
      </c>
      <c r="J453" s="7" t="n">
        <v>0</v>
      </c>
      <c r="K453" s="9" t="s">
        <v>2313</v>
      </c>
      <c r="L453" s="6" t="s">
        <v>2314</v>
      </c>
      <c r="M453" s="6" t="s">
        <v>2315</v>
      </c>
      <c r="N453" s="10"/>
      <c r="O453" s="4" t="str">
        <f aca="false">IF(N453="","",LEN(N453))</f>
        <v/>
      </c>
    </row>
    <row r="454" customFormat="false" ht="39" hidden="false" customHeight="true" outlineLevel="0" collapsed="false">
      <c r="A454" s="4" t="n">
        <v>453</v>
      </c>
      <c r="B454" s="5" t="n">
        <f aca="false">IF(OR(C454="სხვა მოდელი წერია",I454&gt;=განმარტება!$B$4),1,IF(OR(C454="ცარიელი",I454&gt;=1),2,IF(H454&gt;=განმარტება!$B$5,3,4)))</f>
        <v>3</v>
      </c>
      <c r="C454" s="6" t="s">
        <v>15</v>
      </c>
      <c r="D454" s="6" t="s">
        <v>2316</v>
      </c>
      <c r="E454" s="7" t="s">
        <v>2317</v>
      </c>
      <c r="F454" s="7" t="n">
        <v>1687</v>
      </c>
      <c r="G454" s="6" t="s">
        <v>112</v>
      </c>
      <c r="H454" s="8" t="n">
        <v>1399</v>
      </c>
      <c r="I454" s="8" t="n">
        <v>0</v>
      </c>
      <c r="J454" s="7" t="n">
        <v>0</v>
      </c>
      <c r="K454" s="9" t="s">
        <v>2318</v>
      </c>
      <c r="L454" s="6" t="s">
        <v>2319</v>
      </c>
      <c r="M454" s="6" t="s">
        <v>2320</v>
      </c>
      <c r="N454" s="10"/>
      <c r="O454" s="4" t="str">
        <f aca="false">IF(N454="","",LEN(N454))</f>
        <v/>
      </c>
    </row>
    <row r="455" customFormat="false" ht="39" hidden="false" customHeight="true" outlineLevel="0" collapsed="false">
      <c r="A455" s="4" t="n">
        <v>454</v>
      </c>
      <c r="B455" s="5" t="n">
        <f aca="false">IF(OR(C455="სხვა მოდელი წერია",I455&gt;=განმარტება!$B$4),1,IF(OR(C455="ცარიელი",I455&gt;=1),2,IF(H455&gt;=განმარტება!$B$5,3,4)))</f>
        <v>3</v>
      </c>
      <c r="C455" s="6" t="s">
        <v>15</v>
      </c>
      <c r="D455" s="6" t="s">
        <v>2321</v>
      </c>
      <c r="E455" s="7" t="s">
        <v>2322</v>
      </c>
      <c r="F455" s="7" t="n">
        <v>569</v>
      </c>
      <c r="G455" s="6" t="s">
        <v>24</v>
      </c>
      <c r="H455" s="8" t="n">
        <v>1399</v>
      </c>
      <c r="I455" s="8" t="n">
        <v>0</v>
      </c>
      <c r="J455" s="7" t="n">
        <v>0</v>
      </c>
      <c r="K455" s="9" t="s">
        <v>2323</v>
      </c>
      <c r="L455" s="6" t="s">
        <v>2324</v>
      </c>
      <c r="M455" s="6" t="s">
        <v>2325</v>
      </c>
      <c r="N455" s="10"/>
      <c r="O455" s="4" t="str">
        <f aca="false">IF(N455="","",LEN(N455))</f>
        <v/>
      </c>
    </row>
    <row r="456" customFormat="false" ht="51.75" hidden="false" customHeight="true" outlineLevel="0" collapsed="false">
      <c r="A456" s="4" t="n">
        <v>455</v>
      </c>
      <c r="B456" s="5" t="n">
        <f aca="false">IF(OR(C456="სხვა მოდელი წერია",I456&gt;=განმარტება!$B$4),1,IF(OR(C456="ცარიელი",I456&gt;=1),2,IF(H456&gt;=განმარტება!$B$5,3,4)))</f>
        <v>3</v>
      </c>
      <c r="C456" s="6" t="s">
        <v>15</v>
      </c>
      <c r="D456" s="6" t="s">
        <v>2326</v>
      </c>
      <c r="E456" s="7" t="s">
        <v>2327</v>
      </c>
      <c r="F456" s="7" t="n">
        <v>909</v>
      </c>
      <c r="G456" s="6" t="s">
        <v>211</v>
      </c>
      <c r="H456" s="8" t="n">
        <v>1399</v>
      </c>
      <c r="I456" s="8" t="n">
        <v>0</v>
      </c>
      <c r="J456" s="7" t="n">
        <v>0</v>
      </c>
      <c r="K456" s="9" t="s">
        <v>2328</v>
      </c>
      <c r="L456" s="6" t="s">
        <v>2329</v>
      </c>
      <c r="M456" s="6" t="s">
        <v>2330</v>
      </c>
      <c r="N456" s="10"/>
      <c r="O456" s="4" t="str">
        <f aca="false">IF(N456="","",LEN(N456))</f>
        <v/>
      </c>
    </row>
    <row r="457" customFormat="false" ht="51.75" hidden="false" customHeight="true" outlineLevel="0" collapsed="false">
      <c r="A457" s="4" t="n">
        <v>456</v>
      </c>
      <c r="B457" s="5" t="n">
        <f aca="false">IF(OR(C457="სხვა მოდელი წერია",I457&gt;=განმარტება!$B$4),1,IF(OR(C457="ცარიელი",I457&gt;=1),2,IF(H457&gt;=განმარტება!$B$5,3,4)))</f>
        <v>3</v>
      </c>
      <c r="C457" s="6" t="s">
        <v>15</v>
      </c>
      <c r="D457" s="6" t="s">
        <v>2331</v>
      </c>
      <c r="E457" s="7" t="s">
        <v>2332</v>
      </c>
      <c r="F457" s="7" t="n">
        <v>12040</v>
      </c>
      <c r="G457" s="6" t="s">
        <v>211</v>
      </c>
      <c r="H457" s="8" t="n">
        <v>1399</v>
      </c>
      <c r="I457" s="8" t="n">
        <v>0</v>
      </c>
      <c r="J457" s="7" t="n">
        <v>0</v>
      </c>
      <c r="K457" s="9" t="s">
        <v>2333</v>
      </c>
      <c r="L457" s="6" t="s">
        <v>2334</v>
      </c>
      <c r="M457" s="6" t="s">
        <v>2335</v>
      </c>
      <c r="N457" s="10"/>
      <c r="O457" s="4" t="str">
        <f aca="false">IF(N457="","",LEN(N457))</f>
        <v/>
      </c>
    </row>
    <row r="458" customFormat="false" ht="51.75" hidden="false" customHeight="true" outlineLevel="0" collapsed="false">
      <c r="A458" s="4" t="n">
        <v>457</v>
      </c>
      <c r="B458" s="5" t="n">
        <f aca="false">IF(OR(C458="სხვა მოდელი წერია",I458&gt;=განმარტება!$B$4),1,IF(OR(C458="ცარიელი",I458&gt;=1),2,IF(H458&gt;=განმარტება!$B$5,3,4)))</f>
        <v>3</v>
      </c>
      <c r="C458" s="6" t="s">
        <v>15</v>
      </c>
      <c r="D458" s="6" t="s">
        <v>2336</v>
      </c>
      <c r="E458" s="7" t="s">
        <v>2337</v>
      </c>
      <c r="F458" s="7" t="n">
        <v>13679</v>
      </c>
      <c r="G458" s="6" t="s">
        <v>334</v>
      </c>
      <c r="H458" s="8" t="n">
        <v>1399</v>
      </c>
      <c r="I458" s="8" t="n">
        <v>0</v>
      </c>
      <c r="J458" s="7" t="n">
        <v>0</v>
      </c>
      <c r="K458" s="9" t="s">
        <v>2338</v>
      </c>
      <c r="L458" s="6" t="s">
        <v>2339</v>
      </c>
      <c r="M458" s="6" t="s">
        <v>2340</v>
      </c>
      <c r="N458" s="10"/>
      <c r="O458" s="4" t="str">
        <f aca="false">IF(N458="","",LEN(N458))</f>
        <v/>
      </c>
    </row>
    <row r="459" customFormat="false" ht="39" hidden="false" customHeight="true" outlineLevel="0" collapsed="false">
      <c r="A459" s="4" t="n">
        <v>458</v>
      </c>
      <c r="B459" s="5" t="n">
        <f aca="false">IF(OR(C459="სხვა მოდელი წერია",I459&gt;=განმარტება!$B$4),1,IF(OR(C459="ცარიელი",I459&gt;=1),2,IF(H459&gt;=განმარტება!$B$5,3,4)))</f>
        <v>3</v>
      </c>
      <c r="C459" s="6" t="s">
        <v>15</v>
      </c>
      <c r="D459" s="6" t="s">
        <v>2341</v>
      </c>
      <c r="E459" s="7" t="s">
        <v>2342</v>
      </c>
      <c r="F459" s="7" t="n">
        <v>3088</v>
      </c>
      <c r="G459" s="6" t="s">
        <v>402</v>
      </c>
      <c r="H459" s="8" t="n">
        <v>1399</v>
      </c>
      <c r="I459" s="8" t="n">
        <v>0</v>
      </c>
      <c r="J459" s="7" t="n">
        <v>0</v>
      </c>
      <c r="K459" s="9" t="s">
        <v>2343</v>
      </c>
      <c r="L459" s="6" t="s">
        <v>2344</v>
      </c>
      <c r="M459" s="6" t="s">
        <v>2345</v>
      </c>
      <c r="N459" s="10"/>
      <c r="O459" s="4" t="str">
        <f aca="false">IF(N459="","",LEN(N459))</f>
        <v/>
      </c>
    </row>
    <row r="460" customFormat="false" ht="51.75" hidden="false" customHeight="true" outlineLevel="0" collapsed="false">
      <c r="A460" s="4" t="n">
        <v>459</v>
      </c>
      <c r="B460" s="5" t="n">
        <f aca="false">IF(OR(C460="სხვა მოდელი წერია",I460&gt;=განმარტება!$B$4),1,IF(OR(C460="ცარიელი",I460&gt;=1),2,IF(H460&gt;=განმარტება!$B$5,3,4)))</f>
        <v>3</v>
      </c>
      <c r="C460" s="6" t="s">
        <v>15</v>
      </c>
      <c r="D460" s="6" t="s">
        <v>2346</v>
      </c>
      <c r="E460" s="7" t="s">
        <v>2347</v>
      </c>
      <c r="F460" s="7" t="n">
        <v>824</v>
      </c>
      <c r="G460" s="6" t="s">
        <v>134</v>
      </c>
      <c r="H460" s="8" t="n">
        <v>1399</v>
      </c>
      <c r="I460" s="8" t="n">
        <v>0</v>
      </c>
      <c r="J460" s="7" t="n">
        <v>0</v>
      </c>
      <c r="K460" s="9" t="s">
        <v>2348</v>
      </c>
      <c r="L460" s="6" t="s">
        <v>2349</v>
      </c>
      <c r="M460" s="6" t="s">
        <v>2350</v>
      </c>
      <c r="N460" s="10"/>
      <c r="O460" s="4" t="str">
        <f aca="false">IF(N460="","",LEN(N460))</f>
        <v/>
      </c>
    </row>
    <row r="461" customFormat="false" ht="64.5" hidden="false" customHeight="true" outlineLevel="0" collapsed="false">
      <c r="A461" s="4" t="n">
        <v>460</v>
      </c>
      <c r="B461" s="5" t="n">
        <f aca="false">IF(OR(C461="სხვა მოდელი წერია",I461&gt;=განმარტება!$B$4),1,IF(OR(C461="ცარიელი",I461&gt;=1),2,IF(H461&gt;=განმარტება!$B$5,3,4)))</f>
        <v>3</v>
      </c>
      <c r="C461" s="6" t="s">
        <v>15</v>
      </c>
      <c r="D461" s="6" t="s">
        <v>2351</v>
      </c>
      <c r="E461" s="7" t="s">
        <v>2352</v>
      </c>
      <c r="F461" s="7" t="n">
        <v>3167</v>
      </c>
      <c r="G461" s="6" t="s">
        <v>95</v>
      </c>
      <c r="H461" s="8" t="n">
        <v>1399</v>
      </c>
      <c r="I461" s="8" t="n">
        <v>0</v>
      </c>
      <c r="J461" s="7" t="n">
        <v>0</v>
      </c>
      <c r="K461" s="9" t="s">
        <v>2353</v>
      </c>
      <c r="L461" s="6" t="s">
        <v>2354</v>
      </c>
      <c r="M461" s="6" t="s">
        <v>2355</v>
      </c>
      <c r="N461" s="10"/>
      <c r="O461" s="4" t="str">
        <f aca="false">IF(N461="","",LEN(N461))</f>
        <v/>
      </c>
    </row>
    <row r="462" customFormat="false" ht="64.5" hidden="false" customHeight="true" outlineLevel="0" collapsed="false">
      <c r="A462" s="4" t="n">
        <v>461</v>
      </c>
      <c r="B462" s="5" t="n">
        <f aca="false">IF(OR(C462="სხვა მოდელი წერია",I462&gt;=განმარტება!$B$4),1,IF(OR(C462="ცარიელი",I462&gt;=1),2,IF(H462&gt;=განმარტება!$B$5,3,4)))</f>
        <v>3</v>
      </c>
      <c r="C462" s="6" t="s">
        <v>15</v>
      </c>
      <c r="D462" s="6" t="s">
        <v>2356</v>
      </c>
      <c r="E462" s="7" t="s">
        <v>2357</v>
      </c>
      <c r="F462" s="7" t="n">
        <v>3165</v>
      </c>
      <c r="G462" s="6" t="s">
        <v>95</v>
      </c>
      <c r="H462" s="8" t="n">
        <v>1399</v>
      </c>
      <c r="I462" s="8" t="n">
        <v>0</v>
      </c>
      <c r="J462" s="7" t="n">
        <v>0</v>
      </c>
      <c r="K462" s="9" t="s">
        <v>2358</v>
      </c>
      <c r="L462" s="6" t="s">
        <v>2359</v>
      </c>
      <c r="M462" s="6" t="s">
        <v>2360</v>
      </c>
      <c r="N462" s="10"/>
      <c r="O462" s="4" t="str">
        <f aca="false">IF(N462="","",LEN(N462))</f>
        <v/>
      </c>
    </row>
    <row r="463" customFormat="false" ht="39" hidden="false" customHeight="true" outlineLevel="0" collapsed="false">
      <c r="A463" s="4" t="n">
        <v>462</v>
      </c>
      <c r="B463" s="5" t="n">
        <f aca="false">IF(OR(C463="სხვა მოდელი წერია",I463&gt;=განმარტება!$B$4),1,IF(OR(C463="ცარიელი",I463&gt;=1),2,IF(H463&gt;=განმარტება!$B$5,3,4)))</f>
        <v>3</v>
      </c>
      <c r="C463" s="6" t="s">
        <v>15</v>
      </c>
      <c r="D463" s="6" t="s">
        <v>2361</v>
      </c>
      <c r="E463" s="7" t="s">
        <v>2362</v>
      </c>
      <c r="F463" s="7" t="n">
        <v>2784</v>
      </c>
      <c r="G463" s="6" t="s">
        <v>112</v>
      </c>
      <c r="H463" s="8" t="n">
        <v>1379</v>
      </c>
      <c r="I463" s="8" t="n">
        <v>0</v>
      </c>
      <c r="J463" s="7" t="n">
        <v>0</v>
      </c>
      <c r="K463" s="9" t="s">
        <v>2363</v>
      </c>
      <c r="L463" s="6" t="s">
        <v>2364</v>
      </c>
      <c r="M463" s="6" t="s">
        <v>2365</v>
      </c>
      <c r="N463" s="10"/>
      <c r="O463" s="4" t="str">
        <f aca="false">IF(N463="","",LEN(N463))</f>
        <v/>
      </c>
    </row>
    <row r="464" customFormat="false" ht="39" hidden="false" customHeight="true" outlineLevel="0" collapsed="false">
      <c r="A464" s="4" t="n">
        <v>463</v>
      </c>
      <c r="B464" s="5" t="n">
        <f aca="false">IF(OR(C464="სხვა მოდელი წერია",I464&gt;=განმარტება!$B$4),1,IF(OR(C464="ცარიელი",I464&gt;=1),2,IF(H464&gt;=განმარტება!$B$5,3,4)))</f>
        <v>3</v>
      </c>
      <c r="C464" s="6" t="s">
        <v>15</v>
      </c>
      <c r="D464" s="6" t="s">
        <v>2366</v>
      </c>
      <c r="E464" s="7" t="s">
        <v>2367</v>
      </c>
      <c r="F464" s="7" t="n">
        <v>14065</v>
      </c>
      <c r="G464" s="6" t="s">
        <v>24</v>
      </c>
      <c r="H464" s="8" t="n">
        <v>1374</v>
      </c>
      <c r="I464" s="8" t="n">
        <v>0</v>
      </c>
      <c r="J464" s="7" t="n">
        <v>0</v>
      </c>
      <c r="K464" s="9" t="s">
        <v>2368</v>
      </c>
      <c r="L464" s="6" t="s">
        <v>2369</v>
      </c>
      <c r="M464" s="6" t="s">
        <v>2370</v>
      </c>
      <c r="N464" s="10"/>
      <c r="O464" s="4" t="str">
        <f aca="false">IF(N464="","",LEN(N464))</f>
        <v/>
      </c>
    </row>
    <row r="465" customFormat="false" ht="39" hidden="false" customHeight="true" outlineLevel="0" collapsed="false">
      <c r="A465" s="4" t="n">
        <v>464</v>
      </c>
      <c r="B465" s="5" t="n">
        <f aca="false">IF(OR(C465="სხვა მოდელი წერია",I465&gt;=განმარტება!$B$4),1,IF(OR(C465="ცარიელი",I465&gt;=1),2,IF(H465&gt;=განმარტება!$B$5,3,4)))</f>
        <v>3</v>
      </c>
      <c r="C465" s="6" t="s">
        <v>15</v>
      </c>
      <c r="D465" s="6" t="s">
        <v>2371</v>
      </c>
      <c r="E465" s="7" t="s">
        <v>2372</v>
      </c>
      <c r="F465" s="7" t="n">
        <v>2754</v>
      </c>
      <c r="G465" s="6" t="s">
        <v>112</v>
      </c>
      <c r="H465" s="8" t="n">
        <v>1370</v>
      </c>
      <c r="I465" s="8" t="n">
        <v>0</v>
      </c>
      <c r="J465" s="7" t="n">
        <v>0</v>
      </c>
      <c r="K465" s="9" t="s">
        <v>2373</v>
      </c>
      <c r="L465" s="6" t="s">
        <v>2374</v>
      </c>
      <c r="M465" s="6" t="s">
        <v>2375</v>
      </c>
      <c r="N465" s="10"/>
      <c r="O465" s="4" t="str">
        <f aca="false">IF(N465="","",LEN(N465))</f>
        <v/>
      </c>
    </row>
    <row r="466" customFormat="false" ht="39" hidden="false" customHeight="true" outlineLevel="0" collapsed="false">
      <c r="A466" s="4" t="n">
        <v>465</v>
      </c>
      <c r="B466" s="5" t="n">
        <f aca="false">IF(OR(C466="სხვა მოდელი წერია",I466&gt;=განმარტება!$B$4),1,IF(OR(C466="ცარიელი",I466&gt;=1),2,IF(H466&gt;=განმარტება!$B$5,3,4)))</f>
        <v>3</v>
      </c>
      <c r="C466" s="6" t="s">
        <v>15</v>
      </c>
      <c r="D466" s="6" t="s">
        <v>2376</v>
      </c>
      <c r="E466" s="7" t="s">
        <v>2377</v>
      </c>
      <c r="F466" s="7" t="n">
        <v>2803</v>
      </c>
      <c r="G466" s="6" t="s">
        <v>112</v>
      </c>
      <c r="H466" s="8" t="n">
        <v>1359</v>
      </c>
      <c r="I466" s="8" t="n">
        <v>0</v>
      </c>
      <c r="J466" s="7" t="n">
        <v>0</v>
      </c>
      <c r="K466" s="9" t="s">
        <v>2378</v>
      </c>
      <c r="L466" s="6" t="s">
        <v>2379</v>
      </c>
      <c r="M466" s="6" t="s">
        <v>2380</v>
      </c>
      <c r="N466" s="10"/>
      <c r="O466" s="4" t="str">
        <f aca="false">IF(N466="","",LEN(N466))</f>
        <v/>
      </c>
    </row>
    <row r="467" customFormat="false" ht="77.25" hidden="false" customHeight="true" outlineLevel="0" collapsed="false">
      <c r="A467" s="4" t="n">
        <v>466</v>
      </c>
      <c r="B467" s="5" t="n">
        <f aca="false">IF(OR(C467="სხვა მოდელი წერია",I467&gt;=განმარტება!$B$4),1,IF(OR(C467="ცარიელი",I467&gt;=1),2,IF(H467&gt;=განმარტება!$B$5,3,4)))</f>
        <v>3</v>
      </c>
      <c r="C467" s="6" t="s">
        <v>15</v>
      </c>
      <c r="D467" s="6" t="s">
        <v>2381</v>
      </c>
      <c r="E467" s="7" t="s">
        <v>2382</v>
      </c>
      <c r="F467" s="7" t="n">
        <v>2607</v>
      </c>
      <c r="G467" s="6" t="s">
        <v>1913</v>
      </c>
      <c r="H467" s="8" t="n">
        <v>1350</v>
      </c>
      <c r="I467" s="8" t="n">
        <v>0</v>
      </c>
      <c r="J467" s="7" t="n">
        <v>0</v>
      </c>
      <c r="K467" s="9" t="s">
        <v>2383</v>
      </c>
      <c r="L467" s="6" t="s">
        <v>2384</v>
      </c>
      <c r="M467" s="6" t="s">
        <v>2385</v>
      </c>
      <c r="N467" s="10"/>
      <c r="O467" s="4" t="str">
        <f aca="false">IF(N467="","",LEN(N467))</f>
        <v/>
      </c>
    </row>
    <row r="468" customFormat="false" ht="39" hidden="false" customHeight="true" outlineLevel="0" collapsed="false">
      <c r="A468" s="4" t="n">
        <v>467</v>
      </c>
      <c r="B468" s="5" t="n">
        <f aca="false">IF(OR(C468="სხვა მოდელი წერია",I468&gt;=განმარტება!$B$4),1,IF(OR(C468="ცარიელი",I468&gt;=1),2,IF(H468&gt;=განმარტება!$B$5,3,4)))</f>
        <v>3</v>
      </c>
      <c r="C468" s="6" t="s">
        <v>15</v>
      </c>
      <c r="D468" s="6" t="s">
        <v>2386</v>
      </c>
      <c r="E468" s="7" t="s">
        <v>2387</v>
      </c>
      <c r="F468" s="7" t="n">
        <v>1327</v>
      </c>
      <c r="G468" s="6" t="s">
        <v>106</v>
      </c>
      <c r="H468" s="8" t="n">
        <v>1350</v>
      </c>
      <c r="I468" s="8" t="n">
        <v>0</v>
      </c>
      <c r="J468" s="7" t="n">
        <v>0</v>
      </c>
      <c r="K468" s="9" t="s">
        <v>2388</v>
      </c>
      <c r="L468" s="6" t="s">
        <v>2389</v>
      </c>
      <c r="M468" s="6" t="s">
        <v>2390</v>
      </c>
      <c r="N468" s="10"/>
      <c r="O468" s="4" t="str">
        <f aca="false">IF(N468="","",LEN(N468))</f>
        <v/>
      </c>
    </row>
    <row r="469" customFormat="false" ht="39" hidden="false" customHeight="true" outlineLevel="0" collapsed="false">
      <c r="A469" s="4" t="n">
        <v>468</v>
      </c>
      <c r="B469" s="5" t="n">
        <f aca="false">IF(OR(C469="სხვა მოდელი წერია",I469&gt;=განმარტება!$B$4),1,IF(OR(C469="ცარიელი",I469&gt;=1),2,IF(H469&gt;=განმარტება!$B$5,3,4)))</f>
        <v>3</v>
      </c>
      <c r="C469" s="6" t="s">
        <v>15</v>
      </c>
      <c r="D469" s="6" t="s">
        <v>2391</v>
      </c>
      <c r="E469" s="7"/>
      <c r="F469" s="7" t="n">
        <v>11989</v>
      </c>
      <c r="G469" s="6" t="s">
        <v>61</v>
      </c>
      <c r="H469" s="8" t="n">
        <v>1349</v>
      </c>
      <c r="I469" s="8" t="n">
        <v>0</v>
      </c>
      <c r="J469" s="7" t="n">
        <v>0</v>
      </c>
      <c r="K469" s="9" t="s">
        <v>2392</v>
      </c>
      <c r="L469" s="6" t="s">
        <v>2393</v>
      </c>
      <c r="M469" s="6" t="s">
        <v>2394</v>
      </c>
      <c r="N469" s="10"/>
      <c r="O469" s="4" t="str">
        <f aca="false">IF(N469="","",LEN(N469))</f>
        <v/>
      </c>
    </row>
    <row r="470" customFormat="false" ht="39" hidden="false" customHeight="true" outlineLevel="0" collapsed="false">
      <c r="A470" s="4" t="n">
        <v>469</v>
      </c>
      <c r="B470" s="5" t="n">
        <f aca="false">IF(OR(C470="სხვა მოდელი წერია",I470&gt;=განმარტება!$B$4),1,IF(OR(C470="ცარიელი",I470&gt;=1),2,IF(H470&gt;=განმარტება!$B$5,3,4)))</f>
        <v>3</v>
      </c>
      <c r="C470" s="6" t="s">
        <v>15</v>
      </c>
      <c r="D470" s="6" t="s">
        <v>2395</v>
      </c>
      <c r="E470" s="7" t="s">
        <v>2396</v>
      </c>
      <c r="F470" s="7" t="n">
        <v>2847</v>
      </c>
      <c r="G470" s="6" t="s">
        <v>112</v>
      </c>
      <c r="H470" s="8" t="n">
        <v>1349</v>
      </c>
      <c r="I470" s="8" t="n">
        <v>0</v>
      </c>
      <c r="J470" s="7" t="n">
        <v>0</v>
      </c>
      <c r="K470" s="9" t="s">
        <v>2397</v>
      </c>
      <c r="L470" s="6" t="s">
        <v>2398</v>
      </c>
      <c r="M470" s="6" t="s">
        <v>2399</v>
      </c>
      <c r="N470" s="10"/>
      <c r="O470" s="4" t="str">
        <f aca="false">IF(N470="","",LEN(N470))</f>
        <v/>
      </c>
    </row>
    <row r="471" customFormat="false" ht="39" hidden="false" customHeight="true" outlineLevel="0" collapsed="false">
      <c r="A471" s="4" t="n">
        <v>470</v>
      </c>
      <c r="B471" s="5" t="n">
        <f aca="false">IF(OR(C471="სხვა მოდელი წერია",I471&gt;=განმარტება!$B$4),1,IF(OR(C471="ცარიელი",I471&gt;=1),2,IF(H471&gt;=განმარტება!$B$5,3,4)))</f>
        <v>3</v>
      </c>
      <c r="C471" s="6" t="s">
        <v>15</v>
      </c>
      <c r="D471" s="6" t="s">
        <v>2400</v>
      </c>
      <c r="E471" s="7" t="s">
        <v>2401</v>
      </c>
      <c r="F471" s="7" t="n">
        <v>2939</v>
      </c>
      <c r="G471" s="6" t="s">
        <v>402</v>
      </c>
      <c r="H471" s="8" t="n">
        <v>1349</v>
      </c>
      <c r="I471" s="8" t="n">
        <v>0</v>
      </c>
      <c r="J471" s="7" t="n">
        <v>0</v>
      </c>
      <c r="K471" s="9" t="s">
        <v>2402</v>
      </c>
      <c r="L471" s="6" t="s">
        <v>2403</v>
      </c>
      <c r="M471" s="6" t="s">
        <v>2404</v>
      </c>
      <c r="N471" s="10"/>
      <c r="O471" s="4" t="str">
        <f aca="false">IF(N471="","",LEN(N471))</f>
        <v/>
      </c>
    </row>
    <row r="472" customFormat="false" ht="39" hidden="false" customHeight="true" outlineLevel="0" collapsed="false">
      <c r="A472" s="4" t="n">
        <v>471</v>
      </c>
      <c r="B472" s="5" t="n">
        <f aca="false">IF(OR(C472="სხვა მოდელი წერია",I472&gt;=განმარტება!$B$4),1,IF(OR(C472="ცარიელი",I472&gt;=1),2,IF(H472&gt;=განმარტება!$B$5,3,4)))</f>
        <v>3</v>
      </c>
      <c r="C472" s="6" t="s">
        <v>15</v>
      </c>
      <c r="D472" s="6" t="s">
        <v>2405</v>
      </c>
      <c r="E472" s="7" t="s">
        <v>2406</v>
      </c>
      <c r="F472" s="7" t="n">
        <v>3800</v>
      </c>
      <c r="G472" s="6" t="s">
        <v>61</v>
      </c>
      <c r="H472" s="8" t="n">
        <v>1339</v>
      </c>
      <c r="I472" s="8" t="n">
        <v>0</v>
      </c>
      <c r="J472" s="7" t="n">
        <v>0</v>
      </c>
      <c r="K472" s="9" t="s">
        <v>2407</v>
      </c>
      <c r="L472" s="6" t="s">
        <v>2408</v>
      </c>
      <c r="M472" s="6" t="s">
        <v>2409</v>
      </c>
      <c r="N472" s="10"/>
      <c r="O472" s="4" t="str">
        <f aca="false">IF(N472="","",LEN(N472))</f>
        <v/>
      </c>
    </row>
    <row r="473" customFormat="false" ht="39" hidden="false" customHeight="true" outlineLevel="0" collapsed="false">
      <c r="A473" s="4" t="n">
        <v>472</v>
      </c>
      <c r="B473" s="5" t="n">
        <f aca="false">IF(OR(C473="სხვა მოდელი წერია",I473&gt;=განმარტება!$B$4),1,IF(OR(C473="ცარიელი",I473&gt;=1),2,IF(H473&gt;=განმარტება!$B$5,3,4)))</f>
        <v>3</v>
      </c>
      <c r="C473" s="6" t="s">
        <v>15</v>
      </c>
      <c r="D473" s="6" t="s">
        <v>2410</v>
      </c>
      <c r="E473" s="7" t="s">
        <v>2411</v>
      </c>
      <c r="F473" s="7" t="n">
        <v>4031</v>
      </c>
      <c r="G473" s="6" t="s">
        <v>42</v>
      </c>
      <c r="H473" s="8" t="n">
        <v>1329</v>
      </c>
      <c r="I473" s="8" t="n">
        <v>0</v>
      </c>
      <c r="J473" s="7" t="n">
        <v>0</v>
      </c>
      <c r="K473" s="9" t="s">
        <v>2412</v>
      </c>
      <c r="L473" s="6" t="s">
        <v>2413</v>
      </c>
      <c r="M473" s="6" t="s">
        <v>2414</v>
      </c>
      <c r="N473" s="10"/>
      <c r="O473" s="4" t="str">
        <f aca="false">IF(N473="","",LEN(N473))</f>
        <v/>
      </c>
    </row>
    <row r="474" customFormat="false" ht="39" hidden="false" customHeight="true" outlineLevel="0" collapsed="false">
      <c r="A474" s="4" t="n">
        <v>473</v>
      </c>
      <c r="B474" s="5" t="n">
        <f aca="false">IF(OR(C474="სხვა მოდელი წერია",I474&gt;=განმარტება!$B$4),1,IF(OR(C474="ცარიელი",I474&gt;=1),2,IF(H474&gt;=განმარტება!$B$5,3,4)))</f>
        <v>3</v>
      </c>
      <c r="C474" s="6" t="s">
        <v>15</v>
      </c>
      <c r="D474" s="6" t="s">
        <v>2415</v>
      </c>
      <c r="E474" s="7" t="s">
        <v>2416</v>
      </c>
      <c r="F474" s="7" t="n">
        <v>14050</v>
      </c>
      <c r="G474" s="6" t="s">
        <v>24</v>
      </c>
      <c r="H474" s="8" t="n">
        <v>1313</v>
      </c>
      <c r="I474" s="8" t="n">
        <v>0</v>
      </c>
      <c r="J474" s="7" t="n">
        <v>0</v>
      </c>
      <c r="K474" s="9" t="s">
        <v>2417</v>
      </c>
      <c r="L474" s="6" t="s">
        <v>2418</v>
      </c>
      <c r="M474" s="6" t="s">
        <v>2419</v>
      </c>
      <c r="N474" s="10"/>
      <c r="O474" s="4" t="str">
        <f aca="false">IF(N474="","",LEN(N474))</f>
        <v/>
      </c>
    </row>
    <row r="475" customFormat="false" ht="39" hidden="false" customHeight="true" outlineLevel="0" collapsed="false">
      <c r="A475" s="4" t="n">
        <v>474</v>
      </c>
      <c r="B475" s="5" t="n">
        <f aca="false">IF(OR(C475="სხვა მოდელი წერია",I475&gt;=განმარტება!$B$4),1,IF(OR(C475="ცარიელი",I475&gt;=1),2,IF(H475&gt;=განმარტება!$B$5,3,4)))</f>
        <v>3</v>
      </c>
      <c r="C475" s="6" t="s">
        <v>15</v>
      </c>
      <c r="D475" s="6" t="s">
        <v>2420</v>
      </c>
      <c r="E475" s="7" t="s">
        <v>2421</v>
      </c>
      <c r="F475" s="7" t="n">
        <v>2064</v>
      </c>
      <c r="G475" s="6" t="s">
        <v>1994</v>
      </c>
      <c r="H475" s="8" t="n">
        <v>1300</v>
      </c>
      <c r="I475" s="8" t="n">
        <v>0</v>
      </c>
      <c r="J475" s="7" t="n">
        <v>0</v>
      </c>
      <c r="K475" s="9" t="s">
        <v>2422</v>
      </c>
      <c r="L475" s="6" t="s">
        <v>2423</v>
      </c>
      <c r="M475" s="6" t="s">
        <v>2424</v>
      </c>
      <c r="N475" s="10"/>
      <c r="O475" s="4" t="str">
        <f aca="false">IF(N475="","",LEN(N475))</f>
        <v/>
      </c>
    </row>
    <row r="476" customFormat="false" ht="51.75" hidden="false" customHeight="true" outlineLevel="0" collapsed="false">
      <c r="A476" s="4" t="n">
        <v>475</v>
      </c>
      <c r="B476" s="5" t="n">
        <f aca="false">IF(OR(C476="სხვა მოდელი წერია",I476&gt;=განმარტება!$B$4),1,IF(OR(C476="ცარიელი",I476&gt;=1),2,IF(H476&gt;=განმარტება!$B$5,3,4)))</f>
        <v>3</v>
      </c>
      <c r="C476" s="6" t="s">
        <v>15</v>
      </c>
      <c r="D476" s="6" t="s">
        <v>2425</v>
      </c>
      <c r="E476" s="7" t="s">
        <v>2426</v>
      </c>
      <c r="F476" s="7" t="n">
        <v>3029</v>
      </c>
      <c r="G476" s="6" t="s">
        <v>134</v>
      </c>
      <c r="H476" s="8" t="n">
        <v>1300</v>
      </c>
      <c r="I476" s="8" t="n">
        <v>0</v>
      </c>
      <c r="J476" s="7" t="n">
        <v>0</v>
      </c>
      <c r="K476" s="9" t="s">
        <v>2427</v>
      </c>
      <c r="L476" s="6" t="s">
        <v>2428</v>
      </c>
      <c r="M476" s="6" t="s">
        <v>2429</v>
      </c>
      <c r="N476" s="10"/>
      <c r="O476" s="4" t="str">
        <f aca="false">IF(N476="","",LEN(N476))</f>
        <v/>
      </c>
    </row>
    <row r="477" customFormat="false" ht="39" hidden="false" customHeight="true" outlineLevel="0" collapsed="false">
      <c r="A477" s="4" t="n">
        <v>476</v>
      </c>
      <c r="B477" s="5" t="n">
        <f aca="false">IF(OR(C477="სხვა მოდელი წერია",I477&gt;=განმარტება!$B$4),1,IF(OR(C477="ცარიელი",I477&gt;=1),2,IF(H477&gt;=განმარტება!$B$5,3,4)))</f>
        <v>3</v>
      </c>
      <c r="C477" s="6" t="s">
        <v>15</v>
      </c>
      <c r="D477" s="6" t="s">
        <v>2430</v>
      </c>
      <c r="E477" s="7" t="s">
        <v>2431</v>
      </c>
      <c r="F477" s="7" t="n">
        <v>8929</v>
      </c>
      <c r="G477" s="6" t="s">
        <v>1267</v>
      </c>
      <c r="H477" s="8" t="n">
        <v>1299</v>
      </c>
      <c r="I477" s="8" t="n">
        <v>0</v>
      </c>
      <c r="J477" s="7" t="n">
        <v>0</v>
      </c>
      <c r="K477" s="9" t="s">
        <v>2432</v>
      </c>
      <c r="L477" s="6" t="s">
        <v>2433</v>
      </c>
      <c r="M477" s="6" t="s">
        <v>2434</v>
      </c>
      <c r="N477" s="10"/>
      <c r="O477" s="4" t="str">
        <f aca="false">IF(N477="","",LEN(N477))</f>
        <v/>
      </c>
    </row>
    <row r="478" customFormat="false" ht="39" hidden="false" customHeight="true" outlineLevel="0" collapsed="false">
      <c r="A478" s="4" t="n">
        <v>477</v>
      </c>
      <c r="B478" s="5" t="n">
        <f aca="false">IF(OR(C478="სხვა მოდელი წერია",I478&gt;=განმარტება!$B$4),1,IF(OR(C478="ცარიელი",I478&gt;=1),2,IF(H478&gt;=განმარტება!$B$5,3,4)))</f>
        <v>3</v>
      </c>
      <c r="C478" s="6" t="s">
        <v>15</v>
      </c>
      <c r="D478" s="6" t="s">
        <v>2435</v>
      </c>
      <c r="E478" s="7" t="s">
        <v>2436</v>
      </c>
      <c r="F478" s="7" t="n">
        <v>3801</v>
      </c>
      <c r="G478" s="6" t="s">
        <v>61</v>
      </c>
      <c r="H478" s="8" t="n">
        <v>1299</v>
      </c>
      <c r="I478" s="8" t="n">
        <v>0</v>
      </c>
      <c r="J478" s="7" t="n">
        <v>0</v>
      </c>
      <c r="K478" s="9" t="s">
        <v>2437</v>
      </c>
      <c r="L478" s="6" t="s">
        <v>2438</v>
      </c>
      <c r="M478" s="6" t="s">
        <v>2439</v>
      </c>
      <c r="N478" s="10"/>
      <c r="O478" s="4" t="str">
        <f aca="false">IF(N478="","",LEN(N478))</f>
        <v/>
      </c>
    </row>
    <row r="479" customFormat="false" ht="39" hidden="false" customHeight="true" outlineLevel="0" collapsed="false">
      <c r="A479" s="4" t="n">
        <v>478</v>
      </c>
      <c r="B479" s="5" t="n">
        <f aca="false">IF(OR(C479="სხვა მოდელი წერია",I479&gt;=განმარტება!$B$4),1,IF(OR(C479="ცარიელი",I479&gt;=1),2,IF(H479&gt;=განმარტება!$B$5,3,4)))</f>
        <v>3</v>
      </c>
      <c r="C479" s="6" t="s">
        <v>15</v>
      </c>
      <c r="D479" s="6" t="s">
        <v>2440</v>
      </c>
      <c r="E479" s="7" t="s">
        <v>2441</v>
      </c>
      <c r="F479" s="7" t="n">
        <v>2929</v>
      </c>
      <c r="G479" s="6" t="s">
        <v>112</v>
      </c>
      <c r="H479" s="8" t="n">
        <v>1299</v>
      </c>
      <c r="I479" s="8" t="n">
        <v>0</v>
      </c>
      <c r="J479" s="7" t="n">
        <v>0</v>
      </c>
      <c r="K479" s="9" t="s">
        <v>2442</v>
      </c>
      <c r="L479" s="6" t="s">
        <v>2443</v>
      </c>
      <c r="M479" s="6" t="s">
        <v>2444</v>
      </c>
      <c r="N479" s="10"/>
      <c r="O479" s="4" t="str">
        <f aca="false">IF(N479="","",LEN(N479))</f>
        <v/>
      </c>
    </row>
    <row r="480" customFormat="false" ht="39" hidden="false" customHeight="true" outlineLevel="0" collapsed="false">
      <c r="A480" s="4" t="n">
        <v>479</v>
      </c>
      <c r="B480" s="5" t="n">
        <f aca="false">IF(OR(C480="სხვა მოდელი წერია",I480&gt;=განმარტება!$B$4),1,IF(OR(C480="ცარიელი",I480&gt;=1),2,IF(H480&gt;=განმარტება!$B$5,3,4)))</f>
        <v>3</v>
      </c>
      <c r="C480" s="6" t="s">
        <v>15</v>
      </c>
      <c r="D480" s="6" t="s">
        <v>2445</v>
      </c>
      <c r="E480" s="7" t="s">
        <v>2446</v>
      </c>
      <c r="F480" s="7" t="n">
        <v>1681</v>
      </c>
      <c r="G480" s="6" t="s">
        <v>112</v>
      </c>
      <c r="H480" s="8" t="n">
        <v>1299</v>
      </c>
      <c r="I480" s="8" t="n">
        <v>0</v>
      </c>
      <c r="J480" s="7" t="n">
        <v>0</v>
      </c>
      <c r="K480" s="9" t="s">
        <v>2447</v>
      </c>
      <c r="L480" s="6" t="s">
        <v>2448</v>
      </c>
      <c r="M480" s="6" t="s">
        <v>2449</v>
      </c>
      <c r="N480" s="10"/>
      <c r="O480" s="4" t="str">
        <f aca="false">IF(N480="","",LEN(N480))</f>
        <v/>
      </c>
    </row>
    <row r="481" customFormat="false" ht="39" hidden="false" customHeight="true" outlineLevel="0" collapsed="false">
      <c r="A481" s="4" t="n">
        <v>480</v>
      </c>
      <c r="B481" s="5" t="n">
        <f aca="false">IF(OR(C481="სხვა მოდელი წერია",I481&gt;=განმარტება!$B$4),1,IF(OR(C481="ცარიელი",I481&gt;=1),2,IF(H481&gt;=განმარტება!$B$5,3,4)))</f>
        <v>3</v>
      </c>
      <c r="C481" s="6" t="s">
        <v>15</v>
      </c>
      <c r="D481" s="6" t="s">
        <v>2450</v>
      </c>
      <c r="E481" s="7" t="s">
        <v>2451</v>
      </c>
      <c r="F481" s="7" t="n">
        <v>2981</v>
      </c>
      <c r="G481" s="6" t="s">
        <v>24</v>
      </c>
      <c r="H481" s="8" t="n">
        <v>1299</v>
      </c>
      <c r="I481" s="8" t="n">
        <v>0</v>
      </c>
      <c r="J481" s="7" t="n">
        <v>0</v>
      </c>
      <c r="K481" s="9" t="s">
        <v>2452</v>
      </c>
      <c r="L481" s="6" t="s">
        <v>2453</v>
      </c>
      <c r="M481" s="6" t="s">
        <v>2454</v>
      </c>
      <c r="N481" s="10"/>
      <c r="O481" s="4" t="str">
        <f aca="false">IF(N481="","",LEN(N481))</f>
        <v/>
      </c>
    </row>
    <row r="482" customFormat="false" ht="39" hidden="false" customHeight="true" outlineLevel="0" collapsed="false">
      <c r="A482" s="4" t="n">
        <v>481</v>
      </c>
      <c r="B482" s="5" t="n">
        <f aca="false">IF(OR(C482="სხვა მოდელი წერია",I482&gt;=განმარტება!$B$4),1,IF(OR(C482="ცარიელი",I482&gt;=1),2,IF(H482&gt;=განმარტება!$B$5,3,4)))</f>
        <v>3</v>
      </c>
      <c r="C482" s="6" t="s">
        <v>15</v>
      </c>
      <c r="D482" s="6" t="s">
        <v>2455</v>
      </c>
      <c r="E482" s="7" t="s">
        <v>2456</v>
      </c>
      <c r="F482" s="7" t="n">
        <v>1434</v>
      </c>
      <c r="G482" s="6" t="s">
        <v>24</v>
      </c>
      <c r="H482" s="8" t="n">
        <v>1299</v>
      </c>
      <c r="I482" s="8" t="n">
        <v>0</v>
      </c>
      <c r="J482" s="7" t="n">
        <v>0</v>
      </c>
      <c r="K482" s="9" t="s">
        <v>2457</v>
      </c>
      <c r="L482" s="6" t="s">
        <v>2458</v>
      </c>
      <c r="M482" s="6" t="s">
        <v>2459</v>
      </c>
      <c r="N482" s="10"/>
      <c r="O482" s="4" t="str">
        <f aca="false">IF(N482="","",LEN(N482))</f>
        <v/>
      </c>
    </row>
    <row r="483" customFormat="false" ht="39" hidden="false" customHeight="true" outlineLevel="0" collapsed="false">
      <c r="A483" s="4" t="n">
        <v>482</v>
      </c>
      <c r="B483" s="5" t="n">
        <f aca="false">IF(OR(C483="სხვა მოდელი წერია",I483&gt;=განმარტება!$B$4),1,IF(OR(C483="ცარიელი",I483&gt;=1),2,IF(H483&gt;=განმარტება!$B$5,3,4)))</f>
        <v>3</v>
      </c>
      <c r="C483" s="6" t="s">
        <v>15</v>
      </c>
      <c r="D483" s="6" t="s">
        <v>2460</v>
      </c>
      <c r="E483" s="7" t="s">
        <v>2461</v>
      </c>
      <c r="F483" s="7" t="n">
        <v>2917</v>
      </c>
      <c r="G483" s="6" t="s">
        <v>24</v>
      </c>
      <c r="H483" s="8" t="n">
        <v>1299</v>
      </c>
      <c r="I483" s="8" t="n">
        <v>0</v>
      </c>
      <c r="J483" s="7" t="n">
        <v>0</v>
      </c>
      <c r="K483" s="9" t="s">
        <v>2462</v>
      </c>
      <c r="L483" s="6" t="s">
        <v>2463</v>
      </c>
      <c r="M483" s="6" t="s">
        <v>2464</v>
      </c>
      <c r="N483" s="10"/>
      <c r="O483" s="4" t="str">
        <f aca="false">IF(N483="","",LEN(N483))</f>
        <v/>
      </c>
    </row>
    <row r="484" customFormat="false" ht="51.75" hidden="false" customHeight="true" outlineLevel="0" collapsed="false">
      <c r="A484" s="4" t="n">
        <v>483</v>
      </c>
      <c r="B484" s="5" t="n">
        <f aca="false">IF(OR(C484="სხვა მოდელი წერია",I484&gt;=განმარტება!$B$4),1,IF(OR(C484="ცარიელი",I484&gt;=1),2,IF(H484&gt;=განმარტება!$B$5,3,4)))</f>
        <v>3</v>
      </c>
      <c r="C484" s="6" t="s">
        <v>15</v>
      </c>
      <c r="D484" s="6" t="s">
        <v>2465</v>
      </c>
      <c r="E484" s="7" t="s">
        <v>2466</v>
      </c>
      <c r="F484" s="7" t="n">
        <v>1480</v>
      </c>
      <c r="G484" s="6" t="s">
        <v>30</v>
      </c>
      <c r="H484" s="8" t="n">
        <v>1299</v>
      </c>
      <c r="I484" s="8" t="n">
        <v>0</v>
      </c>
      <c r="J484" s="7" t="n">
        <v>0</v>
      </c>
      <c r="K484" s="9" t="s">
        <v>2467</v>
      </c>
      <c r="L484" s="6" t="s">
        <v>2468</v>
      </c>
      <c r="M484" s="6" t="s">
        <v>2469</v>
      </c>
      <c r="N484" s="10"/>
      <c r="O484" s="4" t="str">
        <f aca="false">IF(N484="","",LEN(N484))</f>
        <v/>
      </c>
    </row>
    <row r="485" customFormat="false" ht="39" hidden="false" customHeight="true" outlineLevel="0" collapsed="false">
      <c r="A485" s="4" t="n">
        <v>484</v>
      </c>
      <c r="B485" s="5" t="n">
        <f aca="false">IF(OR(C485="სხვა მოდელი წერია",I485&gt;=განმარტება!$B$4),1,IF(OR(C485="ცარიელი",I485&gt;=1),2,IF(H485&gt;=განმარტება!$B$5,3,4)))</f>
        <v>3</v>
      </c>
      <c r="C485" s="6" t="s">
        <v>15</v>
      </c>
      <c r="D485" s="6" t="s">
        <v>2470</v>
      </c>
      <c r="E485" s="7" t="s">
        <v>2471</v>
      </c>
      <c r="F485" s="7" t="n">
        <v>3775</v>
      </c>
      <c r="G485" s="6" t="s">
        <v>118</v>
      </c>
      <c r="H485" s="8" t="n">
        <v>1299</v>
      </c>
      <c r="I485" s="8" t="n">
        <v>0</v>
      </c>
      <c r="J485" s="7" t="n">
        <v>0</v>
      </c>
      <c r="K485" s="9" t="s">
        <v>2472</v>
      </c>
      <c r="L485" s="6" t="s">
        <v>2473</v>
      </c>
      <c r="M485" s="6" t="s">
        <v>2474</v>
      </c>
      <c r="N485" s="10"/>
      <c r="O485" s="4" t="str">
        <f aca="false">IF(N485="","",LEN(N485))</f>
        <v/>
      </c>
    </row>
    <row r="486" customFormat="false" ht="77.25" hidden="false" customHeight="true" outlineLevel="0" collapsed="false">
      <c r="A486" s="4" t="n">
        <v>485</v>
      </c>
      <c r="B486" s="5" t="n">
        <f aca="false">IF(OR(C486="სხვა მოდელი წერია",I486&gt;=განმარტება!$B$4),1,IF(OR(C486="ცარიელი",I486&gt;=1),2,IF(H486&gt;=განმარტება!$B$5,3,4)))</f>
        <v>3</v>
      </c>
      <c r="C486" s="6" t="s">
        <v>15</v>
      </c>
      <c r="D486" s="6" t="s">
        <v>2475</v>
      </c>
      <c r="E486" s="7" t="s">
        <v>2476</v>
      </c>
      <c r="F486" s="7" t="n">
        <v>2881</v>
      </c>
      <c r="G486" s="6" t="s">
        <v>1913</v>
      </c>
      <c r="H486" s="8" t="n">
        <v>1299</v>
      </c>
      <c r="I486" s="8" t="n">
        <v>0</v>
      </c>
      <c r="J486" s="7" t="n">
        <v>0</v>
      </c>
      <c r="K486" s="9" t="s">
        <v>2477</v>
      </c>
      <c r="L486" s="6" t="s">
        <v>2478</v>
      </c>
      <c r="M486" s="6" t="s">
        <v>2479</v>
      </c>
      <c r="N486" s="10"/>
      <c r="O486" s="4" t="str">
        <f aca="false">IF(N486="","",LEN(N486))</f>
        <v/>
      </c>
    </row>
    <row r="487" customFormat="false" ht="51.75" hidden="false" customHeight="true" outlineLevel="0" collapsed="false">
      <c r="A487" s="4" t="n">
        <v>486</v>
      </c>
      <c r="B487" s="5" t="n">
        <f aca="false">IF(OR(C487="სხვა მოდელი წერია",I487&gt;=განმარტება!$B$4),1,IF(OR(C487="ცარიელი",I487&gt;=1),2,IF(H487&gt;=განმარტება!$B$5,3,4)))</f>
        <v>3</v>
      </c>
      <c r="C487" s="6" t="s">
        <v>15</v>
      </c>
      <c r="D487" s="6" t="s">
        <v>2480</v>
      </c>
      <c r="E487" s="7" t="s">
        <v>2481</v>
      </c>
      <c r="F487" s="7" t="n">
        <v>1668</v>
      </c>
      <c r="G487" s="6" t="s">
        <v>211</v>
      </c>
      <c r="H487" s="8" t="n">
        <v>1299</v>
      </c>
      <c r="I487" s="8" t="n">
        <v>0</v>
      </c>
      <c r="J487" s="7" t="n">
        <v>0</v>
      </c>
      <c r="K487" s="9" t="s">
        <v>2482</v>
      </c>
      <c r="L487" s="6" t="s">
        <v>2483</v>
      </c>
      <c r="M487" s="6" t="s">
        <v>2484</v>
      </c>
      <c r="N487" s="10"/>
      <c r="O487" s="4" t="str">
        <f aca="false">IF(N487="","",LEN(N487))</f>
        <v/>
      </c>
    </row>
    <row r="488" customFormat="false" ht="51.75" hidden="false" customHeight="true" outlineLevel="0" collapsed="false">
      <c r="A488" s="4" t="n">
        <v>487</v>
      </c>
      <c r="B488" s="5" t="n">
        <f aca="false">IF(OR(C488="სხვა მოდელი წერია",I488&gt;=განმარტება!$B$4),1,IF(OR(C488="ცარიელი",I488&gt;=1),2,IF(H488&gt;=განმარტება!$B$5,3,4)))</f>
        <v>3</v>
      </c>
      <c r="C488" s="6" t="s">
        <v>15</v>
      </c>
      <c r="D488" s="6" t="s">
        <v>2485</v>
      </c>
      <c r="E488" s="7" t="s">
        <v>2486</v>
      </c>
      <c r="F488" s="7" t="n">
        <v>3014</v>
      </c>
      <c r="G488" s="6" t="s">
        <v>211</v>
      </c>
      <c r="H488" s="8" t="n">
        <v>1299</v>
      </c>
      <c r="I488" s="8" t="n">
        <v>0</v>
      </c>
      <c r="J488" s="7" t="n">
        <v>0</v>
      </c>
      <c r="K488" s="9" t="s">
        <v>2487</v>
      </c>
      <c r="L488" s="6" t="s">
        <v>2488</v>
      </c>
      <c r="M488" s="6" t="s">
        <v>2489</v>
      </c>
      <c r="N488" s="10"/>
      <c r="O488" s="4" t="str">
        <f aca="false">IF(N488="","",LEN(N488))</f>
        <v/>
      </c>
    </row>
    <row r="489" customFormat="false" ht="51.75" hidden="false" customHeight="true" outlineLevel="0" collapsed="false">
      <c r="A489" s="4" t="n">
        <v>488</v>
      </c>
      <c r="B489" s="5" t="n">
        <f aca="false">IF(OR(C489="სხვა მოდელი წერია",I489&gt;=განმარტება!$B$4),1,IF(OR(C489="ცარიელი",I489&gt;=1),2,IF(H489&gt;=განმარტება!$B$5,3,4)))</f>
        <v>3</v>
      </c>
      <c r="C489" s="6" t="s">
        <v>15</v>
      </c>
      <c r="D489" s="6" t="s">
        <v>2490</v>
      </c>
      <c r="E489" s="7" t="s">
        <v>2491</v>
      </c>
      <c r="F489" s="7" t="n">
        <v>930</v>
      </c>
      <c r="G489" s="6" t="s">
        <v>211</v>
      </c>
      <c r="H489" s="8" t="n">
        <v>1299</v>
      </c>
      <c r="I489" s="8" t="n">
        <v>0</v>
      </c>
      <c r="J489" s="7" t="n">
        <v>0</v>
      </c>
      <c r="K489" s="9" t="s">
        <v>2492</v>
      </c>
      <c r="L489" s="6" t="s">
        <v>2493</v>
      </c>
      <c r="M489" s="6" t="s">
        <v>2494</v>
      </c>
      <c r="N489" s="10"/>
      <c r="O489" s="4" t="str">
        <f aca="false">IF(N489="","",LEN(N489))</f>
        <v/>
      </c>
    </row>
    <row r="490" customFormat="false" ht="39" hidden="false" customHeight="true" outlineLevel="0" collapsed="false">
      <c r="A490" s="4" t="n">
        <v>489</v>
      </c>
      <c r="B490" s="5" t="n">
        <f aca="false">IF(OR(C490="სხვა მოდელი წერია",I490&gt;=განმარტება!$B$4),1,IF(OR(C490="ცარიელი",I490&gt;=1),2,IF(H490&gt;=განმარტება!$B$5,3,4)))</f>
        <v>3</v>
      </c>
      <c r="C490" s="6" t="s">
        <v>15</v>
      </c>
      <c r="D490" s="6" t="s">
        <v>2495</v>
      </c>
      <c r="E490" s="7" t="s">
        <v>2496</v>
      </c>
      <c r="F490" s="7" t="n">
        <v>3180</v>
      </c>
      <c r="G490" s="6" t="s">
        <v>402</v>
      </c>
      <c r="H490" s="8" t="n">
        <v>1299</v>
      </c>
      <c r="I490" s="8" t="n">
        <v>0</v>
      </c>
      <c r="J490" s="7" t="n">
        <v>0</v>
      </c>
      <c r="K490" s="9" t="s">
        <v>2497</v>
      </c>
      <c r="L490" s="6" t="s">
        <v>2498</v>
      </c>
      <c r="M490" s="6" t="s">
        <v>2499</v>
      </c>
      <c r="N490" s="10"/>
      <c r="O490" s="4" t="str">
        <f aca="false">IF(N490="","",LEN(N490))</f>
        <v/>
      </c>
    </row>
    <row r="491" customFormat="false" ht="39" hidden="false" customHeight="true" outlineLevel="0" collapsed="false">
      <c r="A491" s="4" t="n">
        <v>490</v>
      </c>
      <c r="B491" s="5" t="n">
        <f aca="false">IF(OR(C491="სხვა მოდელი წერია",I491&gt;=განმარტება!$B$4),1,IF(OR(C491="ცარიელი",I491&gt;=1),2,IF(H491&gt;=განმარტება!$B$5,3,4)))</f>
        <v>3</v>
      </c>
      <c r="C491" s="6" t="s">
        <v>15</v>
      </c>
      <c r="D491" s="6" t="s">
        <v>2500</v>
      </c>
      <c r="E491" s="7" t="s">
        <v>2501</v>
      </c>
      <c r="F491" s="7" t="n">
        <v>3089</v>
      </c>
      <c r="G491" s="6" t="s">
        <v>402</v>
      </c>
      <c r="H491" s="8" t="n">
        <v>1299</v>
      </c>
      <c r="I491" s="8" t="n">
        <v>0</v>
      </c>
      <c r="J491" s="7" t="n">
        <v>0</v>
      </c>
      <c r="K491" s="9" t="s">
        <v>2502</v>
      </c>
      <c r="L491" s="6" t="s">
        <v>2503</v>
      </c>
      <c r="M491" s="6" t="s">
        <v>2504</v>
      </c>
      <c r="N491" s="10"/>
      <c r="O491" s="4" t="str">
        <f aca="false">IF(N491="","",LEN(N491))</f>
        <v/>
      </c>
    </row>
    <row r="492" customFormat="false" ht="39" hidden="false" customHeight="true" outlineLevel="0" collapsed="false">
      <c r="A492" s="4" t="n">
        <v>491</v>
      </c>
      <c r="B492" s="5" t="n">
        <f aca="false">IF(OR(C492="სხვა მოდელი წერია",I492&gt;=განმარტება!$B$4),1,IF(OR(C492="ცარიელი",I492&gt;=1),2,IF(H492&gt;=განმარტება!$B$5,3,4)))</f>
        <v>3</v>
      </c>
      <c r="C492" s="6" t="s">
        <v>15</v>
      </c>
      <c r="D492" s="6" t="s">
        <v>2505</v>
      </c>
      <c r="E492" s="7" t="s">
        <v>2506</v>
      </c>
      <c r="F492" s="7" t="n">
        <v>2354</v>
      </c>
      <c r="G492" s="6" t="s">
        <v>205</v>
      </c>
      <c r="H492" s="8" t="n">
        <v>1299</v>
      </c>
      <c r="I492" s="8" t="n">
        <v>0</v>
      </c>
      <c r="J492" s="7" t="n">
        <v>0</v>
      </c>
      <c r="K492" s="9" t="s">
        <v>2507</v>
      </c>
      <c r="L492" s="6" t="s">
        <v>2508</v>
      </c>
      <c r="M492" s="6" t="s">
        <v>2509</v>
      </c>
      <c r="N492" s="10"/>
      <c r="O492" s="4" t="str">
        <f aca="false">IF(N492="","",LEN(N492))</f>
        <v/>
      </c>
    </row>
    <row r="493" customFormat="false" ht="39" hidden="false" customHeight="true" outlineLevel="0" collapsed="false">
      <c r="A493" s="4" t="n">
        <v>492</v>
      </c>
      <c r="B493" s="5" t="n">
        <f aca="false">IF(OR(C493="სხვა მოდელი წერია",I493&gt;=განმარტება!$B$4),1,IF(OR(C493="ცარიელი",I493&gt;=1),2,IF(H493&gt;=განმარტება!$B$5,3,4)))</f>
        <v>3</v>
      </c>
      <c r="C493" s="6" t="s">
        <v>15</v>
      </c>
      <c r="D493" s="6" t="s">
        <v>2510</v>
      </c>
      <c r="E493" s="7" t="s">
        <v>2511</v>
      </c>
      <c r="F493" s="7" t="n">
        <v>3878</v>
      </c>
      <c r="G493" s="6" t="s">
        <v>402</v>
      </c>
      <c r="H493" s="8" t="n">
        <v>1299</v>
      </c>
      <c r="I493" s="8" t="n">
        <v>0</v>
      </c>
      <c r="J493" s="7" t="n">
        <v>0</v>
      </c>
      <c r="K493" s="9" t="s">
        <v>2512</v>
      </c>
      <c r="L493" s="6" t="s">
        <v>2513</v>
      </c>
      <c r="M493" s="6" t="s">
        <v>2514</v>
      </c>
      <c r="N493" s="10"/>
      <c r="O493" s="4" t="str">
        <f aca="false">IF(N493="","",LEN(N493))</f>
        <v/>
      </c>
    </row>
    <row r="494" customFormat="false" ht="64.5" hidden="false" customHeight="true" outlineLevel="0" collapsed="false">
      <c r="A494" s="4" t="n">
        <v>493</v>
      </c>
      <c r="B494" s="5" t="n">
        <f aca="false">IF(OR(C494="სხვა მოდელი წერია",I494&gt;=განმარტება!$B$4),1,IF(OR(C494="ცარიელი",I494&gt;=1),2,IF(H494&gt;=განმარტება!$B$5,3,4)))</f>
        <v>3</v>
      </c>
      <c r="C494" s="6" t="s">
        <v>15</v>
      </c>
      <c r="D494" s="6" t="s">
        <v>2515</v>
      </c>
      <c r="E494" s="7" t="s">
        <v>2516</v>
      </c>
      <c r="F494" s="7" t="n">
        <v>1484</v>
      </c>
      <c r="G494" s="6" t="s">
        <v>95</v>
      </c>
      <c r="H494" s="8" t="n">
        <v>1299</v>
      </c>
      <c r="I494" s="8" t="n">
        <v>0</v>
      </c>
      <c r="J494" s="7" t="n">
        <v>0</v>
      </c>
      <c r="K494" s="9" t="s">
        <v>2517</v>
      </c>
      <c r="L494" s="6" t="s">
        <v>2518</v>
      </c>
      <c r="M494" s="6" t="s">
        <v>2519</v>
      </c>
      <c r="N494" s="10"/>
      <c r="O494" s="4" t="str">
        <f aca="false">IF(N494="","",LEN(N494))</f>
        <v/>
      </c>
    </row>
    <row r="495" customFormat="false" ht="64.5" hidden="false" customHeight="true" outlineLevel="0" collapsed="false">
      <c r="A495" s="4" t="n">
        <v>494</v>
      </c>
      <c r="B495" s="5" t="n">
        <f aca="false">IF(OR(C495="სხვა მოდელი წერია",I495&gt;=განმარტება!$B$4),1,IF(OR(C495="ცარიელი",I495&gt;=1),2,IF(H495&gt;=განმარტება!$B$5,3,4)))</f>
        <v>3</v>
      </c>
      <c r="C495" s="6" t="s">
        <v>15</v>
      </c>
      <c r="D495" s="6" t="s">
        <v>2520</v>
      </c>
      <c r="E495" s="7" t="s">
        <v>2521</v>
      </c>
      <c r="F495" s="7" t="n">
        <v>3143</v>
      </c>
      <c r="G495" s="6" t="s">
        <v>95</v>
      </c>
      <c r="H495" s="8" t="n">
        <v>1299</v>
      </c>
      <c r="I495" s="8" t="n">
        <v>0</v>
      </c>
      <c r="J495" s="7" t="n">
        <v>0</v>
      </c>
      <c r="K495" s="9" t="s">
        <v>2522</v>
      </c>
      <c r="L495" s="6" t="s">
        <v>2523</v>
      </c>
      <c r="M495" s="6" t="s">
        <v>2524</v>
      </c>
      <c r="N495" s="10"/>
      <c r="O495" s="4" t="str">
        <f aca="false">IF(N495="","",LEN(N495))</f>
        <v/>
      </c>
    </row>
    <row r="496" customFormat="false" ht="39" hidden="false" customHeight="true" outlineLevel="0" collapsed="false">
      <c r="A496" s="4" t="n">
        <v>495</v>
      </c>
      <c r="B496" s="5" t="n">
        <f aca="false">IF(OR(C496="სხვა მოდელი წერია",I496&gt;=განმარტება!$B$4),1,IF(OR(C496="ცარიელი",I496&gt;=1),2,IF(H496&gt;=განმარტება!$B$5,3,4)))</f>
        <v>3</v>
      </c>
      <c r="C496" s="6" t="s">
        <v>15</v>
      </c>
      <c r="D496" s="6" t="s">
        <v>2525</v>
      </c>
      <c r="E496" s="7" t="s">
        <v>2526</v>
      </c>
      <c r="F496" s="7" t="n">
        <v>8902</v>
      </c>
      <c r="G496" s="6" t="s">
        <v>1267</v>
      </c>
      <c r="H496" s="8" t="n">
        <v>1295</v>
      </c>
      <c r="I496" s="8" t="n">
        <v>0</v>
      </c>
      <c r="J496" s="7" t="n">
        <v>0</v>
      </c>
      <c r="K496" s="9" t="s">
        <v>2527</v>
      </c>
      <c r="L496" s="6" t="s">
        <v>2528</v>
      </c>
      <c r="M496" s="6" t="s">
        <v>2529</v>
      </c>
      <c r="N496" s="10"/>
      <c r="O496" s="4" t="str">
        <f aca="false">IF(N496="","",LEN(N496))</f>
        <v/>
      </c>
    </row>
    <row r="497" customFormat="false" ht="39" hidden="false" customHeight="true" outlineLevel="0" collapsed="false">
      <c r="A497" s="4" t="n">
        <v>496</v>
      </c>
      <c r="B497" s="5" t="n">
        <f aca="false">IF(OR(C497="სხვა მოდელი წერია",I497&gt;=განმარტება!$B$4),1,IF(OR(C497="ცარიელი",I497&gt;=1),2,IF(H497&gt;=განმარტება!$B$5,3,4)))</f>
        <v>3</v>
      </c>
      <c r="C497" s="6" t="s">
        <v>15</v>
      </c>
      <c r="D497" s="6" t="s">
        <v>2530</v>
      </c>
      <c r="E497" s="7" t="s">
        <v>2531</v>
      </c>
      <c r="F497" s="7" t="n">
        <v>1296</v>
      </c>
      <c r="G497" s="6" t="s">
        <v>205</v>
      </c>
      <c r="H497" s="8" t="n">
        <v>1287</v>
      </c>
      <c r="I497" s="8" t="n">
        <v>0</v>
      </c>
      <c r="J497" s="7" t="n">
        <v>0</v>
      </c>
      <c r="K497" s="9" t="s">
        <v>2532</v>
      </c>
      <c r="L497" s="6" t="s">
        <v>2533</v>
      </c>
      <c r="M497" s="6" t="s">
        <v>2534</v>
      </c>
      <c r="N497" s="10"/>
      <c r="O497" s="4" t="str">
        <f aca="false">IF(N497="","",LEN(N497))</f>
        <v/>
      </c>
    </row>
    <row r="498" customFormat="false" ht="51.75" hidden="false" customHeight="true" outlineLevel="0" collapsed="false">
      <c r="A498" s="4" t="n">
        <v>497</v>
      </c>
      <c r="B498" s="5" t="n">
        <f aca="false">IF(OR(C498="სხვა მოდელი წერია",I498&gt;=განმარტება!$B$4),1,IF(OR(C498="ცარიელი",I498&gt;=1),2,IF(H498&gt;=განმარტება!$B$5,3,4)))</f>
        <v>3</v>
      </c>
      <c r="C498" s="6" t="s">
        <v>15</v>
      </c>
      <c r="D498" s="6" t="s">
        <v>2535</v>
      </c>
      <c r="E498" s="7" t="s">
        <v>2536</v>
      </c>
      <c r="F498" s="7" t="n">
        <v>1560</v>
      </c>
      <c r="G498" s="6" t="s">
        <v>211</v>
      </c>
      <c r="H498" s="8" t="n">
        <v>1256</v>
      </c>
      <c r="I498" s="8" t="n">
        <v>0</v>
      </c>
      <c r="J498" s="7" t="n">
        <v>0</v>
      </c>
      <c r="K498" s="9" t="s">
        <v>2537</v>
      </c>
      <c r="L498" s="6" t="s">
        <v>2538</v>
      </c>
      <c r="M498" s="6" t="s">
        <v>2539</v>
      </c>
      <c r="N498" s="10"/>
      <c r="O498" s="4" t="str">
        <f aca="false">IF(N498="","",LEN(N498))</f>
        <v/>
      </c>
    </row>
    <row r="499" customFormat="false" ht="39" hidden="false" customHeight="true" outlineLevel="0" collapsed="false">
      <c r="A499" s="4" t="n">
        <v>498</v>
      </c>
      <c r="B499" s="5" t="n">
        <f aca="false">IF(OR(C499="სხვა მოდელი წერია",I499&gt;=განმარტება!$B$4),1,IF(OR(C499="ცარიელი",I499&gt;=1),2,IF(H499&gt;=განმარტება!$B$5,3,4)))</f>
        <v>3</v>
      </c>
      <c r="C499" s="6" t="s">
        <v>316</v>
      </c>
      <c r="D499" s="6" t="s">
        <v>2540</v>
      </c>
      <c r="E499" s="7" t="s">
        <v>2541</v>
      </c>
      <c r="F499" s="7" t="n">
        <v>3198</v>
      </c>
      <c r="G499" s="6" t="s">
        <v>285</v>
      </c>
      <c r="H499" s="8" t="n">
        <v>1249</v>
      </c>
      <c r="I499" s="8" t="n">
        <v>0</v>
      </c>
      <c r="J499" s="7" t="n">
        <v>0</v>
      </c>
      <c r="K499" s="9" t="s">
        <v>2542</v>
      </c>
      <c r="L499" s="6" t="s">
        <v>2543</v>
      </c>
      <c r="M499" s="6" t="s">
        <v>2544</v>
      </c>
      <c r="N499" s="10"/>
      <c r="O499" s="4" t="str">
        <f aca="false">IF(N499="","",LEN(N499))</f>
        <v/>
      </c>
    </row>
    <row r="500" customFormat="false" ht="51.75" hidden="false" customHeight="true" outlineLevel="0" collapsed="false">
      <c r="A500" s="4" t="n">
        <v>499</v>
      </c>
      <c r="B500" s="5" t="n">
        <f aca="false">IF(OR(C500="სხვა მოდელი წერია",I500&gt;=განმარტება!$B$4),1,IF(OR(C500="ცარიელი",I500&gt;=1),2,IF(H500&gt;=განმარტება!$B$5,3,4)))</f>
        <v>3</v>
      </c>
      <c r="C500" s="6" t="s">
        <v>15</v>
      </c>
      <c r="D500" s="6" t="s">
        <v>2545</v>
      </c>
      <c r="E500" s="7" t="s">
        <v>2546</v>
      </c>
      <c r="F500" s="7" t="n">
        <v>3055</v>
      </c>
      <c r="G500" s="6" t="s">
        <v>30</v>
      </c>
      <c r="H500" s="8" t="n">
        <v>1249</v>
      </c>
      <c r="I500" s="8" t="n">
        <v>0</v>
      </c>
      <c r="J500" s="7" t="n">
        <v>0</v>
      </c>
      <c r="K500" s="9" t="s">
        <v>2547</v>
      </c>
      <c r="L500" s="6" t="s">
        <v>2548</v>
      </c>
      <c r="M500" s="6" t="s">
        <v>2549</v>
      </c>
      <c r="N500" s="10"/>
      <c r="O500" s="4" t="str">
        <f aca="false">IF(N500="","",LEN(N500))</f>
        <v/>
      </c>
    </row>
    <row r="501" customFormat="false" ht="51.75" hidden="false" customHeight="true" outlineLevel="0" collapsed="false">
      <c r="A501" s="4" t="n">
        <v>500</v>
      </c>
      <c r="B501" s="5" t="n">
        <f aca="false">IF(OR(C501="სხვა მოდელი წერია",I501&gt;=განმარტება!$B$4),1,IF(OR(C501="ცარიელი",I501&gt;=1),2,IF(H501&gt;=განმარტება!$B$5,3,4)))</f>
        <v>3</v>
      </c>
      <c r="C501" s="6" t="s">
        <v>15</v>
      </c>
      <c r="D501" s="6" t="s">
        <v>2550</v>
      </c>
      <c r="E501" s="7" t="s">
        <v>2551</v>
      </c>
      <c r="F501" s="7" t="n">
        <v>970</v>
      </c>
      <c r="G501" s="6" t="s">
        <v>211</v>
      </c>
      <c r="H501" s="8" t="n">
        <v>1249</v>
      </c>
      <c r="I501" s="8" t="n">
        <v>0</v>
      </c>
      <c r="J501" s="7" t="n">
        <v>0</v>
      </c>
      <c r="K501" s="9" t="s">
        <v>2552</v>
      </c>
      <c r="L501" s="6" t="s">
        <v>2553</v>
      </c>
      <c r="M501" s="6" t="s">
        <v>2554</v>
      </c>
      <c r="N501" s="10"/>
      <c r="O501" s="4" t="str">
        <f aca="false">IF(N501="","",LEN(N501))</f>
        <v/>
      </c>
    </row>
    <row r="502" customFormat="false" ht="51.75" hidden="false" customHeight="true" outlineLevel="0" collapsed="false">
      <c r="A502" s="4" t="n">
        <v>501</v>
      </c>
      <c r="B502" s="5" t="n">
        <f aca="false">IF(OR(C502="სხვა მოდელი წერია",I502&gt;=განმარტება!$B$4),1,IF(OR(C502="ცარიელი",I502&gt;=1),2,IF(H502&gt;=განმარტება!$B$5,3,4)))</f>
        <v>3</v>
      </c>
      <c r="C502" s="6" t="s">
        <v>15</v>
      </c>
      <c r="D502" s="6" t="s">
        <v>2555</v>
      </c>
      <c r="E502" s="7" t="s">
        <v>2556</v>
      </c>
      <c r="F502" s="7" t="n">
        <v>966</v>
      </c>
      <c r="G502" s="6" t="s">
        <v>211</v>
      </c>
      <c r="H502" s="8" t="n">
        <v>1249</v>
      </c>
      <c r="I502" s="8" t="n">
        <v>0</v>
      </c>
      <c r="J502" s="7" t="n">
        <v>0</v>
      </c>
      <c r="K502" s="9" t="s">
        <v>2557</v>
      </c>
      <c r="L502" s="6" t="s">
        <v>2558</v>
      </c>
      <c r="M502" s="6" t="s">
        <v>2559</v>
      </c>
      <c r="N502" s="10"/>
      <c r="O502" s="4" t="str">
        <f aca="false">IF(N502="","",LEN(N502))</f>
        <v/>
      </c>
    </row>
    <row r="503" customFormat="false" ht="39" hidden="false" customHeight="true" outlineLevel="0" collapsed="false">
      <c r="A503" s="4" t="n">
        <v>502</v>
      </c>
      <c r="B503" s="5" t="n">
        <f aca="false">IF(OR(C503="სხვა მოდელი წერია",I503&gt;=განმარტება!$B$4),1,IF(OR(C503="ცარიელი",I503&gt;=1),2,IF(H503&gt;=განმარტება!$B$5,3,4)))</f>
        <v>3</v>
      </c>
      <c r="C503" s="6" t="s">
        <v>15</v>
      </c>
      <c r="D503" s="6" t="s">
        <v>2560</v>
      </c>
      <c r="E503" s="7" t="s">
        <v>2561</v>
      </c>
      <c r="F503" s="7" t="n">
        <v>1760</v>
      </c>
      <c r="G503" s="6" t="s">
        <v>402</v>
      </c>
      <c r="H503" s="8" t="n">
        <v>1249</v>
      </c>
      <c r="I503" s="8" t="n">
        <v>0</v>
      </c>
      <c r="J503" s="7" t="n">
        <v>0</v>
      </c>
      <c r="K503" s="9" t="s">
        <v>2562</v>
      </c>
      <c r="L503" s="6" t="s">
        <v>2563</v>
      </c>
      <c r="M503" s="6" t="s">
        <v>2564</v>
      </c>
      <c r="N503" s="10"/>
      <c r="O503" s="4" t="str">
        <f aca="false">IF(N503="","",LEN(N503))</f>
        <v/>
      </c>
    </row>
    <row r="504" customFormat="false" ht="39" hidden="false" customHeight="true" outlineLevel="0" collapsed="false">
      <c r="A504" s="4" t="n">
        <v>503</v>
      </c>
      <c r="B504" s="5" t="n">
        <f aca="false">IF(OR(C504="სხვა მოდელი წერია",I504&gt;=განმარტება!$B$4),1,IF(OR(C504="ცარიელი",I504&gt;=1),2,IF(H504&gt;=განმარტება!$B$5,3,4)))</f>
        <v>3</v>
      </c>
      <c r="C504" s="6" t="s">
        <v>15</v>
      </c>
      <c r="D504" s="6" t="s">
        <v>2565</v>
      </c>
      <c r="E504" s="7" t="s">
        <v>2566</v>
      </c>
      <c r="F504" s="7" t="n">
        <v>4008</v>
      </c>
      <c r="G504" s="6" t="s">
        <v>205</v>
      </c>
      <c r="H504" s="8" t="n">
        <v>1249</v>
      </c>
      <c r="I504" s="8" t="n">
        <v>0</v>
      </c>
      <c r="J504" s="7" t="n">
        <v>0</v>
      </c>
      <c r="K504" s="9" t="s">
        <v>2567</v>
      </c>
      <c r="L504" s="6" t="s">
        <v>2568</v>
      </c>
      <c r="M504" s="6" t="s">
        <v>2569</v>
      </c>
      <c r="N504" s="10"/>
      <c r="O504" s="4" t="str">
        <f aca="false">IF(N504="","",LEN(N504))</f>
        <v/>
      </c>
    </row>
    <row r="505" customFormat="false" ht="39" hidden="false" customHeight="true" outlineLevel="0" collapsed="false">
      <c r="A505" s="4" t="n">
        <v>504</v>
      </c>
      <c r="B505" s="5" t="n">
        <f aca="false">IF(OR(C505="სხვა მოდელი წერია",I505&gt;=განმარტება!$B$4),1,IF(OR(C505="ცარიელი",I505&gt;=1),2,IF(H505&gt;=განმარტება!$B$5,3,4)))</f>
        <v>3</v>
      </c>
      <c r="C505" s="6" t="s">
        <v>15</v>
      </c>
      <c r="D505" s="6" t="s">
        <v>2570</v>
      </c>
      <c r="E505" s="7" t="s">
        <v>2571</v>
      </c>
      <c r="F505" s="7" t="n">
        <v>510</v>
      </c>
      <c r="G505" s="6" t="s">
        <v>24</v>
      </c>
      <c r="H505" s="8" t="n">
        <v>1239</v>
      </c>
      <c r="I505" s="8" t="n">
        <v>0</v>
      </c>
      <c r="J505" s="7" t="n">
        <v>0</v>
      </c>
      <c r="K505" s="9" t="s">
        <v>2572</v>
      </c>
      <c r="L505" s="6" t="s">
        <v>2573</v>
      </c>
      <c r="M505" s="6" t="s">
        <v>2574</v>
      </c>
      <c r="N505" s="10"/>
      <c r="O505" s="4" t="str">
        <f aca="false">IF(N505="","",LEN(N505))</f>
        <v/>
      </c>
    </row>
    <row r="506" customFormat="false" ht="39" hidden="false" customHeight="true" outlineLevel="0" collapsed="false">
      <c r="A506" s="4" t="n">
        <v>505</v>
      </c>
      <c r="B506" s="5" t="n">
        <f aca="false">IF(OR(C506="სხვა მოდელი წერია",I506&gt;=განმარტება!$B$4),1,IF(OR(C506="ცარიელი",I506&gt;=1),2,IF(H506&gt;=განმარტება!$B$5,3,4)))</f>
        <v>3</v>
      </c>
      <c r="C506" s="6" t="s">
        <v>15</v>
      </c>
      <c r="D506" s="6" t="s">
        <v>2575</v>
      </c>
      <c r="E506" s="7" t="s">
        <v>2576</v>
      </c>
      <c r="F506" s="7" t="n">
        <v>1415</v>
      </c>
      <c r="G506" s="6" t="s">
        <v>24</v>
      </c>
      <c r="H506" s="8" t="n">
        <v>1237</v>
      </c>
      <c r="I506" s="8" t="n">
        <v>0</v>
      </c>
      <c r="J506" s="7" t="n">
        <v>0</v>
      </c>
      <c r="K506" s="9" t="s">
        <v>2577</v>
      </c>
      <c r="L506" s="6" t="s">
        <v>2578</v>
      </c>
      <c r="M506" s="6" t="s">
        <v>2579</v>
      </c>
      <c r="N506" s="10"/>
      <c r="O506" s="4" t="str">
        <f aca="false">IF(N506="","",LEN(N506))</f>
        <v/>
      </c>
    </row>
    <row r="507" customFormat="false" ht="51.75" hidden="false" customHeight="true" outlineLevel="0" collapsed="false">
      <c r="A507" s="4" t="n">
        <v>506</v>
      </c>
      <c r="B507" s="5" t="n">
        <f aca="false">IF(OR(C507="სხვა მოდელი წერია",I507&gt;=განმარტება!$B$4),1,IF(OR(C507="ცარიელი",I507&gt;=1),2,IF(H507&gt;=განმარტება!$B$5,3,4)))</f>
        <v>3</v>
      </c>
      <c r="C507" s="6" t="s">
        <v>15</v>
      </c>
      <c r="D507" s="6" t="s">
        <v>2580</v>
      </c>
      <c r="E507" s="7" t="s">
        <v>2581</v>
      </c>
      <c r="F507" s="7" t="n">
        <v>889</v>
      </c>
      <c r="G507" s="6" t="s">
        <v>211</v>
      </c>
      <c r="H507" s="8" t="n">
        <v>1229</v>
      </c>
      <c r="I507" s="8" t="n">
        <v>0</v>
      </c>
      <c r="J507" s="7" t="n">
        <v>0</v>
      </c>
      <c r="K507" s="9" t="s">
        <v>2582</v>
      </c>
      <c r="L507" s="6" t="s">
        <v>2583</v>
      </c>
      <c r="M507" s="6" t="s">
        <v>2584</v>
      </c>
      <c r="N507" s="10"/>
      <c r="O507" s="4" t="str">
        <f aca="false">IF(N507="","",LEN(N507))</f>
        <v/>
      </c>
    </row>
    <row r="508" customFormat="false" ht="39" hidden="false" customHeight="true" outlineLevel="0" collapsed="false">
      <c r="A508" s="4" t="n">
        <v>507</v>
      </c>
      <c r="B508" s="5" t="n">
        <f aca="false">IF(OR(C508="სხვა მოდელი წერია",I508&gt;=განმარტება!$B$4),1,IF(OR(C508="ცარიელი",I508&gt;=1),2,IF(H508&gt;=განმარტება!$B$5,3,4)))</f>
        <v>3</v>
      </c>
      <c r="C508" s="6" t="s">
        <v>15</v>
      </c>
      <c r="D508" s="6" t="s">
        <v>2585</v>
      </c>
      <c r="E508" s="7" t="s">
        <v>2586</v>
      </c>
      <c r="F508" s="7" t="n">
        <v>158</v>
      </c>
      <c r="G508" s="6" t="s">
        <v>205</v>
      </c>
      <c r="H508" s="8" t="n">
        <v>1229</v>
      </c>
      <c r="I508" s="8" t="n">
        <v>0</v>
      </c>
      <c r="J508" s="7" t="n">
        <v>0</v>
      </c>
      <c r="K508" s="9" t="s">
        <v>2587</v>
      </c>
      <c r="L508" s="6" t="s">
        <v>2588</v>
      </c>
      <c r="M508" s="6" t="s">
        <v>2589</v>
      </c>
      <c r="N508" s="10"/>
      <c r="O508" s="4" t="str">
        <f aca="false">IF(N508="","",LEN(N508))</f>
        <v/>
      </c>
    </row>
    <row r="509" customFormat="false" ht="39" hidden="false" customHeight="true" outlineLevel="0" collapsed="false">
      <c r="A509" s="4" t="n">
        <v>508</v>
      </c>
      <c r="B509" s="5" t="n">
        <f aca="false">IF(OR(C509="სხვა მოდელი წერია",I509&gt;=განმარტება!$B$4),1,IF(OR(C509="ცარიელი",I509&gt;=1),2,IF(H509&gt;=განმარტება!$B$5,3,4)))</f>
        <v>3</v>
      </c>
      <c r="C509" s="6" t="s">
        <v>15</v>
      </c>
      <c r="D509" s="6" t="s">
        <v>2590</v>
      </c>
      <c r="E509" s="7" t="s">
        <v>2591</v>
      </c>
      <c r="F509" s="7" t="n">
        <v>170</v>
      </c>
      <c r="G509" s="6" t="s">
        <v>205</v>
      </c>
      <c r="H509" s="8" t="n">
        <v>1229</v>
      </c>
      <c r="I509" s="8" t="n">
        <v>0</v>
      </c>
      <c r="J509" s="7" t="n">
        <v>0</v>
      </c>
      <c r="K509" s="9" t="s">
        <v>2592</v>
      </c>
      <c r="L509" s="6" t="s">
        <v>2593</v>
      </c>
      <c r="M509" s="6" t="s">
        <v>2594</v>
      </c>
      <c r="N509" s="10"/>
      <c r="O509" s="4" t="str">
        <f aca="false">IF(N509="","",LEN(N509))</f>
        <v/>
      </c>
    </row>
    <row r="510" customFormat="false" ht="39" hidden="false" customHeight="true" outlineLevel="0" collapsed="false">
      <c r="A510" s="4" t="n">
        <v>509</v>
      </c>
      <c r="B510" s="5" t="n">
        <f aca="false">IF(OR(C510="სხვა მოდელი წერია",I510&gt;=განმარტება!$B$4),1,IF(OR(C510="ცარიელი",I510&gt;=1),2,IF(H510&gt;=განმარტება!$B$5,3,4)))</f>
        <v>3</v>
      </c>
      <c r="C510" s="6" t="s">
        <v>15</v>
      </c>
      <c r="D510" s="6" t="s">
        <v>2595</v>
      </c>
      <c r="E510" s="7" t="s">
        <v>2596</v>
      </c>
      <c r="F510" s="7" t="n">
        <v>1019</v>
      </c>
      <c r="G510" s="6" t="s">
        <v>118</v>
      </c>
      <c r="H510" s="8" t="n">
        <v>1200</v>
      </c>
      <c r="I510" s="8" t="n">
        <v>0</v>
      </c>
      <c r="J510" s="7" t="n">
        <v>0</v>
      </c>
      <c r="K510" s="9" t="s">
        <v>2597</v>
      </c>
      <c r="L510" s="6" t="s">
        <v>2598</v>
      </c>
      <c r="M510" s="6" t="s">
        <v>2599</v>
      </c>
      <c r="N510" s="10"/>
      <c r="O510" s="4" t="str">
        <f aca="false">IF(N510="","",LEN(N510))</f>
        <v/>
      </c>
    </row>
    <row r="511" customFormat="false" ht="39" hidden="false" customHeight="true" outlineLevel="0" collapsed="false">
      <c r="A511" s="4" t="n">
        <v>510</v>
      </c>
      <c r="B511" s="5" t="n">
        <f aca="false">IF(OR(C511="სხვა მოდელი წერია",I511&gt;=განმარტება!$B$4),1,IF(OR(C511="ცარიელი",I511&gt;=1),2,IF(H511&gt;=განმარტება!$B$5,3,4)))</f>
        <v>3</v>
      </c>
      <c r="C511" s="6" t="s">
        <v>15</v>
      </c>
      <c r="D511" s="6" t="s">
        <v>2600</v>
      </c>
      <c r="E511" s="7" t="s">
        <v>2601</v>
      </c>
      <c r="F511" s="7" t="n">
        <v>1094</v>
      </c>
      <c r="G511" s="6" t="s">
        <v>112</v>
      </c>
      <c r="H511" s="8" t="n">
        <v>1200</v>
      </c>
      <c r="I511" s="8" t="n">
        <v>0</v>
      </c>
      <c r="J511" s="7" t="n">
        <v>0</v>
      </c>
      <c r="K511" s="9" t="s">
        <v>2602</v>
      </c>
      <c r="L511" s="6" t="s">
        <v>2603</v>
      </c>
      <c r="M511" s="6" t="s">
        <v>2604</v>
      </c>
      <c r="N511" s="10"/>
      <c r="O511" s="4" t="str">
        <f aca="false">IF(N511="","",LEN(N511))</f>
        <v/>
      </c>
    </row>
    <row r="512" customFormat="false" ht="39" hidden="false" customHeight="true" outlineLevel="0" collapsed="false">
      <c r="A512" s="4" t="n">
        <v>511</v>
      </c>
      <c r="B512" s="5" t="n">
        <f aca="false">IF(OR(C512="სხვა მოდელი წერია",I512&gt;=განმარტება!$B$4),1,IF(OR(C512="ცარიელი",I512&gt;=1),2,IF(H512&gt;=განმარტება!$B$5,3,4)))</f>
        <v>3</v>
      </c>
      <c r="C512" s="6" t="s">
        <v>15</v>
      </c>
      <c r="D512" s="6" t="s">
        <v>2605</v>
      </c>
      <c r="E512" s="7" t="s">
        <v>2606</v>
      </c>
      <c r="F512" s="7" t="n">
        <v>2011</v>
      </c>
      <c r="G512" s="6" t="s">
        <v>1994</v>
      </c>
      <c r="H512" s="8" t="n">
        <v>1199</v>
      </c>
      <c r="I512" s="8" t="n">
        <v>0</v>
      </c>
      <c r="J512" s="7" t="n">
        <v>0</v>
      </c>
      <c r="K512" s="9" t="s">
        <v>2607</v>
      </c>
      <c r="L512" s="6" t="s">
        <v>2608</v>
      </c>
      <c r="M512" s="6" t="s">
        <v>2609</v>
      </c>
      <c r="N512" s="10"/>
      <c r="O512" s="4" t="str">
        <f aca="false">IF(N512="","",LEN(N512))</f>
        <v/>
      </c>
    </row>
    <row r="513" customFormat="false" ht="51.75" hidden="false" customHeight="true" outlineLevel="0" collapsed="false">
      <c r="A513" s="4" t="n">
        <v>512</v>
      </c>
      <c r="B513" s="5" t="n">
        <f aca="false">IF(OR(C513="სხვა მოდელი წერია",I513&gt;=განმარტება!$B$4),1,IF(OR(C513="ცარიელი",I513&gt;=1),2,IF(H513&gt;=განმარტება!$B$5,3,4)))</f>
        <v>3</v>
      </c>
      <c r="C513" s="6" t="s">
        <v>316</v>
      </c>
      <c r="D513" s="6" t="s">
        <v>2610</v>
      </c>
      <c r="E513" s="7" t="s">
        <v>2611</v>
      </c>
      <c r="F513" s="7" t="n">
        <v>3222</v>
      </c>
      <c r="G513" s="6" t="s">
        <v>285</v>
      </c>
      <c r="H513" s="8" t="n">
        <v>1199</v>
      </c>
      <c r="I513" s="8" t="n">
        <v>0</v>
      </c>
      <c r="J513" s="7" t="n">
        <v>0</v>
      </c>
      <c r="K513" s="9" t="s">
        <v>2612</v>
      </c>
      <c r="L513" s="6" t="s">
        <v>2613</v>
      </c>
      <c r="M513" s="6" t="s">
        <v>2614</v>
      </c>
      <c r="N513" s="10"/>
      <c r="O513" s="4" t="str">
        <f aca="false">IF(N513="","",LEN(N513))</f>
        <v/>
      </c>
    </row>
    <row r="514" customFormat="false" ht="39" hidden="false" customHeight="true" outlineLevel="0" collapsed="false">
      <c r="A514" s="4" t="n">
        <v>513</v>
      </c>
      <c r="B514" s="5" t="n">
        <f aca="false">IF(OR(C514="სხვა მოდელი წერია",I514&gt;=განმარტება!$B$4),1,IF(OR(C514="ცარიელი",I514&gt;=1),2,IF(H514&gt;=განმარტება!$B$5,3,4)))</f>
        <v>3</v>
      </c>
      <c r="C514" s="6" t="s">
        <v>15</v>
      </c>
      <c r="D514" s="6" t="s">
        <v>2615</v>
      </c>
      <c r="E514" s="7" t="s">
        <v>2616</v>
      </c>
      <c r="F514" s="7" t="n">
        <v>1603</v>
      </c>
      <c r="G514" s="6" t="s">
        <v>285</v>
      </c>
      <c r="H514" s="8" t="n">
        <v>1199</v>
      </c>
      <c r="I514" s="8" t="n">
        <v>0</v>
      </c>
      <c r="J514" s="7" t="n">
        <v>0</v>
      </c>
      <c r="K514" s="9" t="s">
        <v>2617</v>
      </c>
      <c r="L514" s="6" t="s">
        <v>2618</v>
      </c>
      <c r="M514" s="6" t="s">
        <v>2619</v>
      </c>
      <c r="N514" s="10"/>
      <c r="O514" s="4" t="str">
        <f aca="false">IF(N514="","",LEN(N514))</f>
        <v/>
      </c>
    </row>
    <row r="515" customFormat="false" ht="39" hidden="false" customHeight="true" outlineLevel="0" collapsed="false">
      <c r="A515" s="4" t="n">
        <v>514</v>
      </c>
      <c r="B515" s="5" t="n">
        <f aca="false">IF(OR(C515="სხვა მოდელი წერია",I515&gt;=განმარტება!$B$4),1,IF(OR(C515="ცარიელი",I515&gt;=1),2,IF(H515&gt;=განმარტება!$B$5,3,4)))</f>
        <v>3</v>
      </c>
      <c r="C515" s="6" t="s">
        <v>15</v>
      </c>
      <c r="D515" s="6" t="s">
        <v>2620</v>
      </c>
      <c r="E515" s="7" t="s">
        <v>2621</v>
      </c>
      <c r="F515" s="7" t="n">
        <v>2044</v>
      </c>
      <c r="G515" s="6" t="s">
        <v>112</v>
      </c>
      <c r="H515" s="8" t="n">
        <v>1199</v>
      </c>
      <c r="I515" s="8" t="n">
        <v>0</v>
      </c>
      <c r="J515" s="7" t="n">
        <v>0</v>
      </c>
      <c r="K515" s="9" t="s">
        <v>2622</v>
      </c>
      <c r="L515" s="6" t="s">
        <v>2623</v>
      </c>
      <c r="M515" s="6" t="s">
        <v>2624</v>
      </c>
      <c r="N515" s="10"/>
      <c r="O515" s="4" t="str">
        <f aca="false">IF(N515="","",LEN(N515))</f>
        <v/>
      </c>
    </row>
    <row r="516" customFormat="false" ht="39" hidden="false" customHeight="true" outlineLevel="0" collapsed="false">
      <c r="A516" s="4" t="n">
        <v>515</v>
      </c>
      <c r="B516" s="5" t="n">
        <f aca="false">IF(OR(C516="სხვა მოდელი წერია",I516&gt;=განმარტება!$B$4),1,IF(OR(C516="ცარიელი",I516&gt;=1),2,IF(H516&gt;=განმარტება!$B$5,3,4)))</f>
        <v>3</v>
      </c>
      <c r="C516" s="6" t="s">
        <v>15</v>
      </c>
      <c r="D516" s="6" t="s">
        <v>2625</v>
      </c>
      <c r="E516" s="7" t="s">
        <v>2626</v>
      </c>
      <c r="F516" s="7" t="n">
        <v>555</v>
      </c>
      <c r="G516" s="6" t="s">
        <v>24</v>
      </c>
      <c r="H516" s="8" t="n">
        <v>1199</v>
      </c>
      <c r="I516" s="8" t="n">
        <v>0</v>
      </c>
      <c r="J516" s="7" t="n">
        <v>0</v>
      </c>
      <c r="K516" s="9" t="s">
        <v>2627</v>
      </c>
      <c r="L516" s="6" t="s">
        <v>2628</v>
      </c>
      <c r="M516" s="6" t="s">
        <v>2629</v>
      </c>
      <c r="N516" s="10"/>
      <c r="O516" s="4" t="str">
        <f aca="false">IF(N516="","",LEN(N516))</f>
        <v/>
      </c>
    </row>
    <row r="517" customFormat="false" ht="51.75" hidden="false" customHeight="true" outlineLevel="0" collapsed="false">
      <c r="A517" s="4" t="n">
        <v>516</v>
      </c>
      <c r="B517" s="5" t="n">
        <f aca="false">IF(OR(C517="სხვა მოდელი წერია",I517&gt;=განმარტება!$B$4),1,IF(OR(C517="ცარიელი",I517&gt;=1),2,IF(H517&gt;=განმარტება!$B$5,3,4)))</f>
        <v>3</v>
      </c>
      <c r="C517" s="6" t="s">
        <v>15</v>
      </c>
      <c r="D517" s="6" t="s">
        <v>2630</v>
      </c>
      <c r="E517" s="7" t="s">
        <v>2631</v>
      </c>
      <c r="F517" s="7" t="n">
        <v>3030</v>
      </c>
      <c r="G517" s="6" t="s">
        <v>30</v>
      </c>
      <c r="H517" s="8" t="n">
        <v>1199</v>
      </c>
      <c r="I517" s="8" t="n">
        <v>0</v>
      </c>
      <c r="J517" s="7" t="n">
        <v>0</v>
      </c>
      <c r="K517" s="9" t="s">
        <v>2632</v>
      </c>
      <c r="L517" s="6" t="s">
        <v>2633</v>
      </c>
      <c r="M517" s="6" t="s">
        <v>2634</v>
      </c>
      <c r="N517" s="10"/>
      <c r="O517" s="4" t="str">
        <f aca="false">IF(N517="","",LEN(N517))</f>
        <v/>
      </c>
    </row>
    <row r="518" customFormat="false" ht="51.75" hidden="false" customHeight="true" outlineLevel="0" collapsed="false">
      <c r="A518" s="4" t="n">
        <v>517</v>
      </c>
      <c r="B518" s="5" t="n">
        <f aca="false">IF(OR(C518="სხვა მოდელი წერია",I518&gt;=განმარტება!$B$4),1,IF(OR(C518="ცარიელი",I518&gt;=1),2,IF(H518&gt;=განმარტება!$B$5,3,4)))</f>
        <v>3</v>
      </c>
      <c r="C518" s="6" t="s">
        <v>15</v>
      </c>
      <c r="D518" s="6" t="s">
        <v>2635</v>
      </c>
      <c r="E518" s="7" t="s">
        <v>2636</v>
      </c>
      <c r="F518" s="7" t="n">
        <v>1394</v>
      </c>
      <c r="G518" s="6" t="s">
        <v>211</v>
      </c>
      <c r="H518" s="8" t="n">
        <v>1199</v>
      </c>
      <c r="I518" s="8" t="n">
        <v>0</v>
      </c>
      <c r="J518" s="7" t="n">
        <v>0</v>
      </c>
      <c r="K518" s="9" t="s">
        <v>2637</v>
      </c>
      <c r="L518" s="6" t="s">
        <v>2638</v>
      </c>
      <c r="M518" s="6" t="s">
        <v>2639</v>
      </c>
      <c r="N518" s="10"/>
      <c r="O518" s="4" t="str">
        <f aca="false">IF(N518="","",LEN(N518))</f>
        <v/>
      </c>
    </row>
    <row r="519" customFormat="false" ht="51.75" hidden="false" customHeight="true" outlineLevel="0" collapsed="false">
      <c r="A519" s="4" t="n">
        <v>518</v>
      </c>
      <c r="B519" s="5" t="n">
        <f aca="false">IF(OR(C519="სხვა მოდელი წერია",I519&gt;=განმარტება!$B$4),1,IF(OR(C519="ცარიელი",I519&gt;=1),2,IF(H519&gt;=განმარტება!$B$5,3,4)))</f>
        <v>3</v>
      </c>
      <c r="C519" s="6" t="s">
        <v>15</v>
      </c>
      <c r="D519" s="6" t="s">
        <v>2640</v>
      </c>
      <c r="E519" s="7" t="s">
        <v>2641</v>
      </c>
      <c r="F519" s="7" t="n">
        <v>3133</v>
      </c>
      <c r="G519" s="6" t="s">
        <v>211</v>
      </c>
      <c r="H519" s="8" t="n">
        <v>1199</v>
      </c>
      <c r="I519" s="8" t="n">
        <v>0</v>
      </c>
      <c r="J519" s="7" t="n">
        <v>0</v>
      </c>
      <c r="K519" s="9" t="s">
        <v>2642</v>
      </c>
      <c r="L519" s="6" t="s">
        <v>2643</v>
      </c>
      <c r="M519" s="6" t="s">
        <v>2644</v>
      </c>
      <c r="N519" s="10"/>
      <c r="O519" s="4" t="str">
        <f aca="false">IF(N519="","",LEN(N519))</f>
        <v/>
      </c>
    </row>
    <row r="520" customFormat="false" ht="51.75" hidden="false" customHeight="true" outlineLevel="0" collapsed="false">
      <c r="A520" s="4" t="n">
        <v>519</v>
      </c>
      <c r="B520" s="5" t="n">
        <f aca="false">IF(OR(C520="სხვა მოდელი წერია",I520&gt;=განმარტება!$B$4),1,IF(OR(C520="ცარიელი",I520&gt;=1),2,IF(H520&gt;=განმარტება!$B$5,3,4)))</f>
        <v>3</v>
      </c>
      <c r="C520" s="6" t="s">
        <v>15</v>
      </c>
      <c r="D520" s="6" t="s">
        <v>2645</v>
      </c>
      <c r="E520" s="7" t="s">
        <v>2646</v>
      </c>
      <c r="F520" s="7" t="n">
        <v>3162</v>
      </c>
      <c r="G520" s="6" t="s">
        <v>134</v>
      </c>
      <c r="H520" s="8" t="n">
        <v>1199</v>
      </c>
      <c r="I520" s="8" t="n">
        <v>0</v>
      </c>
      <c r="J520" s="7" t="n">
        <v>0</v>
      </c>
      <c r="K520" s="9" t="s">
        <v>2647</v>
      </c>
      <c r="L520" s="6" t="s">
        <v>2648</v>
      </c>
      <c r="M520" s="6" t="s">
        <v>2649</v>
      </c>
      <c r="N520" s="10"/>
      <c r="O520" s="4" t="str">
        <f aca="false">IF(N520="","",LEN(N520))</f>
        <v/>
      </c>
    </row>
    <row r="521" customFormat="false" ht="64.5" hidden="false" customHeight="true" outlineLevel="0" collapsed="false">
      <c r="A521" s="4" t="n">
        <v>520</v>
      </c>
      <c r="B521" s="5" t="n">
        <f aca="false">IF(OR(C521="სხვა მოდელი წერია",I521&gt;=განმარტება!$B$4),1,IF(OR(C521="ცარიელი",I521&gt;=1),2,IF(H521&gt;=განმარტება!$B$5,3,4)))</f>
        <v>3</v>
      </c>
      <c r="C521" s="6" t="s">
        <v>15</v>
      </c>
      <c r="D521" s="6" t="s">
        <v>2650</v>
      </c>
      <c r="E521" s="7" t="s">
        <v>2651</v>
      </c>
      <c r="F521" s="7" t="n">
        <v>3985</v>
      </c>
      <c r="G521" s="6" t="s">
        <v>95</v>
      </c>
      <c r="H521" s="8" t="n">
        <v>1199</v>
      </c>
      <c r="I521" s="8" t="n">
        <v>0</v>
      </c>
      <c r="J521" s="7" t="n">
        <v>0</v>
      </c>
      <c r="K521" s="9" t="s">
        <v>2652</v>
      </c>
      <c r="L521" s="6" t="s">
        <v>2653</v>
      </c>
      <c r="M521" s="6" t="s">
        <v>2654</v>
      </c>
      <c r="N521" s="10"/>
      <c r="O521" s="4" t="str">
        <f aca="false">IF(N521="","",LEN(N521))</f>
        <v/>
      </c>
    </row>
    <row r="522" customFormat="false" ht="51.75" hidden="false" customHeight="true" outlineLevel="0" collapsed="false">
      <c r="A522" s="4" t="n">
        <v>521</v>
      </c>
      <c r="B522" s="5" t="n">
        <f aca="false">IF(OR(C522="სხვა მოდელი წერია",I522&gt;=განმარტება!$B$4),1,IF(OR(C522="ცარიელი",I522&gt;=1),2,IF(H522&gt;=განმარტება!$B$5,3,4)))</f>
        <v>3</v>
      </c>
      <c r="C522" s="6" t="s">
        <v>15</v>
      </c>
      <c r="D522" s="6" t="s">
        <v>2655</v>
      </c>
      <c r="E522" s="7" t="s">
        <v>2656</v>
      </c>
      <c r="F522" s="7" t="n">
        <v>2911</v>
      </c>
      <c r="G522" s="6" t="s">
        <v>48</v>
      </c>
      <c r="H522" s="8" t="n">
        <v>1199</v>
      </c>
      <c r="I522" s="8" t="n">
        <v>0</v>
      </c>
      <c r="J522" s="7" t="n">
        <v>0</v>
      </c>
      <c r="K522" s="9" t="s">
        <v>2657</v>
      </c>
      <c r="L522" s="6" t="s">
        <v>2658</v>
      </c>
      <c r="M522" s="6" t="s">
        <v>2659</v>
      </c>
      <c r="N522" s="10"/>
      <c r="O522" s="4" t="str">
        <f aca="false">IF(N522="","",LEN(N522))</f>
        <v/>
      </c>
    </row>
    <row r="523" customFormat="false" ht="51.75" hidden="false" customHeight="true" outlineLevel="0" collapsed="false">
      <c r="A523" s="4" t="n">
        <v>522</v>
      </c>
      <c r="B523" s="5" t="n">
        <f aca="false">IF(OR(C523="სხვა მოდელი წერია",I523&gt;=განმარტება!$B$4),1,IF(OR(C523="ცარიელი",I523&gt;=1),2,IF(H523&gt;=განმარტება!$B$5,3,4)))</f>
        <v>3</v>
      </c>
      <c r="C523" s="6" t="s">
        <v>15</v>
      </c>
      <c r="D523" s="6" t="s">
        <v>2660</v>
      </c>
      <c r="E523" s="7" t="s">
        <v>2661</v>
      </c>
      <c r="F523" s="7" t="n">
        <v>3142</v>
      </c>
      <c r="G523" s="6" t="s">
        <v>48</v>
      </c>
      <c r="H523" s="8" t="n">
        <v>1199</v>
      </c>
      <c r="I523" s="8" t="n">
        <v>0</v>
      </c>
      <c r="J523" s="7" t="n">
        <v>0</v>
      </c>
      <c r="K523" s="9" t="s">
        <v>2662</v>
      </c>
      <c r="L523" s="6" t="s">
        <v>2663</v>
      </c>
      <c r="M523" s="6" t="s">
        <v>2664</v>
      </c>
      <c r="N523" s="10"/>
      <c r="O523" s="4" t="str">
        <f aca="false">IF(N523="","",LEN(N523))</f>
        <v/>
      </c>
    </row>
    <row r="524" customFormat="false" ht="51.75" hidden="false" customHeight="true" outlineLevel="0" collapsed="false">
      <c r="A524" s="4" t="n">
        <v>523</v>
      </c>
      <c r="B524" s="5" t="n">
        <f aca="false">IF(OR(C524="სხვა მოდელი წერია",I524&gt;=განმარტება!$B$4),1,IF(OR(C524="ცარიელი",I524&gt;=1),2,IF(H524&gt;=განმარტება!$B$5,3,4)))</f>
        <v>3</v>
      </c>
      <c r="C524" s="6" t="s">
        <v>15</v>
      </c>
      <c r="D524" s="6" t="s">
        <v>2665</v>
      </c>
      <c r="E524" s="7" t="s">
        <v>2666</v>
      </c>
      <c r="F524" s="7" t="n">
        <v>851</v>
      </c>
      <c r="G524" s="6" t="s">
        <v>48</v>
      </c>
      <c r="H524" s="8" t="n">
        <v>1199</v>
      </c>
      <c r="I524" s="8" t="n">
        <v>0</v>
      </c>
      <c r="J524" s="7" t="n">
        <v>0</v>
      </c>
      <c r="K524" s="9" t="s">
        <v>2667</v>
      </c>
      <c r="L524" s="6" t="s">
        <v>2668</v>
      </c>
      <c r="M524" s="6" t="s">
        <v>2669</v>
      </c>
      <c r="N524" s="10"/>
      <c r="O524" s="4" t="str">
        <f aca="false">IF(N524="","",LEN(N524))</f>
        <v/>
      </c>
    </row>
    <row r="525" customFormat="false" ht="51.75" hidden="false" customHeight="true" outlineLevel="0" collapsed="false">
      <c r="A525" s="4" t="n">
        <v>524</v>
      </c>
      <c r="B525" s="5" t="n">
        <f aca="false">IF(OR(C525="სხვა მოდელი წერია",I525&gt;=განმარტება!$B$4),1,IF(OR(C525="ცარიელი",I525&gt;=1),2,IF(H525&gt;=განმარტება!$B$5,3,4)))</f>
        <v>3</v>
      </c>
      <c r="C525" s="6" t="s">
        <v>15</v>
      </c>
      <c r="D525" s="6" t="s">
        <v>2670</v>
      </c>
      <c r="E525" s="7" t="s">
        <v>2671</v>
      </c>
      <c r="F525" s="7" t="n">
        <v>1474</v>
      </c>
      <c r="G525" s="6" t="s">
        <v>693</v>
      </c>
      <c r="H525" s="8" t="n">
        <v>1189</v>
      </c>
      <c r="I525" s="8" t="n">
        <v>0</v>
      </c>
      <c r="J525" s="7" t="n">
        <v>0</v>
      </c>
      <c r="K525" s="9" t="s">
        <v>2672</v>
      </c>
      <c r="L525" s="6" t="s">
        <v>2673</v>
      </c>
      <c r="M525" s="6" t="s">
        <v>2674</v>
      </c>
      <c r="N525" s="10"/>
      <c r="O525" s="4" t="str">
        <f aca="false">IF(N525="","",LEN(N525))</f>
        <v/>
      </c>
    </row>
    <row r="526" customFormat="false" ht="39" hidden="false" customHeight="true" outlineLevel="0" collapsed="false">
      <c r="A526" s="4" t="n">
        <v>525</v>
      </c>
      <c r="B526" s="5" t="n">
        <f aca="false">IF(OR(C526="სხვა მოდელი წერია",I526&gt;=განმარტება!$B$4),1,IF(OR(C526="ცარიელი",I526&gt;=1),2,IF(H526&gt;=განმარტება!$B$5,3,4)))</f>
        <v>3</v>
      </c>
      <c r="C526" s="6" t="s">
        <v>15</v>
      </c>
      <c r="D526" s="6" t="s">
        <v>2675</v>
      </c>
      <c r="E526" s="7" t="s">
        <v>2676</v>
      </c>
      <c r="F526" s="7" t="n">
        <v>618</v>
      </c>
      <c r="G526" s="6" t="s">
        <v>24</v>
      </c>
      <c r="H526" s="8" t="n">
        <v>1187</v>
      </c>
      <c r="I526" s="8" t="n">
        <v>0</v>
      </c>
      <c r="J526" s="7" t="n">
        <v>0</v>
      </c>
      <c r="K526" s="9" t="s">
        <v>2677</v>
      </c>
      <c r="L526" s="6" t="s">
        <v>2678</v>
      </c>
      <c r="M526" s="6" t="s">
        <v>2679</v>
      </c>
      <c r="N526" s="10"/>
      <c r="O526" s="4" t="str">
        <f aca="false">IF(N526="","",LEN(N526))</f>
        <v/>
      </c>
    </row>
    <row r="527" customFormat="false" ht="39" hidden="false" customHeight="true" outlineLevel="0" collapsed="false">
      <c r="A527" s="4" t="n">
        <v>526</v>
      </c>
      <c r="B527" s="5" t="n">
        <f aca="false">IF(OR(C527="სხვა მოდელი წერია",I527&gt;=განმარტება!$B$4),1,IF(OR(C527="ცარიელი",I527&gt;=1),2,IF(H527&gt;=განმარტება!$B$5,3,4)))</f>
        <v>3</v>
      </c>
      <c r="C527" s="6" t="s">
        <v>15</v>
      </c>
      <c r="D527" s="6" t="s">
        <v>2680</v>
      </c>
      <c r="E527" s="7" t="s">
        <v>2681</v>
      </c>
      <c r="F527" s="7" t="n">
        <v>2783</v>
      </c>
      <c r="G527" s="6" t="s">
        <v>112</v>
      </c>
      <c r="H527" s="8" t="n">
        <v>1179</v>
      </c>
      <c r="I527" s="8" t="n">
        <v>0</v>
      </c>
      <c r="J527" s="7" t="n">
        <v>0</v>
      </c>
      <c r="K527" s="9" t="s">
        <v>2682</v>
      </c>
      <c r="L527" s="6" t="s">
        <v>2683</v>
      </c>
      <c r="M527" s="6" t="s">
        <v>2684</v>
      </c>
      <c r="N527" s="10"/>
      <c r="O527" s="4" t="str">
        <f aca="false">IF(N527="","",LEN(N527))</f>
        <v/>
      </c>
    </row>
    <row r="528" customFormat="false" ht="51.75" hidden="false" customHeight="true" outlineLevel="0" collapsed="false">
      <c r="A528" s="4" t="n">
        <v>527</v>
      </c>
      <c r="B528" s="5" t="n">
        <f aca="false">IF(OR(C528="სხვა მოდელი წერია",I528&gt;=განმარტება!$B$4),1,IF(OR(C528="ცარიელი",I528&gt;=1),2,IF(H528&gt;=განმარტება!$B$5,3,4)))</f>
        <v>3</v>
      </c>
      <c r="C528" s="6" t="s">
        <v>15</v>
      </c>
      <c r="D528" s="6" t="s">
        <v>2685</v>
      </c>
      <c r="E528" s="7" t="s">
        <v>2686</v>
      </c>
      <c r="F528" s="7" t="n">
        <v>897</v>
      </c>
      <c r="G528" s="6" t="s">
        <v>211</v>
      </c>
      <c r="H528" s="8" t="n">
        <v>1169</v>
      </c>
      <c r="I528" s="8" t="n">
        <v>0</v>
      </c>
      <c r="J528" s="7" t="n">
        <v>0</v>
      </c>
      <c r="K528" s="9" t="s">
        <v>2687</v>
      </c>
      <c r="L528" s="6" t="s">
        <v>2688</v>
      </c>
      <c r="M528" s="6" t="s">
        <v>2689</v>
      </c>
      <c r="N528" s="10"/>
      <c r="O528" s="4" t="str">
        <f aca="false">IF(N528="","",LEN(N528))</f>
        <v/>
      </c>
    </row>
    <row r="529" customFormat="false" ht="39" hidden="false" customHeight="true" outlineLevel="0" collapsed="false">
      <c r="A529" s="4" t="n">
        <v>528</v>
      </c>
      <c r="B529" s="5" t="n">
        <f aca="false">IF(OR(C529="სხვა მოდელი წერია",I529&gt;=განმარტება!$B$4),1,IF(OR(C529="ცარიელი",I529&gt;=1),2,IF(H529&gt;=განმარტება!$B$5,3,4)))</f>
        <v>3</v>
      </c>
      <c r="C529" s="6" t="s">
        <v>316</v>
      </c>
      <c r="D529" s="6" t="s">
        <v>2690</v>
      </c>
      <c r="E529" s="7" t="s">
        <v>2691</v>
      </c>
      <c r="F529" s="7" t="n">
        <v>1515</v>
      </c>
      <c r="G529" s="6" t="s">
        <v>858</v>
      </c>
      <c r="H529" s="8" t="n">
        <v>1160</v>
      </c>
      <c r="I529" s="8" t="n">
        <v>0</v>
      </c>
      <c r="J529" s="7" t="n">
        <v>0</v>
      </c>
      <c r="K529" s="9" t="s">
        <v>2692</v>
      </c>
      <c r="L529" s="6" t="s">
        <v>2693</v>
      </c>
      <c r="M529" s="6" t="s">
        <v>2694</v>
      </c>
      <c r="N529" s="10"/>
      <c r="O529" s="4" t="str">
        <f aca="false">IF(N529="","",LEN(N529))</f>
        <v/>
      </c>
    </row>
    <row r="530" customFormat="false" ht="39" hidden="false" customHeight="true" outlineLevel="0" collapsed="false">
      <c r="A530" s="4" t="n">
        <v>529</v>
      </c>
      <c r="B530" s="5" t="n">
        <f aca="false">IF(OR(C530="სხვა მოდელი წერია",I530&gt;=განმარტება!$B$4),1,IF(OR(C530="ცარიელი",I530&gt;=1),2,IF(H530&gt;=განმარტება!$B$5,3,4)))</f>
        <v>3</v>
      </c>
      <c r="C530" s="6" t="s">
        <v>15</v>
      </c>
      <c r="D530" s="6" t="s">
        <v>2695</v>
      </c>
      <c r="E530" s="7" t="s">
        <v>2696</v>
      </c>
      <c r="F530" s="7" t="n">
        <v>992</v>
      </c>
      <c r="G530" s="6" t="s">
        <v>24</v>
      </c>
      <c r="H530" s="8" t="n">
        <v>1159</v>
      </c>
      <c r="I530" s="8" t="n">
        <v>0</v>
      </c>
      <c r="J530" s="7" t="n">
        <v>0</v>
      </c>
      <c r="K530" s="9" t="s">
        <v>2697</v>
      </c>
      <c r="L530" s="6" t="s">
        <v>2698</v>
      </c>
      <c r="M530" s="6" t="s">
        <v>2699</v>
      </c>
      <c r="N530" s="10"/>
      <c r="O530" s="4" t="str">
        <f aca="false">IF(N530="","",LEN(N530))</f>
        <v/>
      </c>
    </row>
    <row r="531" customFormat="false" ht="51.75" hidden="false" customHeight="true" outlineLevel="0" collapsed="false">
      <c r="A531" s="4" t="n">
        <v>530</v>
      </c>
      <c r="B531" s="5" t="n">
        <f aca="false">IF(OR(C531="სხვა მოდელი წერია",I531&gt;=განმარტება!$B$4),1,IF(OR(C531="ცარიელი",I531&gt;=1),2,IF(H531&gt;=განმარტება!$B$5,3,4)))</f>
        <v>3</v>
      </c>
      <c r="C531" s="6" t="s">
        <v>15</v>
      </c>
      <c r="D531" s="6" t="s">
        <v>2700</v>
      </c>
      <c r="E531" s="7" t="s">
        <v>2701</v>
      </c>
      <c r="F531" s="7" t="n">
        <v>2721</v>
      </c>
      <c r="G531" s="6" t="s">
        <v>30</v>
      </c>
      <c r="H531" s="8" t="n">
        <v>1159</v>
      </c>
      <c r="I531" s="8" t="n">
        <v>0</v>
      </c>
      <c r="J531" s="7" t="n">
        <v>0</v>
      </c>
      <c r="K531" s="9" t="s">
        <v>2702</v>
      </c>
      <c r="L531" s="6" t="s">
        <v>2703</v>
      </c>
      <c r="M531" s="6" t="s">
        <v>2704</v>
      </c>
      <c r="N531" s="10"/>
      <c r="O531" s="4" t="str">
        <f aca="false">IF(N531="","",LEN(N531))</f>
        <v/>
      </c>
    </row>
    <row r="532" customFormat="false" ht="39" hidden="false" customHeight="true" outlineLevel="0" collapsed="false">
      <c r="A532" s="4" t="n">
        <v>531</v>
      </c>
      <c r="B532" s="5" t="n">
        <f aca="false">IF(OR(C532="სხვა მოდელი წერია",I532&gt;=განმარტება!$B$4),1,IF(OR(C532="ცარიელი",I532&gt;=1),2,IF(H532&gt;=განმარტება!$B$5,3,4)))</f>
        <v>3</v>
      </c>
      <c r="C532" s="6" t="s">
        <v>15</v>
      </c>
      <c r="D532" s="6" t="s">
        <v>2705</v>
      </c>
      <c r="E532" s="7" t="s">
        <v>2706</v>
      </c>
      <c r="F532" s="7" t="n">
        <v>3794</v>
      </c>
      <c r="G532" s="6" t="s">
        <v>61</v>
      </c>
      <c r="H532" s="8" t="n">
        <v>1149</v>
      </c>
      <c r="I532" s="8" t="n">
        <v>0</v>
      </c>
      <c r="J532" s="7" t="n">
        <v>0</v>
      </c>
      <c r="K532" s="9" t="s">
        <v>2707</v>
      </c>
      <c r="L532" s="6" t="s">
        <v>2708</v>
      </c>
      <c r="M532" s="6" t="s">
        <v>2709</v>
      </c>
      <c r="N532" s="10"/>
      <c r="O532" s="4" t="str">
        <f aca="false">IF(N532="","",LEN(N532))</f>
        <v/>
      </c>
    </row>
    <row r="533" customFormat="false" ht="39" hidden="false" customHeight="true" outlineLevel="0" collapsed="false">
      <c r="A533" s="4" t="n">
        <v>532</v>
      </c>
      <c r="B533" s="5" t="n">
        <f aca="false">IF(OR(C533="სხვა მოდელი წერია",I533&gt;=განმარტება!$B$4),1,IF(OR(C533="ცარიელი",I533&gt;=1),2,IF(H533&gt;=განმარტება!$B$5,3,4)))</f>
        <v>3</v>
      </c>
      <c r="C533" s="6" t="s">
        <v>15</v>
      </c>
      <c r="D533" s="6" t="s">
        <v>2710</v>
      </c>
      <c r="E533" s="7" t="s">
        <v>2711</v>
      </c>
      <c r="F533" s="7" t="n">
        <v>3970</v>
      </c>
      <c r="G533" s="6" t="s">
        <v>279</v>
      </c>
      <c r="H533" s="8" t="n">
        <v>1149</v>
      </c>
      <c r="I533" s="8" t="n">
        <v>0</v>
      </c>
      <c r="J533" s="7" t="n">
        <v>0</v>
      </c>
      <c r="K533" s="9" t="s">
        <v>2712</v>
      </c>
      <c r="L533" s="6" t="s">
        <v>2713</v>
      </c>
      <c r="M533" s="6" t="s">
        <v>2714</v>
      </c>
      <c r="N533" s="10"/>
      <c r="O533" s="4" t="str">
        <f aca="false">IF(N533="","",LEN(N533))</f>
        <v/>
      </c>
    </row>
    <row r="534" customFormat="false" ht="39" hidden="false" customHeight="true" outlineLevel="0" collapsed="false">
      <c r="A534" s="4" t="n">
        <v>533</v>
      </c>
      <c r="B534" s="5" t="n">
        <f aca="false">IF(OR(C534="სხვა მოდელი წერია",I534&gt;=განმარტება!$B$4),1,IF(OR(C534="ცარიელი",I534&gt;=1),2,IF(H534&gt;=განმარტება!$B$5,3,4)))</f>
        <v>3</v>
      </c>
      <c r="C534" s="6" t="s">
        <v>15</v>
      </c>
      <c r="D534" s="6" t="s">
        <v>2715</v>
      </c>
      <c r="E534" s="7" t="s">
        <v>2716</v>
      </c>
      <c r="F534" s="7" t="n">
        <v>2773</v>
      </c>
      <c r="G534" s="6" t="s">
        <v>112</v>
      </c>
      <c r="H534" s="8" t="n">
        <v>1149</v>
      </c>
      <c r="I534" s="8" t="n">
        <v>0</v>
      </c>
      <c r="J534" s="7" t="n">
        <v>0</v>
      </c>
      <c r="K534" s="9" t="s">
        <v>2717</v>
      </c>
      <c r="L534" s="6" t="s">
        <v>2718</v>
      </c>
      <c r="M534" s="6" t="s">
        <v>2719</v>
      </c>
      <c r="N534" s="10"/>
      <c r="O534" s="4" t="str">
        <f aca="false">IF(N534="","",LEN(N534))</f>
        <v/>
      </c>
    </row>
    <row r="535" customFormat="false" ht="39" hidden="false" customHeight="true" outlineLevel="0" collapsed="false">
      <c r="A535" s="4" t="n">
        <v>534</v>
      </c>
      <c r="B535" s="5" t="n">
        <f aca="false">IF(OR(C535="სხვა მოდელი წერია",I535&gt;=განმარტება!$B$4),1,IF(OR(C535="ცარიელი",I535&gt;=1),2,IF(H535&gt;=განმარტება!$B$5,3,4)))</f>
        <v>3</v>
      </c>
      <c r="C535" s="6" t="s">
        <v>15</v>
      </c>
      <c r="D535" s="6" t="s">
        <v>2720</v>
      </c>
      <c r="E535" s="7" t="s">
        <v>2721</v>
      </c>
      <c r="F535" s="7" t="n">
        <v>1092</v>
      </c>
      <c r="G535" s="6" t="s">
        <v>112</v>
      </c>
      <c r="H535" s="8" t="n">
        <v>1149</v>
      </c>
      <c r="I535" s="8" t="n">
        <v>0</v>
      </c>
      <c r="J535" s="7" t="n">
        <v>0</v>
      </c>
      <c r="K535" s="9" t="s">
        <v>2722</v>
      </c>
      <c r="L535" s="6" t="s">
        <v>2723</v>
      </c>
      <c r="M535" s="6" t="s">
        <v>2724</v>
      </c>
      <c r="N535" s="10"/>
      <c r="O535" s="4" t="str">
        <f aca="false">IF(N535="","",LEN(N535))</f>
        <v/>
      </c>
    </row>
    <row r="536" customFormat="false" ht="39" hidden="false" customHeight="true" outlineLevel="0" collapsed="false">
      <c r="A536" s="4" t="n">
        <v>535</v>
      </c>
      <c r="B536" s="5" t="n">
        <f aca="false">IF(OR(C536="სხვა მოდელი წერია",I536&gt;=განმარტება!$B$4),1,IF(OR(C536="ცარიელი",I536&gt;=1),2,IF(H536&gt;=განმარტება!$B$5,3,4)))</f>
        <v>3</v>
      </c>
      <c r="C536" s="6" t="s">
        <v>15</v>
      </c>
      <c r="D536" s="6" t="s">
        <v>2725</v>
      </c>
      <c r="E536" s="7" t="s">
        <v>2726</v>
      </c>
      <c r="F536" s="7" t="n">
        <v>1556</v>
      </c>
      <c r="G536" s="6" t="s">
        <v>24</v>
      </c>
      <c r="H536" s="8" t="n">
        <v>1149</v>
      </c>
      <c r="I536" s="8" t="n">
        <v>0</v>
      </c>
      <c r="J536" s="7" t="n">
        <v>0</v>
      </c>
      <c r="K536" s="9" t="s">
        <v>2727</v>
      </c>
      <c r="L536" s="6" t="s">
        <v>2728</v>
      </c>
      <c r="M536" s="6" t="s">
        <v>2729</v>
      </c>
      <c r="N536" s="10"/>
      <c r="O536" s="4" t="str">
        <f aca="false">IF(N536="","",LEN(N536))</f>
        <v/>
      </c>
    </row>
    <row r="537" customFormat="false" ht="51.75" hidden="false" customHeight="true" outlineLevel="0" collapsed="false">
      <c r="A537" s="4" t="n">
        <v>536</v>
      </c>
      <c r="B537" s="5" t="n">
        <f aca="false">IF(OR(C537="სხვა მოდელი წერია",I537&gt;=განმარტება!$B$4),1,IF(OR(C537="ცარიელი",I537&gt;=1),2,IF(H537&gt;=განმარტება!$B$5,3,4)))</f>
        <v>3</v>
      </c>
      <c r="C537" s="6" t="s">
        <v>15</v>
      </c>
      <c r="D537" s="6" t="s">
        <v>2730</v>
      </c>
      <c r="E537" s="7" t="s">
        <v>2731</v>
      </c>
      <c r="F537" s="7" t="n">
        <v>959</v>
      </c>
      <c r="G537" s="6" t="s">
        <v>211</v>
      </c>
      <c r="H537" s="8" t="n">
        <v>1149</v>
      </c>
      <c r="I537" s="8" t="n">
        <v>0</v>
      </c>
      <c r="J537" s="7" t="n">
        <v>0</v>
      </c>
      <c r="K537" s="9" t="s">
        <v>2732</v>
      </c>
      <c r="L537" s="6" t="s">
        <v>2733</v>
      </c>
      <c r="M537" s="6" t="s">
        <v>2734</v>
      </c>
      <c r="N537" s="10"/>
      <c r="O537" s="4" t="str">
        <f aca="false">IF(N537="","",LEN(N537))</f>
        <v/>
      </c>
    </row>
    <row r="538" customFormat="false" ht="39" hidden="false" customHeight="true" outlineLevel="0" collapsed="false">
      <c r="A538" s="4" t="n">
        <v>537</v>
      </c>
      <c r="B538" s="5" t="n">
        <f aca="false">IF(OR(C538="სხვა მოდელი წერია",I538&gt;=განმარტება!$B$4),1,IF(OR(C538="ცარიელი",I538&gt;=1),2,IF(H538&gt;=განმარტება!$B$5,3,4)))</f>
        <v>3</v>
      </c>
      <c r="C538" s="6" t="s">
        <v>15</v>
      </c>
      <c r="D538" s="6" t="s">
        <v>2735</v>
      </c>
      <c r="E538" s="7" t="s">
        <v>2736</v>
      </c>
      <c r="F538" s="7" t="n">
        <v>3912</v>
      </c>
      <c r="G538" s="6" t="s">
        <v>61</v>
      </c>
      <c r="H538" s="8" t="n">
        <v>1149</v>
      </c>
      <c r="I538" s="8" t="n">
        <v>0</v>
      </c>
      <c r="J538" s="7" t="n">
        <v>0</v>
      </c>
      <c r="K538" s="9" t="s">
        <v>2737</v>
      </c>
      <c r="L538" s="6" t="s">
        <v>2738</v>
      </c>
      <c r="M538" s="6" t="s">
        <v>2739</v>
      </c>
      <c r="N538" s="10"/>
      <c r="O538" s="4" t="str">
        <f aca="false">IF(N538="","",LEN(N538))</f>
        <v/>
      </c>
    </row>
    <row r="539" customFormat="false" ht="64.5" hidden="false" customHeight="true" outlineLevel="0" collapsed="false">
      <c r="A539" s="4" t="n">
        <v>538</v>
      </c>
      <c r="B539" s="5" t="n">
        <f aca="false">IF(OR(C539="სხვა მოდელი წერია",I539&gt;=განმარტება!$B$4),1,IF(OR(C539="ცარიელი",I539&gt;=1),2,IF(H539&gt;=განმარტება!$B$5,3,4)))</f>
        <v>3</v>
      </c>
      <c r="C539" s="6" t="s">
        <v>15</v>
      </c>
      <c r="D539" s="6" t="s">
        <v>2740</v>
      </c>
      <c r="E539" s="7" t="s">
        <v>2741</v>
      </c>
      <c r="F539" s="7" t="n">
        <v>2382</v>
      </c>
      <c r="G539" s="6" t="s">
        <v>95</v>
      </c>
      <c r="H539" s="8" t="n">
        <v>1149</v>
      </c>
      <c r="I539" s="8" t="n">
        <v>0</v>
      </c>
      <c r="J539" s="7" t="n">
        <v>0</v>
      </c>
      <c r="K539" s="9" t="s">
        <v>2742</v>
      </c>
      <c r="L539" s="6" t="s">
        <v>2743</v>
      </c>
      <c r="M539" s="6" t="s">
        <v>2744</v>
      </c>
      <c r="N539" s="10"/>
      <c r="O539" s="4" t="str">
        <f aca="false">IF(N539="","",LEN(N539))</f>
        <v/>
      </c>
    </row>
    <row r="540" customFormat="false" ht="64.5" hidden="false" customHeight="true" outlineLevel="0" collapsed="false">
      <c r="A540" s="4" t="n">
        <v>539</v>
      </c>
      <c r="B540" s="5" t="n">
        <f aca="false">IF(OR(C540="სხვა მოდელი წერია",I540&gt;=განმარტება!$B$4),1,IF(OR(C540="ცარიელი",I540&gt;=1),2,IF(H540&gt;=განმარტება!$B$5,3,4)))</f>
        <v>3</v>
      </c>
      <c r="C540" s="6" t="s">
        <v>15</v>
      </c>
      <c r="D540" s="6" t="s">
        <v>2745</v>
      </c>
      <c r="E540" s="7" t="s">
        <v>2746</v>
      </c>
      <c r="F540" s="7" t="n">
        <v>1360</v>
      </c>
      <c r="G540" s="6" t="s">
        <v>95</v>
      </c>
      <c r="H540" s="8" t="n">
        <v>1149</v>
      </c>
      <c r="I540" s="8" t="n">
        <v>0</v>
      </c>
      <c r="J540" s="7" t="n">
        <v>0</v>
      </c>
      <c r="K540" s="9" t="s">
        <v>2747</v>
      </c>
      <c r="L540" s="6" t="s">
        <v>2748</v>
      </c>
      <c r="M540" s="6" t="s">
        <v>2749</v>
      </c>
      <c r="N540" s="10"/>
      <c r="O540" s="4" t="str">
        <f aca="false">IF(N540="","",LEN(N540))</f>
        <v/>
      </c>
    </row>
    <row r="541" customFormat="false" ht="51.75" hidden="false" customHeight="true" outlineLevel="0" collapsed="false">
      <c r="A541" s="4" t="n">
        <v>540</v>
      </c>
      <c r="B541" s="5" t="n">
        <f aca="false">IF(OR(C541="სხვა მოდელი წერია",I541&gt;=განმარტება!$B$4),1,IF(OR(C541="ცარიელი",I541&gt;=1),2,IF(H541&gt;=განმარტება!$B$5,3,4)))</f>
        <v>3</v>
      </c>
      <c r="C541" s="6" t="s">
        <v>15</v>
      </c>
      <c r="D541" s="6" t="s">
        <v>2750</v>
      </c>
      <c r="E541" s="7" t="s">
        <v>2751</v>
      </c>
      <c r="F541" s="7" t="n">
        <v>2835</v>
      </c>
      <c r="G541" s="6" t="s">
        <v>48</v>
      </c>
      <c r="H541" s="8" t="n">
        <v>1149</v>
      </c>
      <c r="I541" s="8" t="n">
        <v>0</v>
      </c>
      <c r="J541" s="7" t="n">
        <v>0</v>
      </c>
      <c r="K541" s="9" t="s">
        <v>2752</v>
      </c>
      <c r="L541" s="6" t="s">
        <v>2753</v>
      </c>
      <c r="M541" s="6" t="s">
        <v>2754</v>
      </c>
      <c r="N541" s="10"/>
      <c r="O541" s="4" t="str">
        <f aca="false">IF(N541="","",LEN(N541))</f>
        <v/>
      </c>
    </row>
    <row r="542" customFormat="false" ht="39" hidden="false" customHeight="true" outlineLevel="0" collapsed="false">
      <c r="A542" s="4" t="n">
        <v>541</v>
      </c>
      <c r="B542" s="5" t="n">
        <f aca="false">IF(OR(C542="სხვა მოდელი წერია",I542&gt;=განმარტება!$B$4),1,IF(OR(C542="ცარიელი",I542&gt;=1),2,IF(H542&gt;=განმარტება!$B$5,3,4)))</f>
        <v>3</v>
      </c>
      <c r="C542" s="6" t="s">
        <v>15</v>
      </c>
      <c r="D542" s="6" t="s">
        <v>2755</v>
      </c>
      <c r="E542" s="7" t="s">
        <v>2756</v>
      </c>
      <c r="F542" s="7" t="n">
        <v>8895</v>
      </c>
      <c r="G542" s="6" t="s">
        <v>1267</v>
      </c>
      <c r="H542" s="8" t="n">
        <v>1148</v>
      </c>
      <c r="I542" s="8" t="n">
        <v>0</v>
      </c>
      <c r="J542" s="7" t="n">
        <v>0</v>
      </c>
      <c r="K542" s="9" t="s">
        <v>2757</v>
      </c>
      <c r="L542" s="6" t="s">
        <v>2758</v>
      </c>
      <c r="M542" s="6" t="s">
        <v>2759</v>
      </c>
      <c r="N542" s="10"/>
      <c r="O542" s="4" t="str">
        <f aca="false">IF(N542="","",LEN(N542))</f>
        <v/>
      </c>
    </row>
    <row r="543" customFormat="false" ht="51.75" hidden="false" customHeight="true" outlineLevel="0" collapsed="false">
      <c r="A543" s="4" t="n">
        <v>542</v>
      </c>
      <c r="B543" s="5" t="n">
        <f aca="false">IF(OR(C543="სხვა მოდელი წერია",I543&gt;=განმარტება!$B$4),1,IF(OR(C543="ცარიელი",I543&gt;=1),2,IF(H543&gt;=განმარტება!$B$5,3,4)))</f>
        <v>3</v>
      </c>
      <c r="C543" s="6" t="s">
        <v>15</v>
      </c>
      <c r="D543" s="6" t="s">
        <v>2760</v>
      </c>
      <c r="E543" s="7" t="s">
        <v>2761</v>
      </c>
      <c r="F543" s="7" t="n">
        <v>2100</v>
      </c>
      <c r="G543" s="6" t="s">
        <v>1173</v>
      </c>
      <c r="H543" s="8" t="n">
        <v>1142</v>
      </c>
      <c r="I543" s="8" t="n">
        <v>0</v>
      </c>
      <c r="J543" s="7" t="n">
        <v>0</v>
      </c>
      <c r="K543" s="9" t="s">
        <v>2762</v>
      </c>
      <c r="L543" s="6" t="s">
        <v>2763</v>
      </c>
      <c r="M543" s="6" t="s">
        <v>2764</v>
      </c>
      <c r="N543" s="10"/>
      <c r="O543" s="4" t="str">
        <f aca="false">IF(N543="","",LEN(N543))</f>
        <v/>
      </c>
    </row>
    <row r="544" customFormat="false" ht="51.75" hidden="false" customHeight="true" outlineLevel="0" collapsed="false">
      <c r="A544" s="4" t="n">
        <v>543</v>
      </c>
      <c r="B544" s="5" t="n">
        <f aca="false">IF(OR(C544="სხვა მოდელი წერია",I544&gt;=განმარტება!$B$4),1,IF(OR(C544="ცარიელი",I544&gt;=1),2,IF(H544&gt;=განმარტება!$B$5,3,4)))</f>
        <v>3</v>
      </c>
      <c r="C544" s="6" t="s">
        <v>15</v>
      </c>
      <c r="D544" s="6" t="s">
        <v>2765</v>
      </c>
      <c r="E544" s="7" t="s">
        <v>2766</v>
      </c>
      <c r="F544" s="7" t="n">
        <v>896</v>
      </c>
      <c r="G544" s="6" t="s">
        <v>211</v>
      </c>
      <c r="H544" s="8" t="n">
        <v>1139</v>
      </c>
      <c r="I544" s="8" t="n">
        <v>0</v>
      </c>
      <c r="J544" s="7" t="n">
        <v>0</v>
      </c>
      <c r="K544" s="9" t="s">
        <v>2767</v>
      </c>
      <c r="L544" s="6" t="s">
        <v>2768</v>
      </c>
      <c r="M544" s="6" t="s">
        <v>2769</v>
      </c>
      <c r="N544" s="10"/>
      <c r="O544" s="4" t="str">
        <f aca="false">IF(N544="","",LEN(N544))</f>
        <v/>
      </c>
    </row>
    <row r="545" customFormat="false" ht="51.75" hidden="false" customHeight="true" outlineLevel="0" collapsed="false">
      <c r="A545" s="4" t="n">
        <v>544</v>
      </c>
      <c r="B545" s="5" t="n">
        <f aca="false">IF(OR(C545="სხვა მოდელი წერია",I545&gt;=განმარტება!$B$4),1,IF(OR(C545="ცარიელი",I545&gt;=1),2,IF(H545&gt;=განმარტება!$B$5,3,4)))</f>
        <v>3</v>
      </c>
      <c r="C545" s="6" t="s">
        <v>15</v>
      </c>
      <c r="D545" s="6" t="s">
        <v>2770</v>
      </c>
      <c r="E545" s="7" t="s">
        <v>2771</v>
      </c>
      <c r="F545" s="7" t="n">
        <v>2448</v>
      </c>
      <c r="G545" s="6" t="s">
        <v>211</v>
      </c>
      <c r="H545" s="8" t="n">
        <v>1129</v>
      </c>
      <c r="I545" s="8" t="n">
        <v>0</v>
      </c>
      <c r="J545" s="7" t="n">
        <v>0</v>
      </c>
      <c r="K545" s="9" t="s">
        <v>2772</v>
      </c>
      <c r="L545" s="6" t="s">
        <v>2773</v>
      </c>
      <c r="M545" s="6" t="s">
        <v>2774</v>
      </c>
      <c r="N545" s="10"/>
      <c r="O545" s="4" t="str">
        <f aca="false">IF(N545="","",LEN(N545))</f>
        <v/>
      </c>
    </row>
    <row r="546" customFormat="false" ht="51.75" hidden="false" customHeight="true" outlineLevel="0" collapsed="false">
      <c r="A546" s="4" t="n">
        <v>545</v>
      </c>
      <c r="B546" s="5" t="n">
        <f aca="false">IF(OR(C546="სხვა მოდელი წერია",I546&gt;=განმარტება!$B$4),1,IF(OR(C546="ცარიელი",I546&gt;=1),2,IF(H546&gt;=განმარტება!$B$5,3,4)))</f>
        <v>3</v>
      </c>
      <c r="C546" s="6" t="s">
        <v>15</v>
      </c>
      <c r="D546" s="6" t="s">
        <v>2775</v>
      </c>
      <c r="E546" s="7" t="s">
        <v>2776</v>
      </c>
      <c r="F546" s="7" t="n">
        <v>1387</v>
      </c>
      <c r="G546" s="6" t="s">
        <v>211</v>
      </c>
      <c r="H546" s="8" t="n">
        <v>1129</v>
      </c>
      <c r="I546" s="8" t="n">
        <v>0</v>
      </c>
      <c r="J546" s="7" t="n">
        <v>0</v>
      </c>
      <c r="K546" s="9" t="s">
        <v>2777</v>
      </c>
      <c r="L546" s="6" t="s">
        <v>2778</v>
      </c>
      <c r="M546" s="6" t="s">
        <v>2779</v>
      </c>
      <c r="N546" s="10"/>
      <c r="O546" s="4" t="str">
        <f aca="false">IF(N546="","",LEN(N546))</f>
        <v/>
      </c>
    </row>
    <row r="547" customFormat="false" ht="51.75" hidden="false" customHeight="true" outlineLevel="0" collapsed="false">
      <c r="A547" s="4" t="n">
        <v>546</v>
      </c>
      <c r="B547" s="5" t="n">
        <f aca="false">IF(OR(C547="სხვა მოდელი წერია",I547&gt;=განმარტება!$B$4),1,IF(OR(C547="ცარიელი",I547&gt;=1),2,IF(H547&gt;=განმარტება!$B$5,3,4)))</f>
        <v>3</v>
      </c>
      <c r="C547" s="6" t="s">
        <v>15</v>
      </c>
      <c r="D547" s="6" t="s">
        <v>2780</v>
      </c>
      <c r="E547" s="7" t="s">
        <v>2781</v>
      </c>
      <c r="F547" s="7" t="n">
        <v>3068</v>
      </c>
      <c r="G547" s="6" t="s">
        <v>30</v>
      </c>
      <c r="H547" s="8" t="n">
        <v>1120</v>
      </c>
      <c r="I547" s="8" t="n">
        <v>0</v>
      </c>
      <c r="J547" s="7" t="n">
        <v>0</v>
      </c>
      <c r="K547" s="9" t="s">
        <v>2782</v>
      </c>
      <c r="L547" s="6" t="s">
        <v>2783</v>
      </c>
      <c r="M547" s="6" t="s">
        <v>2784</v>
      </c>
      <c r="N547" s="10"/>
      <c r="O547" s="4" t="str">
        <f aca="false">IF(N547="","",LEN(N547))</f>
        <v/>
      </c>
    </row>
    <row r="548" customFormat="false" ht="51.75" hidden="false" customHeight="true" outlineLevel="0" collapsed="false">
      <c r="A548" s="4" t="n">
        <v>547</v>
      </c>
      <c r="B548" s="5" t="n">
        <f aca="false">IF(OR(C548="სხვა მოდელი წერია",I548&gt;=განმარტება!$B$4),1,IF(OR(C548="ცარიელი",I548&gt;=1),2,IF(H548&gt;=განმარტება!$B$5,3,4)))</f>
        <v>3</v>
      </c>
      <c r="C548" s="6" t="s">
        <v>15</v>
      </c>
      <c r="D548" s="6" t="s">
        <v>2785</v>
      </c>
      <c r="E548" s="7" t="s">
        <v>2786</v>
      </c>
      <c r="F548" s="7" t="n">
        <v>3064</v>
      </c>
      <c r="G548" s="6" t="s">
        <v>30</v>
      </c>
      <c r="H548" s="8" t="n">
        <v>1104</v>
      </c>
      <c r="I548" s="8" t="n">
        <v>0</v>
      </c>
      <c r="J548" s="7" t="n">
        <v>0</v>
      </c>
      <c r="K548" s="9" t="s">
        <v>2787</v>
      </c>
      <c r="L548" s="6" t="s">
        <v>2788</v>
      </c>
      <c r="M548" s="6" t="s">
        <v>2789</v>
      </c>
      <c r="N548" s="10"/>
      <c r="O548" s="4" t="str">
        <f aca="false">IF(N548="","",LEN(N548))</f>
        <v/>
      </c>
    </row>
    <row r="549" customFormat="false" ht="39" hidden="false" customHeight="true" outlineLevel="0" collapsed="false">
      <c r="A549" s="4" t="n">
        <v>548</v>
      </c>
      <c r="B549" s="5" t="n">
        <f aca="false">IF(OR(C549="სხვა მოდელი წერია",I549&gt;=განმარტება!$B$4),1,IF(OR(C549="ცარიელი",I549&gt;=1),2,IF(H549&gt;=განმარტება!$B$5,3,4)))</f>
        <v>3</v>
      </c>
      <c r="C549" s="6" t="s">
        <v>15</v>
      </c>
      <c r="D549" s="6" t="s">
        <v>2790</v>
      </c>
      <c r="E549" s="7" t="s">
        <v>2791</v>
      </c>
      <c r="F549" s="7" t="n">
        <v>1684</v>
      </c>
      <c r="G549" s="6" t="s">
        <v>112</v>
      </c>
      <c r="H549" s="8" t="n">
        <v>1102</v>
      </c>
      <c r="I549" s="8" t="n">
        <v>0</v>
      </c>
      <c r="J549" s="7" t="n">
        <v>0</v>
      </c>
      <c r="K549" s="9" t="s">
        <v>2792</v>
      </c>
      <c r="L549" s="6" t="s">
        <v>2793</v>
      </c>
      <c r="M549" s="6" t="s">
        <v>2794</v>
      </c>
      <c r="N549" s="10"/>
      <c r="O549" s="4" t="str">
        <f aca="false">IF(N549="","",LEN(N549))</f>
        <v/>
      </c>
    </row>
    <row r="550" customFormat="false" ht="51.75" hidden="false" customHeight="true" outlineLevel="0" collapsed="false">
      <c r="A550" s="4" t="n">
        <v>549</v>
      </c>
      <c r="B550" s="5" t="n">
        <f aca="false">IF(OR(C550="სხვა მოდელი წერია",I550&gt;=განმარტება!$B$4),1,IF(OR(C550="ცარიელი",I550&gt;=1),2,IF(H550&gt;=განმარტება!$B$5,3,4)))</f>
        <v>3</v>
      </c>
      <c r="C550" s="6" t="s">
        <v>15</v>
      </c>
      <c r="D550" s="6" t="s">
        <v>2795</v>
      </c>
      <c r="E550" s="7" t="s">
        <v>2796</v>
      </c>
      <c r="F550" s="7" t="n">
        <v>2495</v>
      </c>
      <c r="G550" s="6" t="s">
        <v>211</v>
      </c>
      <c r="H550" s="8" t="n">
        <v>1100</v>
      </c>
      <c r="I550" s="8" t="n">
        <v>0</v>
      </c>
      <c r="J550" s="7" t="n">
        <v>0</v>
      </c>
      <c r="K550" s="9" t="s">
        <v>2797</v>
      </c>
      <c r="L550" s="6" t="s">
        <v>2798</v>
      </c>
      <c r="M550" s="6" t="s">
        <v>2799</v>
      </c>
      <c r="N550" s="10"/>
      <c r="O550" s="4" t="str">
        <f aca="false">IF(N550="","",LEN(N550))</f>
        <v/>
      </c>
    </row>
    <row r="551" customFormat="false" ht="39" hidden="false" customHeight="true" outlineLevel="0" collapsed="false">
      <c r="A551" s="4" t="n">
        <v>550</v>
      </c>
      <c r="B551" s="5" t="n">
        <f aca="false">IF(OR(C551="სხვა მოდელი წერია",I551&gt;=განმარტება!$B$4),1,IF(OR(C551="ცარიელი",I551&gt;=1),2,IF(H551&gt;=განმარტება!$B$5,3,4)))</f>
        <v>3</v>
      </c>
      <c r="C551" s="6" t="s">
        <v>15</v>
      </c>
      <c r="D551" s="6" t="s">
        <v>2800</v>
      </c>
      <c r="E551" s="7" t="s">
        <v>2801</v>
      </c>
      <c r="F551" s="7" t="n">
        <v>3144</v>
      </c>
      <c r="G551" s="6" t="s">
        <v>285</v>
      </c>
      <c r="H551" s="8" t="n">
        <v>1099</v>
      </c>
      <c r="I551" s="8" t="n">
        <v>0</v>
      </c>
      <c r="J551" s="7" t="n">
        <v>0</v>
      </c>
      <c r="K551" s="9" t="s">
        <v>2802</v>
      </c>
      <c r="L551" s="6" t="s">
        <v>2803</v>
      </c>
      <c r="M551" s="6" t="s">
        <v>2804</v>
      </c>
      <c r="N551" s="10"/>
      <c r="O551" s="4" t="str">
        <f aca="false">IF(N551="","",LEN(N551))</f>
        <v/>
      </c>
    </row>
    <row r="552" customFormat="false" ht="39" hidden="false" customHeight="true" outlineLevel="0" collapsed="false">
      <c r="A552" s="4" t="n">
        <v>551</v>
      </c>
      <c r="B552" s="5" t="n">
        <f aca="false">IF(OR(C552="სხვა მოდელი წერია",I552&gt;=განმარტება!$B$4),1,IF(OR(C552="ცარიელი",I552&gt;=1),2,IF(H552&gt;=განმარტება!$B$5,3,4)))</f>
        <v>3</v>
      </c>
      <c r="C552" s="6" t="s">
        <v>15</v>
      </c>
      <c r="D552" s="6" t="s">
        <v>2805</v>
      </c>
      <c r="E552" s="7" t="s">
        <v>2806</v>
      </c>
      <c r="F552" s="7" t="n">
        <v>1061</v>
      </c>
      <c r="G552" s="6" t="s">
        <v>112</v>
      </c>
      <c r="H552" s="8" t="n">
        <v>1099</v>
      </c>
      <c r="I552" s="8" t="n">
        <v>0</v>
      </c>
      <c r="J552" s="7" t="n">
        <v>0</v>
      </c>
      <c r="K552" s="9" t="s">
        <v>2807</v>
      </c>
      <c r="L552" s="6" t="s">
        <v>2808</v>
      </c>
      <c r="M552" s="6" t="s">
        <v>2809</v>
      </c>
      <c r="N552" s="10"/>
      <c r="O552" s="4" t="str">
        <f aca="false">IF(N552="","",LEN(N552))</f>
        <v/>
      </c>
    </row>
    <row r="553" customFormat="false" ht="39" hidden="false" customHeight="true" outlineLevel="0" collapsed="false">
      <c r="A553" s="4" t="n">
        <v>552</v>
      </c>
      <c r="B553" s="5" t="n">
        <f aca="false">IF(OR(C553="სხვა მოდელი წერია",I553&gt;=განმარტება!$B$4),1,IF(OR(C553="ცარიელი",I553&gt;=1),2,IF(H553&gt;=განმარტება!$B$5,3,4)))</f>
        <v>3</v>
      </c>
      <c r="C553" s="6" t="s">
        <v>15</v>
      </c>
      <c r="D553" s="6" t="s">
        <v>2810</v>
      </c>
      <c r="E553" s="7" t="s">
        <v>2811</v>
      </c>
      <c r="F553" s="7" t="n">
        <v>2776</v>
      </c>
      <c r="G553" s="6" t="s">
        <v>112</v>
      </c>
      <c r="H553" s="8" t="n">
        <v>1099</v>
      </c>
      <c r="I553" s="8" t="n">
        <v>0</v>
      </c>
      <c r="J553" s="7" t="n">
        <v>0</v>
      </c>
      <c r="K553" s="9" t="s">
        <v>2812</v>
      </c>
      <c r="L553" s="6" t="s">
        <v>2813</v>
      </c>
      <c r="M553" s="6" t="s">
        <v>2814</v>
      </c>
      <c r="N553" s="10"/>
      <c r="O553" s="4" t="str">
        <f aca="false">IF(N553="","",LEN(N553))</f>
        <v/>
      </c>
    </row>
    <row r="554" customFormat="false" ht="39" hidden="false" customHeight="true" outlineLevel="0" collapsed="false">
      <c r="A554" s="4" t="n">
        <v>553</v>
      </c>
      <c r="B554" s="5" t="n">
        <f aca="false">IF(OR(C554="სხვა მოდელი წერია",I554&gt;=განმარტება!$B$4),1,IF(OR(C554="ცარიელი",I554&gt;=1),2,IF(H554&gt;=განმარტება!$B$5,3,4)))</f>
        <v>3</v>
      </c>
      <c r="C554" s="6" t="s">
        <v>15</v>
      </c>
      <c r="D554" s="6" t="s">
        <v>2815</v>
      </c>
      <c r="E554" s="7" t="s">
        <v>2816</v>
      </c>
      <c r="F554" s="7" t="n">
        <v>250</v>
      </c>
      <c r="G554" s="6" t="s">
        <v>112</v>
      </c>
      <c r="H554" s="8" t="n">
        <v>1099</v>
      </c>
      <c r="I554" s="8" t="n">
        <v>0</v>
      </c>
      <c r="J554" s="7" t="n">
        <v>0</v>
      </c>
      <c r="K554" s="9" t="s">
        <v>2817</v>
      </c>
      <c r="L554" s="6" t="s">
        <v>2818</v>
      </c>
      <c r="M554" s="6" t="s">
        <v>2819</v>
      </c>
      <c r="N554" s="10"/>
      <c r="O554" s="4" t="str">
        <f aca="false">IF(N554="","",LEN(N554))</f>
        <v/>
      </c>
    </row>
    <row r="555" customFormat="false" ht="39" hidden="false" customHeight="true" outlineLevel="0" collapsed="false">
      <c r="A555" s="4" t="n">
        <v>554</v>
      </c>
      <c r="B555" s="5" t="n">
        <f aca="false">IF(OR(C555="სხვა მოდელი წერია",I555&gt;=განმარტება!$B$4),1,IF(OR(C555="ცარიელი",I555&gt;=1),2,IF(H555&gt;=განმარტება!$B$5,3,4)))</f>
        <v>3</v>
      </c>
      <c r="C555" s="6" t="s">
        <v>15</v>
      </c>
      <c r="D555" s="6" t="s">
        <v>2820</v>
      </c>
      <c r="E555" s="7" t="s">
        <v>2821</v>
      </c>
      <c r="F555" s="7" t="n">
        <v>982</v>
      </c>
      <c r="G555" s="6" t="s">
        <v>24</v>
      </c>
      <c r="H555" s="8" t="n">
        <v>1099</v>
      </c>
      <c r="I555" s="8" t="n">
        <v>0</v>
      </c>
      <c r="J555" s="7" t="n">
        <v>0</v>
      </c>
      <c r="K555" s="9" t="s">
        <v>2822</v>
      </c>
      <c r="L555" s="6" t="s">
        <v>2823</v>
      </c>
      <c r="M555" s="6" t="s">
        <v>2824</v>
      </c>
      <c r="N555" s="10"/>
      <c r="O555" s="4" t="str">
        <f aca="false">IF(N555="","",LEN(N555))</f>
        <v/>
      </c>
    </row>
    <row r="556" customFormat="false" ht="51.75" hidden="false" customHeight="true" outlineLevel="0" collapsed="false">
      <c r="A556" s="4" t="n">
        <v>555</v>
      </c>
      <c r="B556" s="5" t="n">
        <f aca="false">IF(OR(C556="სხვა მოდელი წერია",I556&gt;=განმარტება!$B$4),1,IF(OR(C556="ცარიელი",I556&gt;=1),2,IF(H556&gt;=განმარტება!$B$5,3,4)))</f>
        <v>3</v>
      </c>
      <c r="C556" s="6" t="s">
        <v>15</v>
      </c>
      <c r="D556" s="6" t="s">
        <v>2825</v>
      </c>
      <c r="E556" s="7" t="s">
        <v>2826</v>
      </c>
      <c r="F556" s="7" t="n">
        <v>703</v>
      </c>
      <c r="G556" s="6" t="s">
        <v>30</v>
      </c>
      <c r="H556" s="8" t="n">
        <v>1099</v>
      </c>
      <c r="I556" s="8" t="n">
        <v>0</v>
      </c>
      <c r="J556" s="7" t="n">
        <v>0</v>
      </c>
      <c r="K556" s="9" t="s">
        <v>2827</v>
      </c>
      <c r="L556" s="6" t="s">
        <v>2828</v>
      </c>
      <c r="M556" s="6" t="s">
        <v>2829</v>
      </c>
      <c r="N556" s="10"/>
      <c r="O556" s="4" t="str">
        <f aca="false">IF(N556="","",LEN(N556))</f>
        <v/>
      </c>
    </row>
    <row r="557" customFormat="false" ht="39" hidden="false" customHeight="true" outlineLevel="0" collapsed="false">
      <c r="A557" s="4" t="n">
        <v>556</v>
      </c>
      <c r="B557" s="5" t="n">
        <f aca="false">IF(OR(C557="სხვა მოდელი წერია",I557&gt;=განმარტება!$B$4),1,IF(OR(C557="ცარიელი",I557&gt;=1),2,IF(H557&gt;=განმარტება!$B$5,3,4)))</f>
        <v>3</v>
      </c>
      <c r="C557" s="6" t="s">
        <v>15</v>
      </c>
      <c r="D557" s="6" t="s">
        <v>2830</v>
      </c>
      <c r="E557" s="7" t="s">
        <v>2831</v>
      </c>
      <c r="F557" s="7" t="n">
        <v>2512</v>
      </c>
      <c r="G557" s="6" t="s">
        <v>36</v>
      </c>
      <c r="H557" s="8" t="n">
        <v>1099</v>
      </c>
      <c r="I557" s="8" t="n">
        <v>0</v>
      </c>
      <c r="J557" s="7" t="n">
        <v>0</v>
      </c>
      <c r="K557" s="9" t="s">
        <v>2832</v>
      </c>
      <c r="L557" s="6" t="s">
        <v>2833</v>
      </c>
      <c r="M557" s="6" t="s">
        <v>2834</v>
      </c>
      <c r="N557" s="10"/>
      <c r="O557" s="4" t="str">
        <f aca="false">IF(N557="","",LEN(N557))</f>
        <v/>
      </c>
    </row>
    <row r="558" customFormat="false" ht="51.75" hidden="false" customHeight="true" outlineLevel="0" collapsed="false">
      <c r="A558" s="4" t="n">
        <v>557</v>
      </c>
      <c r="B558" s="5" t="n">
        <f aca="false">IF(OR(C558="სხვა მოდელი წერია",I558&gt;=განმარტება!$B$4),1,IF(OR(C558="ცარიელი",I558&gt;=1),2,IF(H558&gt;=განმარტება!$B$5,3,4)))</f>
        <v>3</v>
      </c>
      <c r="C558" s="6" t="s">
        <v>15</v>
      </c>
      <c r="D558" s="6" t="s">
        <v>2835</v>
      </c>
      <c r="E558" s="7" t="s">
        <v>2836</v>
      </c>
      <c r="F558" s="7" t="n">
        <v>3192</v>
      </c>
      <c r="G558" s="6" t="s">
        <v>211</v>
      </c>
      <c r="H558" s="8" t="n">
        <v>1099</v>
      </c>
      <c r="I558" s="8" t="n">
        <v>0</v>
      </c>
      <c r="J558" s="7" t="n">
        <v>0</v>
      </c>
      <c r="K558" s="9" t="s">
        <v>2837</v>
      </c>
      <c r="L558" s="6" t="s">
        <v>2838</v>
      </c>
      <c r="M558" s="6" t="s">
        <v>2839</v>
      </c>
      <c r="N558" s="10"/>
      <c r="O558" s="4" t="str">
        <f aca="false">IF(N558="","",LEN(N558))</f>
        <v/>
      </c>
    </row>
    <row r="559" customFormat="false" ht="51.75" hidden="false" customHeight="true" outlineLevel="0" collapsed="false">
      <c r="A559" s="4" t="n">
        <v>558</v>
      </c>
      <c r="B559" s="5" t="n">
        <f aca="false">IF(OR(C559="სხვა მოდელი წერია",I559&gt;=განმარტება!$B$4),1,IF(OR(C559="ცარიელი",I559&gt;=1),2,IF(H559&gt;=განმარტება!$B$5,3,4)))</f>
        <v>3</v>
      </c>
      <c r="C559" s="6" t="s">
        <v>15</v>
      </c>
      <c r="D559" s="6" t="s">
        <v>2840</v>
      </c>
      <c r="E559" s="7" t="s">
        <v>2841</v>
      </c>
      <c r="F559" s="7" t="n">
        <v>2955</v>
      </c>
      <c r="G559" s="6" t="s">
        <v>211</v>
      </c>
      <c r="H559" s="8" t="n">
        <v>1099</v>
      </c>
      <c r="I559" s="8" t="n">
        <v>0</v>
      </c>
      <c r="J559" s="7" t="n">
        <v>0</v>
      </c>
      <c r="K559" s="9" t="s">
        <v>2842</v>
      </c>
      <c r="L559" s="6" t="s">
        <v>2843</v>
      </c>
      <c r="M559" s="6" t="s">
        <v>2844</v>
      </c>
      <c r="N559" s="10"/>
      <c r="O559" s="4" t="str">
        <f aca="false">IF(N559="","",LEN(N559))</f>
        <v/>
      </c>
    </row>
    <row r="560" customFormat="false" ht="51.75" hidden="false" customHeight="true" outlineLevel="0" collapsed="false">
      <c r="A560" s="4" t="n">
        <v>559</v>
      </c>
      <c r="B560" s="5" t="n">
        <f aca="false">IF(OR(C560="სხვა მოდელი წერია",I560&gt;=განმარტება!$B$4),1,IF(OR(C560="ცარიელი",I560&gt;=1),2,IF(H560&gt;=განმარტება!$B$5,3,4)))</f>
        <v>3</v>
      </c>
      <c r="C560" s="6" t="s">
        <v>15</v>
      </c>
      <c r="D560" s="6" t="s">
        <v>2845</v>
      </c>
      <c r="E560" s="7" t="s">
        <v>2846</v>
      </c>
      <c r="F560" s="7" t="n">
        <v>3193</v>
      </c>
      <c r="G560" s="6" t="s">
        <v>211</v>
      </c>
      <c r="H560" s="8" t="n">
        <v>1099</v>
      </c>
      <c r="I560" s="8" t="n">
        <v>0</v>
      </c>
      <c r="J560" s="7" t="n">
        <v>0</v>
      </c>
      <c r="K560" s="9" t="s">
        <v>2847</v>
      </c>
      <c r="L560" s="6" t="s">
        <v>2848</v>
      </c>
      <c r="M560" s="6" t="s">
        <v>2849</v>
      </c>
      <c r="N560" s="10"/>
      <c r="O560" s="4" t="str">
        <f aca="false">IF(N560="","",LEN(N560))</f>
        <v/>
      </c>
    </row>
    <row r="561" customFormat="false" ht="51.75" hidden="false" customHeight="true" outlineLevel="0" collapsed="false">
      <c r="A561" s="4" t="n">
        <v>560</v>
      </c>
      <c r="B561" s="5" t="n">
        <f aca="false">IF(OR(C561="სხვა მოდელი წერია",I561&gt;=განმარტება!$B$4),1,IF(OR(C561="ცარიელი",I561&gt;=1),2,IF(H561&gt;=განმარტება!$B$5,3,4)))</f>
        <v>3</v>
      </c>
      <c r="C561" s="6" t="s">
        <v>15</v>
      </c>
      <c r="D561" s="6" t="s">
        <v>2850</v>
      </c>
      <c r="E561" s="7" t="s">
        <v>2851</v>
      </c>
      <c r="F561" s="7" t="n">
        <v>1378</v>
      </c>
      <c r="G561" s="6" t="s">
        <v>211</v>
      </c>
      <c r="H561" s="8" t="n">
        <v>1099</v>
      </c>
      <c r="I561" s="8" t="n">
        <v>0</v>
      </c>
      <c r="J561" s="7" t="n">
        <v>0</v>
      </c>
      <c r="K561" s="9" t="s">
        <v>2852</v>
      </c>
      <c r="L561" s="6" t="s">
        <v>2853</v>
      </c>
      <c r="M561" s="6" t="s">
        <v>2854</v>
      </c>
      <c r="N561" s="10"/>
      <c r="O561" s="4" t="str">
        <f aca="false">IF(N561="","",LEN(N561))</f>
        <v/>
      </c>
    </row>
    <row r="562" customFormat="false" ht="51.75" hidden="false" customHeight="true" outlineLevel="0" collapsed="false">
      <c r="A562" s="4" t="n">
        <v>561</v>
      </c>
      <c r="B562" s="5" t="n">
        <f aca="false">IF(OR(C562="სხვა მოდელი წერია",I562&gt;=განმარტება!$B$4),1,IF(OR(C562="ცარიელი",I562&gt;=1),2,IF(H562&gt;=განმარტება!$B$5,3,4)))</f>
        <v>3</v>
      </c>
      <c r="C562" s="6" t="s">
        <v>15</v>
      </c>
      <c r="D562" s="6" t="s">
        <v>2855</v>
      </c>
      <c r="E562" s="7" t="s">
        <v>2856</v>
      </c>
      <c r="F562" s="7" t="n">
        <v>3187</v>
      </c>
      <c r="G562" s="6" t="s">
        <v>211</v>
      </c>
      <c r="H562" s="8" t="n">
        <v>1099</v>
      </c>
      <c r="I562" s="8" t="n">
        <v>0</v>
      </c>
      <c r="J562" s="7" t="n">
        <v>0</v>
      </c>
      <c r="K562" s="9" t="s">
        <v>2857</v>
      </c>
      <c r="L562" s="6" t="s">
        <v>2858</v>
      </c>
      <c r="M562" s="6" t="s">
        <v>2859</v>
      </c>
      <c r="N562" s="10"/>
      <c r="O562" s="4" t="str">
        <f aca="false">IF(N562="","",LEN(N562))</f>
        <v/>
      </c>
    </row>
    <row r="563" customFormat="false" ht="39" hidden="false" customHeight="true" outlineLevel="0" collapsed="false">
      <c r="A563" s="4" t="n">
        <v>562</v>
      </c>
      <c r="B563" s="5" t="n">
        <f aca="false">IF(OR(C563="სხვა მოდელი წერია",I563&gt;=განმარტება!$B$4),1,IF(OR(C563="ცარიელი",I563&gt;=1),2,IF(H563&gt;=განმარტება!$B$5,3,4)))</f>
        <v>3</v>
      </c>
      <c r="C563" s="6" t="s">
        <v>15</v>
      </c>
      <c r="D563" s="6" t="s">
        <v>2860</v>
      </c>
      <c r="E563" s="7" t="s">
        <v>2861</v>
      </c>
      <c r="F563" s="7" t="n">
        <v>99</v>
      </c>
      <c r="G563" s="6" t="s">
        <v>205</v>
      </c>
      <c r="H563" s="8" t="n">
        <v>1099</v>
      </c>
      <c r="I563" s="8" t="n">
        <v>0</v>
      </c>
      <c r="J563" s="7" t="n">
        <v>0</v>
      </c>
      <c r="K563" s="9" t="s">
        <v>2862</v>
      </c>
      <c r="L563" s="6" t="s">
        <v>2863</v>
      </c>
      <c r="M563" s="6" t="s">
        <v>2864</v>
      </c>
      <c r="N563" s="10"/>
      <c r="O563" s="4" t="str">
        <f aca="false">IF(N563="","",LEN(N563))</f>
        <v/>
      </c>
    </row>
    <row r="564" customFormat="false" ht="39" hidden="false" customHeight="true" outlineLevel="0" collapsed="false">
      <c r="A564" s="4" t="n">
        <v>563</v>
      </c>
      <c r="B564" s="5" t="n">
        <f aca="false">IF(OR(C564="სხვა მოდელი წერია",I564&gt;=განმარტება!$B$4),1,IF(OR(C564="ცარიელი",I564&gt;=1),2,IF(H564&gt;=განმარტება!$B$5,3,4)))</f>
        <v>3</v>
      </c>
      <c r="C564" s="6" t="s">
        <v>15</v>
      </c>
      <c r="D564" s="6" t="s">
        <v>2865</v>
      </c>
      <c r="E564" s="7" t="s">
        <v>2866</v>
      </c>
      <c r="F564" s="7" t="n">
        <v>2353</v>
      </c>
      <c r="G564" s="6" t="s">
        <v>205</v>
      </c>
      <c r="H564" s="8" t="n">
        <v>1099</v>
      </c>
      <c r="I564" s="8" t="n">
        <v>0</v>
      </c>
      <c r="J564" s="7" t="n">
        <v>0</v>
      </c>
      <c r="K564" s="9" t="s">
        <v>2867</v>
      </c>
      <c r="L564" s="6" t="s">
        <v>2868</v>
      </c>
      <c r="M564" s="6" t="s">
        <v>2869</v>
      </c>
      <c r="N564" s="10"/>
      <c r="O564" s="4" t="str">
        <f aca="false">IF(N564="","",LEN(N564))</f>
        <v/>
      </c>
    </row>
    <row r="565" customFormat="false" ht="51.75" hidden="false" customHeight="true" outlineLevel="0" collapsed="false">
      <c r="A565" s="4" t="n">
        <v>564</v>
      </c>
      <c r="B565" s="5" t="n">
        <f aca="false">IF(OR(C565="სხვა მოდელი წერია",I565&gt;=განმარტება!$B$4),1,IF(OR(C565="ცარიელი",I565&gt;=1),2,IF(H565&gt;=განმარტება!$B$5,3,4)))</f>
        <v>3</v>
      </c>
      <c r="C565" s="6" t="s">
        <v>15</v>
      </c>
      <c r="D565" s="6" t="s">
        <v>2870</v>
      </c>
      <c r="E565" s="7" t="s">
        <v>2871</v>
      </c>
      <c r="F565" s="7" t="n">
        <v>2192</v>
      </c>
      <c r="G565" s="6" t="s">
        <v>134</v>
      </c>
      <c r="H565" s="8" t="n">
        <v>1099</v>
      </c>
      <c r="I565" s="8" t="n">
        <v>0</v>
      </c>
      <c r="J565" s="7" t="n">
        <v>0</v>
      </c>
      <c r="K565" s="9" t="s">
        <v>2872</v>
      </c>
      <c r="L565" s="6" t="s">
        <v>2873</v>
      </c>
      <c r="M565" s="6" t="s">
        <v>2874</v>
      </c>
      <c r="N565" s="10"/>
      <c r="O565" s="4" t="str">
        <f aca="false">IF(N565="","",LEN(N565))</f>
        <v/>
      </c>
    </row>
    <row r="566" customFormat="false" ht="64.5" hidden="false" customHeight="true" outlineLevel="0" collapsed="false">
      <c r="A566" s="4" t="n">
        <v>565</v>
      </c>
      <c r="B566" s="5" t="n">
        <f aca="false">IF(OR(C566="სხვა მოდელი წერია",I566&gt;=განმარტება!$B$4),1,IF(OR(C566="ცარიელი",I566&gt;=1),2,IF(H566&gt;=განმარტება!$B$5,3,4)))</f>
        <v>3</v>
      </c>
      <c r="C566" s="6" t="s">
        <v>15</v>
      </c>
      <c r="D566" s="6" t="s">
        <v>2875</v>
      </c>
      <c r="E566" s="7" t="s">
        <v>2876</v>
      </c>
      <c r="F566" s="7" t="n">
        <v>1482</v>
      </c>
      <c r="G566" s="6" t="s">
        <v>95</v>
      </c>
      <c r="H566" s="8" t="n">
        <v>1099</v>
      </c>
      <c r="I566" s="8" t="n">
        <v>0</v>
      </c>
      <c r="J566" s="7" t="n">
        <v>0</v>
      </c>
      <c r="K566" s="9" t="s">
        <v>2877</v>
      </c>
      <c r="L566" s="6" t="s">
        <v>2878</v>
      </c>
      <c r="M566" s="6" t="s">
        <v>2879</v>
      </c>
      <c r="N566" s="10"/>
      <c r="O566" s="4" t="str">
        <f aca="false">IF(N566="","",LEN(N566))</f>
        <v/>
      </c>
    </row>
    <row r="567" customFormat="false" ht="51.75" hidden="false" customHeight="true" outlineLevel="0" collapsed="false">
      <c r="A567" s="4" t="n">
        <v>566</v>
      </c>
      <c r="B567" s="5" t="n">
        <f aca="false">IF(OR(C567="სხვა მოდელი წერია",I567&gt;=განმარტება!$B$4),1,IF(OR(C567="ცარიელი",I567&gt;=1),2,IF(H567&gt;=განმარტება!$B$5,3,4)))</f>
        <v>3</v>
      </c>
      <c r="C567" s="6" t="s">
        <v>15</v>
      </c>
      <c r="D567" s="6" t="s">
        <v>2880</v>
      </c>
      <c r="E567" s="7" t="s">
        <v>2881</v>
      </c>
      <c r="F567" s="7" t="n">
        <v>2819</v>
      </c>
      <c r="G567" s="6" t="s">
        <v>48</v>
      </c>
      <c r="H567" s="8" t="n">
        <v>1099</v>
      </c>
      <c r="I567" s="8" t="n">
        <v>0</v>
      </c>
      <c r="J567" s="7" t="n">
        <v>0</v>
      </c>
      <c r="K567" s="9" t="s">
        <v>2882</v>
      </c>
      <c r="L567" s="6" t="s">
        <v>2883</v>
      </c>
      <c r="M567" s="6" t="s">
        <v>2884</v>
      </c>
      <c r="N567" s="10"/>
      <c r="O567" s="4" t="str">
        <f aca="false">IF(N567="","",LEN(N567))</f>
        <v/>
      </c>
    </row>
    <row r="568" customFormat="false" ht="39" hidden="false" customHeight="true" outlineLevel="0" collapsed="false">
      <c r="A568" s="4" t="n">
        <v>567</v>
      </c>
      <c r="B568" s="5" t="n">
        <f aca="false">IF(OR(C568="სხვა მოდელი წერია",I568&gt;=განმარტება!$B$4),1,IF(OR(C568="ცარიელი",I568&gt;=1),2,IF(H568&gt;=განმარტება!$B$5,3,4)))</f>
        <v>3</v>
      </c>
      <c r="C568" s="6" t="s">
        <v>15</v>
      </c>
      <c r="D568" s="6" t="s">
        <v>2885</v>
      </c>
      <c r="E568" s="7" t="s">
        <v>2886</v>
      </c>
      <c r="F568" s="7" t="n">
        <v>1435</v>
      </c>
      <c r="G568" s="6" t="s">
        <v>24</v>
      </c>
      <c r="H568" s="8" t="n">
        <v>1089</v>
      </c>
      <c r="I568" s="8" t="n">
        <v>0</v>
      </c>
      <c r="J568" s="7" t="n">
        <v>0</v>
      </c>
      <c r="K568" s="9" t="s">
        <v>2887</v>
      </c>
      <c r="L568" s="6" t="s">
        <v>2888</v>
      </c>
      <c r="M568" s="6" t="s">
        <v>2889</v>
      </c>
      <c r="N568" s="10"/>
      <c r="O568" s="4" t="str">
        <f aca="false">IF(N568="","",LEN(N568))</f>
        <v/>
      </c>
    </row>
    <row r="569" customFormat="false" ht="39" hidden="false" customHeight="true" outlineLevel="0" collapsed="false">
      <c r="A569" s="4" t="n">
        <v>568</v>
      </c>
      <c r="B569" s="5" t="n">
        <f aca="false">IF(OR(C569="სხვა მოდელი წერია",I569&gt;=განმარტება!$B$4),1,IF(OR(C569="ცარიელი",I569&gt;=1),2,IF(H569&gt;=განმარტება!$B$5,3,4)))</f>
        <v>3</v>
      </c>
      <c r="C569" s="6" t="s">
        <v>15</v>
      </c>
      <c r="D569" s="6" t="s">
        <v>2890</v>
      </c>
      <c r="E569" s="7" t="s">
        <v>2891</v>
      </c>
      <c r="F569" s="7" t="n">
        <v>2905</v>
      </c>
      <c r="G569" s="6" t="s">
        <v>402</v>
      </c>
      <c r="H569" s="8" t="n">
        <v>1089</v>
      </c>
      <c r="I569" s="8" t="n">
        <v>0</v>
      </c>
      <c r="J569" s="7" t="n">
        <v>0</v>
      </c>
      <c r="K569" s="9" t="s">
        <v>2892</v>
      </c>
      <c r="L569" s="6" t="s">
        <v>2893</v>
      </c>
      <c r="M569" s="6" t="s">
        <v>2894</v>
      </c>
      <c r="N569" s="10"/>
      <c r="O569" s="4" t="str">
        <f aca="false">IF(N569="","",LEN(N569))</f>
        <v/>
      </c>
    </row>
    <row r="570" customFormat="false" ht="39" hidden="false" customHeight="true" outlineLevel="0" collapsed="false">
      <c r="A570" s="4" t="n">
        <v>569</v>
      </c>
      <c r="B570" s="5" t="n">
        <f aca="false">IF(OR(C570="სხვა მოდელი წერია",I570&gt;=განმარტება!$B$4),1,IF(OR(C570="ცარიელი",I570&gt;=1),2,IF(H570&gt;=განმარტება!$B$5,3,4)))</f>
        <v>3</v>
      </c>
      <c r="C570" s="6" t="s">
        <v>15</v>
      </c>
      <c r="D570" s="6" t="s">
        <v>2895</v>
      </c>
      <c r="E570" s="7" t="s">
        <v>2896</v>
      </c>
      <c r="F570" s="7" t="n">
        <v>13064</v>
      </c>
      <c r="G570" s="6" t="s">
        <v>24</v>
      </c>
      <c r="H570" s="8" t="n">
        <v>1083</v>
      </c>
      <c r="I570" s="8" t="n">
        <v>0</v>
      </c>
      <c r="J570" s="7" t="n">
        <v>0</v>
      </c>
      <c r="K570" s="9" t="s">
        <v>2897</v>
      </c>
      <c r="L570" s="6" t="s">
        <v>2898</v>
      </c>
      <c r="M570" s="6" t="s">
        <v>2899</v>
      </c>
      <c r="N570" s="10"/>
      <c r="O570" s="4" t="str">
        <f aca="false">IF(N570="","",LEN(N570))</f>
        <v/>
      </c>
    </row>
    <row r="571" customFormat="false" ht="51.75" hidden="false" customHeight="true" outlineLevel="0" collapsed="false">
      <c r="A571" s="4" t="n">
        <v>570</v>
      </c>
      <c r="B571" s="5" t="n">
        <f aca="false">IF(OR(C571="სხვა მოდელი წერია",I571&gt;=განმარტება!$B$4),1,IF(OR(C571="ცარიელი",I571&gt;=1),2,IF(H571&gt;=განმარტება!$B$5,3,4)))</f>
        <v>3</v>
      </c>
      <c r="C571" s="6" t="s">
        <v>15</v>
      </c>
      <c r="D571" s="6" t="s">
        <v>2900</v>
      </c>
      <c r="E571" s="7" t="s">
        <v>2901</v>
      </c>
      <c r="F571" s="7" t="n">
        <v>1669</v>
      </c>
      <c r="G571" s="6" t="s">
        <v>211</v>
      </c>
      <c r="H571" s="8" t="n">
        <v>1079</v>
      </c>
      <c r="I571" s="8" t="n">
        <v>0</v>
      </c>
      <c r="J571" s="7" t="n">
        <v>0</v>
      </c>
      <c r="K571" s="9" t="s">
        <v>2902</v>
      </c>
      <c r="L571" s="6" t="s">
        <v>2903</v>
      </c>
      <c r="M571" s="6" t="s">
        <v>2904</v>
      </c>
      <c r="N571" s="10"/>
      <c r="O571" s="4" t="str">
        <f aca="false">IF(N571="","",LEN(N571))</f>
        <v/>
      </c>
    </row>
    <row r="572" customFormat="false" ht="51.75" hidden="false" customHeight="true" outlineLevel="0" collapsed="false">
      <c r="A572" s="4" t="n">
        <v>571</v>
      </c>
      <c r="B572" s="5" t="n">
        <f aca="false">IF(OR(C572="სხვა მოდელი წერია",I572&gt;=განმარტება!$B$4),1,IF(OR(C572="ცარიელი",I572&gt;=1),2,IF(H572&gt;=განმარტება!$B$5,3,4)))</f>
        <v>3</v>
      </c>
      <c r="C572" s="6" t="s">
        <v>15</v>
      </c>
      <c r="D572" s="6" t="s">
        <v>2905</v>
      </c>
      <c r="E572" s="7" t="s">
        <v>2906</v>
      </c>
      <c r="F572" s="7" t="n">
        <v>965</v>
      </c>
      <c r="G572" s="6" t="s">
        <v>211</v>
      </c>
      <c r="H572" s="8" t="n">
        <v>1079</v>
      </c>
      <c r="I572" s="8" t="n">
        <v>0</v>
      </c>
      <c r="J572" s="7" t="n">
        <v>0</v>
      </c>
      <c r="K572" s="9" t="s">
        <v>2907</v>
      </c>
      <c r="L572" s="6" t="s">
        <v>2908</v>
      </c>
      <c r="M572" s="6" t="s">
        <v>2909</v>
      </c>
      <c r="N572" s="10"/>
      <c r="O572" s="4" t="str">
        <f aca="false">IF(N572="","",LEN(N572))</f>
        <v/>
      </c>
    </row>
    <row r="573" customFormat="false" ht="39" hidden="false" customHeight="true" outlineLevel="0" collapsed="false">
      <c r="A573" s="4" t="n">
        <v>572</v>
      </c>
      <c r="B573" s="5" t="n">
        <f aca="false">IF(OR(C573="სხვა მოდელი წერია",I573&gt;=განმარტება!$B$4),1,IF(OR(C573="ცარიელი",I573&gt;=1),2,IF(H573&gt;=განმარტება!$B$5,3,4)))</f>
        <v>3</v>
      </c>
      <c r="C573" s="6" t="s">
        <v>15</v>
      </c>
      <c r="D573" s="6" t="s">
        <v>2910</v>
      </c>
      <c r="E573" s="7" t="s">
        <v>2911</v>
      </c>
      <c r="F573" s="7" t="n">
        <v>776</v>
      </c>
      <c r="G573" s="6" t="s">
        <v>302</v>
      </c>
      <c r="H573" s="8" t="n">
        <v>1070</v>
      </c>
      <c r="I573" s="8" t="n">
        <v>0</v>
      </c>
      <c r="J573" s="7" t="n">
        <v>0</v>
      </c>
      <c r="K573" s="9" t="s">
        <v>2912</v>
      </c>
      <c r="L573" s="6" t="s">
        <v>2913</v>
      </c>
      <c r="M573" s="6" t="s">
        <v>2914</v>
      </c>
      <c r="N573" s="10"/>
      <c r="O573" s="4" t="str">
        <f aca="false">IF(N573="","",LEN(N573))</f>
        <v/>
      </c>
    </row>
    <row r="574" customFormat="false" ht="39" hidden="false" customHeight="true" outlineLevel="0" collapsed="false">
      <c r="A574" s="4" t="n">
        <v>573</v>
      </c>
      <c r="B574" s="5" t="n">
        <f aca="false">IF(OR(C574="სხვა მოდელი წერია",I574&gt;=განმარტება!$B$4),1,IF(OR(C574="ცარიელი",I574&gt;=1),2,IF(H574&gt;=განმარტება!$B$5,3,4)))</f>
        <v>3</v>
      </c>
      <c r="C574" s="6" t="s">
        <v>15</v>
      </c>
      <c r="D574" s="6" t="s">
        <v>2915</v>
      </c>
      <c r="E574" s="7" t="s">
        <v>2916</v>
      </c>
      <c r="F574" s="7" t="n">
        <v>646</v>
      </c>
      <c r="G574" s="6" t="s">
        <v>24</v>
      </c>
      <c r="H574" s="8" t="n">
        <v>1068</v>
      </c>
      <c r="I574" s="8" t="n">
        <v>0</v>
      </c>
      <c r="J574" s="7" t="n">
        <v>0</v>
      </c>
      <c r="K574" s="9" t="s">
        <v>2917</v>
      </c>
      <c r="L574" s="6" t="s">
        <v>2918</v>
      </c>
      <c r="M574" s="6" t="s">
        <v>2919</v>
      </c>
      <c r="N574" s="10"/>
      <c r="O574" s="4" t="str">
        <f aca="false">IF(N574="","",LEN(N574))</f>
        <v/>
      </c>
    </row>
    <row r="575" customFormat="false" ht="39" hidden="false" customHeight="true" outlineLevel="0" collapsed="false">
      <c r="A575" s="4" t="n">
        <v>574</v>
      </c>
      <c r="B575" s="5" t="n">
        <f aca="false">IF(OR(C575="სხვა მოდელი წერია",I575&gt;=განმარტება!$B$4),1,IF(OR(C575="ცარიელი",I575&gt;=1),2,IF(H575&gt;=განმარტება!$B$5,3,4)))</f>
        <v>3</v>
      </c>
      <c r="C575" s="6" t="s">
        <v>15</v>
      </c>
      <c r="D575" s="6" t="s">
        <v>2920</v>
      </c>
      <c r="E575" s="7" t="s">
        <v>2921</v>
      </c>
      <c r="F575" s="7" t="n">
        <v>2756</v>
      </c>
      <c r="G575" s="6" t="s">
        <v>112</v>
      </c>
      <c r="H575" s="8" t="n">
        <v>1060</v>
      </c>
      <c r="I575" s="8" t="n">
        <v>0</v>
      </c>
      <c r="J575" s="7" t="n">
        <v>0</v>
      </c>
      <c r="K575" s="9" t="s">
        <v>2922</v>
      </c>
      <c r="L575" s="6" t="s">
        <v>2923</v>
      </c>
      <c r="M575" s="6" t="s">
        <v>2924</v>
      </c>
      <c r="N575" s="10"/>
      <c r="O575" s="4" t="str">
        <f aca="false">IF(N575="","",LEN(N575))</f>
        <v/>
      </c>
    </row>
    <row r="576" customFormat="false" ht="51.75" hidden="false" customHeight="true" outlineLevel="0" collapsed="false">
      <c r="A576" s="4" t="n">
        <v>575</v>
      </c>
      <c r="B576" s="5" t="n">
        <f aca="false">IF(OR(C576="სხვა მოდელი წერია",I576&gt;=განმარტება!$B$4),1,IF(OR(C576="ცარიელი",I576&gt;=1),2,IF(H576&gt;=განმარტება!$B$5,3,4)))</f>
        <v>3</v>
      </c>
      <c r="C576" s="6" t="s">
        <v>15</v>
      </c>
      <c r="D576" s="6" t="s">
        <v>2925</v>
      </c>
      <c r="E576" s="7" t="s">
        <v>2926</v>
      </c>
      <c r="F576" s="7" t="n">
        <v>1673</v>
      </c>
      <c r="G576" s="6" t="s">
        <v>211</v>
      </c>
      <c r="H576" s="8" t="n">
        <v>1059</v>
      </c>
      <c r="I576" s="8" t="n">
        <v>0</v>
      </c>
      <c r="J576" s="7" t="n">
        <v>0</v>
      </c>
      <c r="K576" s="9" t="s">
        <v>2927</v>
      </c>
      <c r="L576" s="6" t="s">
        <v>2928</v>
      </c>
      <c r="M576" s="6" t="s">
        <v>2929</v>
      </c>
      <c r="N576" s="10"/>
      <c r="O576" s="4" t="str">
        <f aca="false">IF(N576="","",LEN(N576))</f>
        <v/>
      </c>
    </row>
    <row r="577" customFormat="false" ht="39" hidden="false" customHeight="true" outlineLevel="0" collapsed="false">
      <c r="A577" s="4" t="n">
        <v>576</v>
      </c>
      <c r="B577" s="5" t="n">
        <f aca="false">IF(OR(C577="სხვა მოდელი წერია",I577&gt;=განმარტება!$B$4),1,IF(OR(C577="ცარიელი",I577&gt;=1),2,IF(H577&gt;=განმარტება!$B$5,3,4)))</f>
        <v>3</v>
      </c>
      <c r="C577" s="6" t="s">
        <v>15</v>
      </c>
      <c r="D577" s="6" t="s">
        <v>2930</v>
      </c>
      <c r="E577" s="7" t="s">
        <v>2931</v>
      </c>
      <c r="F577" s="7" t="n">
        <v>3798</v>
      </c>
      <c r="G577" s="6" t="s">
        <v>61</v>
      </c>
      <c r="H577" s="8" t="n">
        <v>1049</v>
      </c>
      <c r="I577" s="8" t="n">
        <v>0</v>
      </c>
      <c r="J577" s="7" t="n">
        <v>0</v>
      </c>
      <c r="K577" s="9" t="s">
        <v>2932</v>
      </c>
      <c r="L577" s="6" t="s">
        <v>2933</v>
      </c>
      <c r="M577" s="6" t="s">
        <v>2934</v>
      </c>
      <c r="N577" s="10"/>
      <c r="O577" s="4" t="str">
        <f aca="false">IF(N577="","",LEN(N577))</f>
        <v/>
      </c>
    </row>
    <row r="578" customFormat="false" ht="39" hidden="false" customHeight="true" outlineLevel="0" collapsed="false">
      <c r="A578" s="4" t="n">
        <v>577</v>
      </c>
      <c r="B578" s="5" t="n">
        <f aca="false">IF(OR(C578="სხვა მოდელი წერია",I578&gt;=განმარტება!$B$4),1,IF(OR(C578="ცარიელი",I578&gt;=1),2,IF(H578&gt;=განმარტება!$B$5,3,4)))</f>
        <v>3</v>
      </c>
      <c r="C578" s="6" t="s">
        <v>15</v>
      </c>
      <c r="D578" s="6" t="s">
        <v>2935</v>
      </c>
      <c r="E578" s="7" t="s">
        <v>2936</v>
      </c>
      <c r="F578" s="7" t="n">
        <v>3799</v>
      </c>
      <c r="G578" s="6" t="s">
        <v>61</v>
      </c>
      <c r="H578" s="8" t="n">
        <v>1049</v>
      </c>
      <c r="I578" s="8" t="n">
        <v>0</v>
      </c>
      <c r="J578" s="7" t="n">
        <v>0</v>
      </c>
      <c r="K578" s="9" t="s">
        <v>2937</v>
      </c>
      <c r="L578" s="6" t="s">
        <v>2938</v>
      </c>
      <c r="M578" s="6" t="s">
        <v>2939</v>
      </c>
      <c r="N578" s="10"/>
      <c r="O578" s="4" t="str">
        <f aca="false">IF(N578="","",LEN(N578))</f>
        <v/>
      </c>
    </row>
    <row r="579" customFormat="false" ht="39" hidden="false" customHeight="true" outlineLevel="0" collapsed="false">
      <c r="A579" s="4" t="n">
        <v>578</v>
      </c>
      <c r="B579" s="5" t="n">
        <f aca="false">IF(OR(C579="სხვა მოდელი წერია",I579&gt;=განმარტება!$B$4),1,IF(OR(C579="ცარიელი",I579&gt;=1),2,IF(H579&gt;=განმარტება!$B$5,3,4)))</f>
        <v>3</v>
      </c>
      <c r="C579" s="6" t="s">
        <v>15</v>
      </c>
      <c r="D579" s="6" t="s">
        <v>2940</v>
      </c>
      <c r="E579" s="7" t="s">
        <v>2941</v>
      </c>
      <c r="F579" s="7" t="n">
        <v>3445</v>
      </c>
      <c r="G579" s="6" t="s">
        <v>118</v>
      </c>
      <c r="H579" s="8" t="n">
        <v>1049</v>
      </c>
      <c r="I579" s="8" t="n">
        <v>0</v>
      </c>
      <c r="J579" s="7" t="n">
        <v>0</v>
      </c>
      <c r="K579" s="9" t="s">
        <v>2942</v>
      </c>
      <c r="L579" s="6" t="s">
        <v>2943</v>
      </c>
      <c r="M579" s="6" t="s">
        <v>2944</v>
      </c>
      <c r="N579" s="10"/>
      <c r="O579" s="4" t="str">
        <f aca="false">IF(N579="","",LEN(N579))</f>
        <v/>
      </c>
    </row>
    <row r="580" customFormat="false" ht="51.75" hidden="false" customHeight="true" outlineLevel="0" collapsed="false">
      <c r="A580" s="4" t="n">
        <v>579</v>
      </c>
      <c r="B580" s="5" t="n">
        <f aca="false">IF(OR(C580="სხვა მოდელი წერია",I580&gt;=განმარტება!$B$4),1,IF(OR(C580="ცარიელი",I580&gt;=1),2,IF(H580&gt;=განმარტება!$B$5,3,4)))</f>
        <v>3</v>
      </c>
      <c r="C580" s="6" t="s">
        <v>15</v>
      </c>
      <c r="D580" s="6" t="s">
        <v>2945</v>
      </c>
      <c r="E580" s="7" t="s">
        <v>2946</v>
      </c>
      <c r="F580" s="7" t="n">
        <v>1153</v>
      </c>
      <c r="G580" s="6" t="s">
        <v>1753</v>
      </c>
      <c r="H580" s="8" t="n">
        <v>1049</v>
      </c>
      <c r="I580" s="8" t="n">
        <v>0</v>
      </c>
      <c r="J580" s="7" t="n">
        <v>0</v>
      </c>
      <c r="K580" s="9" t="s">
        <v>2947</v>
      </c>
      <c r="L580" s="6" t="s">
        <v>2948</v>
      </c>
      <c r="M580" s="6" t="s">
        <v>2949</v>
      </c>
      <c r="N580" s="10"/>
      <c r="O580" s="4" t="str">
        <f aca="false">IF(N580="","",LEN(N580))</f>
        <v/>
      </c>
    </row>
    <row r="581" customFormat="false" ht="77.25" hidden="false" customHeight="true" outlineLevel="0" collapsed="false">
      <c r="A581" s="4" t="n">
        <v>580</v>
      </c>
      <c r="B581" s="5" t="n">
        <f aca="false">IF(OR(C581="სხვა მოდელი წერია",I581&gt;=განმარტება!$B$4),1,IF(OR(C581="ცარიელი",I581&gt;=1),2,IF(H581&gt;=განმარტება!$B$5,3,4)))</f>
        <v>3</v>
      </c>
      <c r="C581" s="6" t="s">
        <v>15</v>
      </c>
      <c r="D581" s="6" t="s">
        <v>2950</v>
      </c>
      <c r="E581" s="7" t="s">
        <v>2951</v>
      </c>
      <c r="F581" s="7" t="n">
        <v>2882</v>
      </c>
      <c r="G581" s="6" t="s">
        <v>1418</v>
      </c>
      <c r="H581" s="8" t="n">
        <v>1049</v>
      </c>
      <c r="I581" s="8" t="n">
        <v>0</v>
      </c>
      <c r="J581" s="7" t="n">
        <v>0</v>
      </c>
      <c r="K581" s="9" t="s">
        <v>2952</v>
      </c>
      <c r="L581" s="6" t="s">
        <v>2953</v>
      </c>
      <c r="M581" s="6" t="s">
        <v>2954</v>
      </c>
      <c r="N581" s="10"/>
      <c r="O581" s="4" t="str">
        <f aca="false">IF(N581="","",LEN(N581))</f>
        <v/>
      </c>
    </row>
    <row r="582" customFormat="false" ht="51.75" hidden="false" customHeight="true" outlineLevel="0" collapsed="false">
      <c r="A582" s="4" t="n">
        <v>581</v>
      </c>
      <c r="B582" s="5" t="n">
        <f aca="false">IF(OR(C582="სხვა მოდელი წერია",I582&gt;=განმარტება!$B$4),1,IF(OR(C582="ცარიელი",I582&gt;=1),2,IF(H582&gt;=განმარტება!$B$5,3,4)))</f>
        <v>3</v>
      </c>
      <c r="C582" s="6" t="s">
        <v>15</v>
      </c>
      <c r="D582" s="6" t="s">
        <v>2955</v>
      </c>
      <c r="E582" s="7" t="s">
        <v>2956</v>
      </c>
      <c r="F582" s="7" t="n">
        <v>2912</v>
      </c>
      <c r="G582" s="6" t="s">
        <v>30</v>
      </c>
      <c r="H582" s="8" t="n">
        <v>1049</v>
      </c>
      <c r="I582" s="8" t="n">
        <v>0</v>
      </c>
      <c r="J582" s="7" t="n">
        <v>0</v>
      </c>
      <c r="K582" s="9" t="s">
        <v>2957</v>
      </c>
      <c r="L582" s="6" t="s">
        <v>2958</v>
      </c>
      <c r="M582" s="6" t="s">
        <v>2959</v>
      </c>
      <c r="N582" s="10"/>
      <c r="O582" s="4" t="str">
        <f aca="false">IF(N582="","",LEN(N582))</f>
        <v/>
      </c>
    </row>
    <row r="583" customFormat="false" ht="77.25" hidden="false" customHeight="true" outlineLevel="0" collapsed="false">
      <c r="A583" s="4" t="n">
        <v>582</v>
      </c>
      <c r="B583" s="5" t="n">
        <f aca="false">IF(OR(C583="სხვა მოდელი წერია",I583&gt;=განმარტება!$B$4),1,IF(OR(C583="ცარიელი",I583&gt;=1),2,IF(H583&gt;=განმარტება!$B$5,3,4)))</f>
        <v>3</v>
      </c>
      <c r="C583" s="6" t="s">
        <v>15</v>
      </c>
      <c r="D583" s="6" t="s">
        <v>2960</v>
      </c>
      <c r="E583" s="7" t="s">
        <v>2961</v>
      </c>
      <c r="F583" s="7" t="n">
        <v>3141</v>
      </c>
      <c r="G583" s="6" t="s">
        <v>1418</v>
      </c>
      <c r="H583" s="8" t="n">
        <v>1049</v>
      </c>
      <c r="I583" s="8" t="n">
        <v>0</v>
      </c>
      <c r="J583" s="7" t="n">
        <v>0</v>
      </c>
      <c r="K583" s="9" t="s">
        <v>2962</v>
      </c>
      <c r="L583" s="6" t="s">
        <v>2963</v>
      </c>
      <c r="M583" s="6" t="s">
        <v>2964</v>
      </c>
      <c r="N583" s="10"/>
      <c r="O583" s="4" t="str">
        <f aca="false">IF(N583="","",LEN(N583))</f>
        <v/>
      </c>
    </row>
    <row r="584" customFormat="false" ht="51.75" hidden="false" customHeight="true" outlineLevel="0" collapsed="false">
      <c r="A584" s="4" t="n">
        <v>583</v>
      </c>
      <c r="B584" s="5" t="n">
        <f aca="false">IF(OR(C584="სხვა მოდელი წერია",I584&gt;=განმარტება!$B$4),1,IF(OR(C584="ცარიელი",I584&gt;=1),2,IF(H584&gt;=განმარტება!$B$5,3,4)))</f>
        <v>3</v>
      </c>
      <c r="C584" s="6" t="s">
        <v>15</v>
      </c>
      <c r="D584" s="6" t="s">
        <v>2965</v>
      </c>
      <c r="E584" s="7" t="s">
        <v>2966</v>
      </c>
      <c r="F584" s="7" t="n">
        <v>3040</v>
      </c>
      <c r="G584" s="6" t="s">
        <v>211</v>
      </c>
      <c r="H584" s="8" t="n">
        <v>1049</v>
      </c>
      <c r="I584" s="8" t="n">
        <v>0</v>
      </c>
      <c r="J584" s="7" t="n">
        <v>0</v>
      </c>
      <c r="K584" s="9" t="s">
        <v>2967</v>
      </c>
      <c r="L584" s="6" t="s">
        <v>372</v>
      </c>
      <c r="M584" s="6" t="s">
        <v>2968</v>
      </c>
      <c r="N584" s="10"/>
      <c r="O584" s="4" t="str">
        <f aca="false">IF(N584="","",LEN(N584))</f>
        <v/>
      </c>
    </row>
    <row r="585" customFormat="false" ht="51.75" hidden="false" customHeight="true" outlineLevel="0" collapsed="false">
      <c r="A585" s="4" t="n">
        <v>584</v>
      </c>
      <c r="B585" s="5" t="n">
        <f aca="false">IF(OR(C585="სხვა მოდელი წერია",I585&gt;=განმარტება!$B$4),1,IF(OR(C585="ცარიელი",I585&gt;=1),2,IF(H585&gt;=განმარტება!$B$5,3,4)))</f>
        <v>3</v>
      </c>
      <c r="C585" s="6" t="s">
        <v>15</v>
      </c>
      <c r="D585" s="6" t="s">
        <v>2969</v>
      </c>
      <c r="E585" s="7" t="s">
        <v>2970</v>
      </c>
      <c r="F585" s="7" t="n">
        <v>1385</v>
      </c>
      <c r="G585" s="6" t="s">
        <v>211</v>
      </c>
      <c r="H585" s="8" t="n">
        <v>1049</v>
      </c>
      <c r="I585" s="8" t="n">
        <v>0</v>
      </c>
      <c r="J585" s="7" t="n">
        <v>0</v>
      </c>
      <c r="K585" s="9" t="s">
        <v>2971</v>
      </c>
      <c r="L585" s="6" t="s">
        <v>2972</v>
      </c>
      <c r="M585" s="6" t="s">
        <v>2973</v>
      </c>
      <c r="N585" s="10"/>
      <c r="O585" s="4" t="str">
        <f aca="false">IF(N585="","",LEN(N585))</f>
        <v/>
      </c>
    </row>
    <row r="586" customFormat="false" ht="39" hidden="false" customHeight="true" outlineLevel="0" collapsed="false">
      <c r="A586" s="4" t="n">
        <v>585</v>
      </c>
      <c r="B586" s="5" t="n">
        <f aca="false">IF(OR(C586="სხვა მოდელი წერია",I586&gt;=განმარტება!$B$4),1,IF(OR(C586="ცარიელი",I586&gt;=1),2,IF(H586&gt;=განმარტება!$B$5,3,4)))</f>
        <v>3</v>
      </c>
      <c r="C586" s="6" t="s">
        <v>15</v>
      </c>
      <c r="D586" s="6" t="s">
        <v>2974</v>
      </c>
      <c r="E586" s="7" t="s">
        <v>2975</v>
      </c>
      <c r="F586" s="7" t="n">
        <v>1833</v>
      </c>
      <c r="G586" s="6" t="s">
        <v>112</v>
      </c>
      <c r="H586" s="8" t="n">
        <v>1043</v>
      </c>
      <c r="I586" s="8" t="n">
        <v>0</v>
      </c>
      <c r="J586" s="7" t="n">
        <v>0</v>
      </c>
      <c r="K586" s="9" t="s">
        <v>2976</v>
      </c>
      <c r="L586" s="6" t="s">
        <v>2977</v>
      </c>
      <c r="M586" s="6" t="s">
        <v>2978</v>
      </c>
      <c r="N586" s="10"/>
      <c r="O586" s="4" t="str">
        <f aca="false">IF(N586="","",LEN(N586))</f>
        <v/>
      </c>
    </row>
    <row r="587" customFormat="false" ht="39" hidden="false" customHeight="true" outlineLevel="0" collapsed="false">
      <c r="A587" s="4" t="n">
        <v>586</v>
      </c>
      <c r="B587" s="5" t="n">
        <f aca="false">IF(OR(C587="სხვა მოდელი წერია",I587&gt;=განმარტება!$B$4),1,IF(OR(C587="ცარიელი",I587&gt;=1),2,IF(H587&gt;=განმარტება!$B$5,3,4)))</f>
        <v>3</v>
      </c>
      <c r="C587" s="6" t="s">
        <v>15</v>
      </c>
      <c r="D587" s="6" t="s">
        <v>2979</v>
      </c>
      <c r="E587" s="7" t="s">
        <v>2980</v>
      </c>
      <c r="F587" s="7" t="n">
        <v>1689</v>
      </c>
      <c r="G587" s="6" t="s">
        <v>112</v>
      </c>
      <c r="H587" s="8" t="n">
        <v>1039</v>
      </c>
      <c r="I587" s="8" t="n">
        <v>0</v>
      </c>
      <c r="J587" s="7" t="n">
        <v>0</v>
      </c>
      <c r="K587" s="9" t="s">
        <v>2981</v>
      </c>
      <c r="L587" s="6" t="s">
        <v>2982</v>
      </c>
      <c r="M587" s="6" t="s">
        <v>2983</v>
      </c>
      <c r="N587" s="10"/>
      <c r="O587" s="4" t="str">
        <f aca="false">IF(N587="","",LEN(N587))</f>
        <v/>
      </c>
    </row>
    <row r="588" customFormat="false" ht="51.75" hidden="false" customHeight="true" outlineLevel="0" collapsed="false">
      <c r="A588" s="4" t="n">
        <v>587</v>
      </c>
      <c r="B588" s="5" t="n">
        <f aca="false">IF(OR(C588="სხვა მოდელი წერია",I588&gt;=განმარტება!$B$4),1,IF(OR(C588="ცარიელი",I588&gt;=1),2,IF(H588&gt;=განმარტება!$B$5,3,4)))</f>
        <v>3</v>
      </c>
      <c r="C588" s="6" t="s">
        <v>15</v>
      </c>
      <c r="D588" s="6" t="s">
        <v>2984</v>
      </c>
      <c r="E588" s="7" t="s">
        <v>2985</v>
      </c>
      <c r="F588" s="7" t="n">
        <v>3792</v>
      </c>
      <c r="G588" s="6" t="s">
        <v>48</v>
      </c>
      <c r="H588" s="8" t="n">
        <v>1039</v>
      </c>
      <c r="I588" s="8" t="n">
        <v>0</v>
      </c>
      <c r="J588" s="7" t="n">
        <v>0</v>
      </c>
      <c r="K588" s="9" t="s">
        <v>2986</v>
      </c>
      <c r="L588" s="6" t="s">
        <v>2987</v>
      </c>
      <c r="M588" s="6" t="s">
        <v>2988</v>
      </c>
      <c r="N588" s="10"/>
      <c r="O588" s="4" t="str">
        <f aca="false">IF(N588="","",LEN(N588))</f>
        <v/>
      </c>
    </row>
    <row r="589" customFormat="false" ht="39" hidden="false" customHeight="true" outlineLevel="0" collapsed="false">
      <c r="A589" s="4" t="n">
        <v>588</v>
      </c>
      <c r="B589" s="5" t="n">
        <f aca="false">IF(OR(C589="სხვა მოდელი წერია",I589&gt;=განმარტება!$B$4),1,IF(OR(C589="ცარიელი",I589&gt;=1),2,IF(H589&gt;=განმარტება!$B$5,3,4)))</f>
        <v>3</v>
      </c>
      <c r="C589" s="6" t="s">
        <v>15</v>
      </c>
      <c r="D589" s="6" t="s">
        <v>2989</v>
      </c>
      <c r="E589" s="7" t="s">
        <v>2990</v>
      </c>
      <c r="F589" s="7" t="n">
        <v>762</v>
      </c>
      <c r="G589" s="6" t="s">
        <v>302</v>
      </c>
      <c r="H589" s="8" t="n">
        <v>1035</v>
      </c>
      <c r="I589" s="8" t="n">
        <v>0</v>
      </c>
      <c r="J589" s="7" t="n">
        <v>0</v>
      </c>
      <c r="K589" s="9" t="s">
        <v>2991</v>
      </c>
      <c r="L589" s="6" t="s">
        <v>2992</v>
      </c>
      <c r="M589" s="6" t="s">
        <v>2993</v>
      </c>
      <c r="N589" s="10"/>
      <c r="O589" s="4" t="str">
        <f aca="false">IF(N589="","",LEN(N589))</f>
        <v/>
      </c>
    </row>
    <row r="590" customFormat="false" ht="77.25" hidden="false" customHeight="true" outlineLevel="0" collapsed="false">
      <c r="A590" s="4" t="n">
        <v>589</v>
      </c>
      <c r="B590" s="5" t="n">
        <f aca="false">IF(OR(C590="სხვა მოდელი წერია",I590&gt;=განმარტება!$B$4),1,IF(OR(C590="ცარიელი",I590&gt;=1),2,IF(H590&gt;=განმარტება!$B$5,3,4)))</f>
        <v>3</v>
      </c>
      <c r="C590" s="6" t="s">
        <v>15</v>
      </c>
      <c r="D590" s="6" t="s">
        <v>2994</v>
      </c>
      <c r="E590" s="7" t="s">
        <v>2995</v>
      </c>
      <c r="F590" s="7" t="n">
        <v>12003</v>
      </c>
      <c r="G590" s="6" t="s">
        <v>2272</v>
      </c>
      <c r="H590" s="8" t="n">
        <v>1015</v>
      </c>
      <c r="I590" s="8" t="n">
        <v>0</v>
      </c>
      <c r="J590" s="7" t="n">
        <v>0</v>
      </c>
      <c r="K590" s="9" t="s">
        <v>2996</v>
      </c>
      <c r="L590" s="6" t="s">
        <v>2997</v>
      </c>
      <c r="M590" s="6" t="s">
        <v>2998</v>
      </c>
      <c r="N590" s="10"/>
      <c r="O590" s="4" t="str">
        <f aca="false">IF(N590="","",LEN(N590))</f>
        <v/>
      </c>
    </row>
    <row r="591" customFormat="false" ht="39" hidden="false" customHeight="true" outlineLevel="0" collapsed="false">
      <c r="A591" s="4" t="n">
        <v>590</v>
      </c>
      <c r="B591" s="5" t="n">
        <f aca="false">IF(OR(C591="სხვა მოდელი წერია",I591&gt;=განმარტება!$B$4),1,IF(OR(C591="ცარიელი",I591&gt;=1),2,IF(H591&gt;=განმარტება!$B$5,3,4)))</f>
        <v>3</v>
      </c>
      <c r="C591" s="6" t="s">
        <v>15</v>
      </c>
      <c r="D591" s="6" t="s">
        <v>2999</v>
      </c>
      <c r="E591" s="7" t="s">
        <v>3000</v>
      </c>
      <c r="F591" s="7" t="n">
        <v>1947</v>
      </c>
      <c r="G591" s="6" t="s">
        <v>749</v>
      </c>
      <c r="H591" s="8" t="n">
        <v>1010</v>
      </c>
      <c r="I591" s="8" t="n">
        <v>0</v>
      </c>
      <c r="J591" s="7" t="n">
        <v>0</v>
      </c>
      <c r="K591" s="9" t="s">
        <v>3001</v>
      </c>
      <c r="L591" s="6" t="s">
        <v>3002</v>
      </c>
      <c r="M591" s="6" t="s">
        <v>3003</v>
      </c>
      <c r="N591" s="10"/>
      <c r="O591" s="4" t="str">
        <f aca="false">IF(N591="","",LEN(N591))</f>
        <v/>
      </c>
    </row>
    <row r="592" customFormat="false" ht="39" hidden="false" customHeight="true" outlineLevel="0" collapsed="false">
      <c r="A592" s="4" t="n">
        <v>591</v>
      </c>
      <c r="B592" s="5" t="n">
        <f aca="false">IF(OR(C592="სხვა მოდელი წერია",I592&gt;=განმარტება!$B$4),1,IF(OR(C592="ცარიელი",I592&gt;=1),2,IF(H592&gt;=განმარტება!$B$5,3,4)))</f>
        <v>4</v>
      </c>
      <c r="C592" s="6" t="s">
        <v>15</v>
      </c>
      <c r="D592" s="6" t="s">
        <v>3004</v>
      </c>
      <c r="E592" s="7" t="s">
        <v>3005</v>
      </c>
      <c r="F592" s="7" t="n">
        <v>3796</v>
      </c>
      <c r="G592" s="6" t="s">
        <v>61</v>
      </c>
      <c r="H592" s="8" t="n">
        <v>999</v>
      </c>
      <c r="I592" s="8" t="n">
        <v>0</v>
      </c>
      <c r="J592" s="7" t="n">
        <v>0</v>
      </c>
      <c r="K592" s="9" t="s">
        <v>3006</v>
      </c>
      <c r="L592" s="6" t="s">
        <v>3007</v>
      </c>
      <c r="M592" s="6" t="s">
        <v>3008</v>
      </c>
      <c r="N592" s="10"/>
      <c r="O592" s="4" t="str">
        <f aca="false">IF(N592="","",LEN(N592))</f>
        <v/>
      </c>
    </row>
    <row r="593" customFormat="false" ht="39" hidden="false" customHeight="true" outlineLevel="0" collapsed="false">
      <c r="A593" s="4" t="n">
        <v>592</v>
      </c>
      <c r="B593" s="5" t="n">
        <f aca="false">IF(OR(C593="სხვა მოდელი წერია",I593&gt;=განმარტება!$B$4),1,IF(OR(C593="ცარიელი",I593&gt;=1),2,IF(H593&gt;=განმარტება!$B$5,3,4)))</f>
        <v>4</v>
      </c>
      <c r="C593" s="6" t="s">
        <v>15</v>
      </c>
      <c r="D593" s="6" t="s">
        <v>3009</v>
      </c>
      <c r="E593" s="7" t="s">
        <v>3010</v>
      </c>
      <c r="F593" s="7" t="n">
        <v>1996</v>
      </c>
      <c r="G593" s="6" t="s">
        <v>3011</v>
      </c>
      <c r="H593" s="8" t="n">
        <v>999</v>
      </c>
      <c r="I593" s="8" t="n">
        <v>0</v>
      </c>
      <c r="J593" s="7" t="n">
        <v>0</v>
      </c>
      <c r="K593" s="9" t="s">
        <v>3012</v>
      </c>
      <c r="L593" s="6" t="s">
        <v>3013</v>
      </c>
      <c r="M593" s="6" t="s">
        <v>3014</v>
      </c>
      <c r="N593" s="10"/>
      <c r="O593" s="4" t="str">
        <f aca="false">IF(N593="","",LEN(N593))</f>
        <v/>
      </c>
    </row>
    <row r="594" customFormat="false" ht="39" hidden="false" customHeight="true" outlineLevel="0" collapsed="false">
      <c r="A594" s="4" t="n">
        <v>593</v>
      </c>
      <c r="B594" s="5" t="n">
        <f aca="false">IF(OR(C594="სხვა მოდელი წერია",I594&gt;=განმარტება!$B$4),1,IF(OR(C594="ცარიელი",I594&gt;=1),2,IF(H594&gt;=განმარტება!$B$5,3,4)))</f>
        <v>4</v>
      </c>
      <c r="C594" s="6" t="s">
        <v>15</v>
      </c>
      <c r="D594" s="6" t="s">
        <v>3015</v>
      </c>
      <c r="E594" s="7" t="s">
        <v>3016</v>
      </c>
      <c r="F594" s="7" t="n">
        <v>2760</v>
      </c>
      <c r="G594" s="6" t="s">
        <v>112</v>
      </c>
      <c r="H594" s="8" t="n">
        <v>999</v>
      </c>
      <c r="I594" s="8" t="n">
        <v>0</v>
      </c>
      <c r="J594" s="7" t="n">
        <v>0</v>
      </c>
      <c r="K594" s="9" t="s">
        <v>3017</v>
      </c>
      <c r="L594" s="6" t="s">
        <v>3018</v>
      </c>
      <c r="M594" s="6" t="s">
        <v>3019</v>
      </c>
      <c r="N594" s="10"/>
      <c r="O594" s="4" t="str">
        <f aca="false">IF(N594="","",LEN(N594))</f>
        <v/>
      </c>
    </row>
    <row r="595" customFormat="false" ht="39" hidden="false" customHeight="true" outlineLevel="0" collapsed="false">
      <c r="A595" s="4" t="n">
        <v>594</v>
      </c>
      <c r="B595" s="5" t="n">
        <f aca="false">IF(OR(C595="სხვა მოდელი წერია",I595&gt;=განმარტება!$B$4),1,IF(OR(C595="ცარიელი",I595&gt;=1),2,IF(H595&gt;=განმარტება!$B$5,3,4)))</f>
        <v>4</v>
      </c>
      <c r="C595" s="6" t="s">
        <v>15</v>
      </c>
      <c r="D595" s="6" t="s">
        <v>3020</v>
      </c>
      <c r="E595" s="7" t="s">
        <v>3021</v>
      </c>
      <c r="F595" s="7" t="n">
        <v>1054</v>
      </c>
      <c r="G595" s="6" t="s">
        <v>112</v>
      </c>
      <c r="H595" s="8" t="n">
        <v>999</v>
      </c>
      <c r="I595" s="8" t="n">
        <v>0</v>
      </c>
      <c r="J595" s="7" t="n">
        <v>0</v>
      </c>
      <c r="K595" s="9" t="s">
        <v>3022</v>
      </c>
      <c r="L595" s="6" t="s">
        <v>3023</v>
      </c>
      <c r="M595" s="6" t="s">
        <v>3024</v>
      </c>
      <c r="N595" s="10"/>
      <c r="O595" s="4" t="str">
        <f aca="false">IF(N595="","",LEN(N595))</f>
        <v/>
      </c>
    </row>
    <row r="596" customFormat="false" ht="51.75" hidden="false" customHeight="true" outlineLevel="0" collapsed="false">
      <c r="A596" s="4" t="n">
        <v>595</v>
      </c>
      <c r="B596" s="5" t="n">
        <f aca="false">IF(OR(C596="სხვა მოდელი წერია",I596&gt;=განმარტება!$B$4),1,IF(OR(C596="ცარიელი",I596&gt;=1),2,IF(H596&gt;=განმარტება!$B$5,3,4)))</f>
        <v>4</v>
      </c>
      <c r="C596" s="6" t="s">
        <v>316</v>
      </c>
      <c r="D596" s="6" t="s">
        <v>3025</v>
      </c>
      <c r="E596" s="7" t="s">
        <v>3026</v>
      </c>
      <c r="F596" s="7" t="n">
        <v>3334</v>
      </c>
      <c r="G596" s="6" t="s">
        <v>24</v>
      </c>
      <c r="H596" s="8" t="n">
        <v>999</v>
      </c>
      <c r="I596" s="8" t="n">
        <v>0</v>
      </c>
      <c r="J596" s="7" t="n">
        <v>0</v>
      </c>
      <c r="K596" s="9" t="s">
        <v>3027</v>
      </c>
      <c r="L596" s="6" t="s">
        <v>3028</v>
      </c>
      <c r="M596" s="6" t="s">
        <v>3029</v>
      </c>
      <c r="N596" s="10"/>
      <c r="O596" s="4" t="str">
        <f aca="false">IF(N596="","",LEN(N596))</f>
        <v/>
      </c>
    </row>
    <row r="597" customFormat="false" ht="39" hidden="false" customHeight="true" outlineLevel="0" collapsed="false">
      <c r="A597" s="4" t="n">
        <v>596</v>
      </c>
      <c r="B597" s="5" t="n">
        <f aca="false">IF(OR(C597="სხვა მოდელი წერია",I597&gt;=განმარტება!$B$4),1,IF(OR(C597="ცარიელი",I597&gt;=1),2,IF(H597&gt;=განმარტება!$B$5,3,4)))</f>
        <v>4</v>
      </c>
      <c r="C597" s="6" t="s">
        <v>15</v>
      </c>
      <c r="D597" s="6" t="s">
        <v>3030</v>
      </c>
      <c r="E597" s="7" t="s">
        <v>3031</v>
      </c>
      <c r="F597" s="7" t="n">
        <v>656</v>
      </c>
      <c r="G597" s="6" t="s">
        <v>24</v>
      </c>
      <c r="H597" s="8" t="n">
        <v>999</v>
      </c>
      <c r="I597" s="8" t="n">
        <v>0</v>
      </c>
      <c r="J597" s="7" t="n">
        <v>0</v>
      </c>
      <c r="K597" s="9" t="s">
        <v>3032</v>
      </c>
      <c r="L597" s="6" t="s">
        <v>3033</v>
      </c>
      <c r="M597" s="6" t="s">
        <v>3034</v>
      </c>
      <c r="N597" s="10"/>
      <c r="O597" s="4" t="str">
        <f aca="false">IF(N597="","",LEN(N597))</f>
        <v/>
      </c>
    </row>
    <row r="598" customFormat="false" ht="39" hidden="false" customHeight="true" outlineLevel="0" collapsed="false">
      <c r="A598" s="4" t="n">
        <v>597</v>
      </c>
      <c r="B598" s="5" t="n">
        <f aca="false">IF(OR(C598="სხვა მოდელი წერია",I598&gt;=განმარტება!$B$4),1,IF(OR(C598="ცარიელი",I598&gt;=1),2,IF(H598&gt;=განმარტება!$B$5,3,4)))</f>
        <v>4</v>
      </c>
      <c r="C598" s="6" t="s">
        <v>15</v>
      </c>
      <c r="D598" s="6" t="s">
        <v>3035</v>
      </c>
      <c r="E598" s="7" t="s">
        <v>3036</v>
      </c>
      <c r="F598" s="7" t="n">
        <v>165</v>
      </c>
      <c r="G598" s="6" t="s">
        <v>24</v>
      </c>
      <c r="H598" s="8" t="n">
        <v>999</v>
      </c>
      <c r="I598" s="8" t="n">
        <v>0</v>
      </c>
      <c r="J598" s="7" t="n">
        <v>0</v>
      </c>
      <c r="K598" s="9" t="s">
        <v>3037</v>
      </c>
      <c r="L598" s="6" t="s">
        <v>3038</v>
      </c>
      <c r="M598" s="6" t="s">
        <v>3039</v>
      </c>
      <c r="N598" s="10"/>
      <c r="O598" s="4" t="str">
        <f aca="false">IF(N598="","",LEN(N598))</f>
        <v/>
      </c>
    </row>
    <row r="599" customFormat="false" ht="39" hidden="false" customHeight="true" outlineLevel="0" collapsed="false">
      <c r="A599" s="4" t="n">
        <v>598</v>
      </c>
      <c r="B599" s="5" t="n">
        <f aca="false">IF(OR(C599="სხვა მოდელი წერია",I599&gt;=განმარტება!$B$4),1,IF(OR(C599="ცარიელი",I599&gt;=1),2,IF(H599&gt;=განმარტება!$B$5,3,4)))</f>
        <v>4</v>
      </c>
      <c r="C599" s="6" t="s">
        <v>15</v>
      </c>
      <c r="D599" s="6" t="s">
        <v>3040</v>
      </c>
      <c r="E599" s="7" t="s">
        <v>3041</v>
      </c>
      <c r="F599" s="7" t="n">
        <v>2946</v>
      </c>
      <c r="G599" s="6" t="s">
        <v>112</v>
      </c>
      <c r="H599" s="8" t="n">
        <v>999</v>
      </c>
      <c r="I599" s="8" t="n">
        <v>0</v>
      </c>
      <c r="J599" s="7" t="n">
        <v>0</v>
      </c>
      <c r="K599" s="9" t="s">
        <v>3042</v>
      </c>
      <c r="L599" s="6" t="s">
        <v>3043</v>
      </c>
      <c r="M599" s="6" t="s">
        <v>3044</v>
      </c>
      <c r="N599" s="10"/>
      <c r="O599" s="4" t="str">
        <f aca="false">IF(N599="","",LEN(N599))</f>
        <v/>
      </c>
    </row>
    <row r="600" customFormat="false" ht="77.25" hidden="false" customHeight="true" outlineLevel="0" collapsed="false">
      <c r="A600" s="4" t="n">
        <v>599</v>
      </c>
      <c r="B600" s="5" t="n">
        <f aca="false">IF(OR(C600="სხვა მოდელი წერია",I600&gt;=განმარტება!$B$4),1,IF(OR(C600="ცარიელი",I600&gt;=1),2,IF(H600&gt;=განმარტება!$B$5,3,4)))</f>
        <v>4</v>
      </c>
      <c r="C600" s="6" t="s">
        <v>15</v>
      </c>
      <c r="D600" s="6" t="s">
        <v>3045</v>
      </c>
      <c r="E600" s="7" t="s">
        <v>3046</v>
      </c>
      <c r="F600" s="7" t="n">
        <v>2808</v>
      </c>
      <c r="G600" s="6" t="s">
        <v>1418</v>
      </c>
      <c r="H600" s="8" t="n">
        <v>999</v>
      </c>
      <c r="I600" s="8" t="n">
        <v>0</v>
      </c>
      <c r="J600" s="7" t="n">
        <v>0</v>
      </c>
      <c r="K600" s="9" t="s">
        <v>3047</v>
      </c>
      <c r="L600" s="6" t="s">
        <v>3048</v>
      </c>
      <c r="M600" s="6" t="s">
        <v>3049</v>
      </c>
      <c r="N600" s="10"/>
      <c r="O600" s="4" t="str">
        <f aca="false">IF(N600="","",LEN(N600))</f>
        <v/>
      </c>
    </row>
    <row r="601" customFormat="false" ht="51.75" hidden="false" customHeight="true" outlineLevel="0" collapsed="false">
      <c r="A601" s="4" t="n">
        <v>600</v>
      </c>
      <c r="B601" s="5" t="n">
        <f aca="false">IF(OR(C601="სხვა მოდელი წერია",I601&gt;=განმარტება!$B$4),1,IF(OR(C601="ცარიელი",I601&gt;=1),2,IF(H601&gt;=განმარტება!$B$5,3,4)))</f>
        <v>4</v>
      </c>
      <c r="C601" s="6" t="s">
        <v>15</v>
      </c>
      <c r="D601" s="6" t="s">
        <v>3050</v>
      </c>
      <c r="E601" s="7" t="s">
        <v>3051</v>
      </c>
      <c r="F601" s="7" t="n">
        <v>1578</v>
      </c>
      <c r="G601" s="6" t="s">
        <v>211</v>
      </c>
      <c r="H601" s="8" t="n">
        <v>999</v>
      </c>
      <c r="I601" s="8" t="n">
        <v>0</v>
      </c>
      <c r="J601" s="7" t="n">
        <v>0</v>
      </c>
      <c r="K601" s="9" t="s">
        <v>3052</v>
      </c>
      <c r="L601" s="6" t="s">
        <v>3053</v>
      </c>
      <c r="M601" s="6" t="s">
        <v>3054</v>
      </c>
      <c r="N601" s="10"/>
      <c r="O601" s="4" t="str">
        <f aca="false">IF(N601="","",LEN(N601))</f>
        <v/>
      </c>
    </row>
    <row r="602" customFormat="false" ht="51.75" hidden="false" customHeight="true" outlineLevel="0" collapsed="false">
      <c r="A602" s="4" t="n">
        <v>601</v>
      </c>
      <c r="B602" s="5" t="n">
        <f aca="false">IF(OR(C602="სხვა მოდელი წერია",I602&gt;=განმარტება!$B$4),1,IF(OR(C602="ცარიელი",I602&gt;=1),2,IF(H602&gt;=განმარტება!$B$5,3,4)))</f>
        <v>4</v>
      </c>
      <c r="C602" s="6" t="s">
        <v>15</v>
      </c>
      <c r="D602" s="6" t="s">
        <v>3055</v>
      </c>
      <c r="E602" s="7" t="s">
        <v>3056</v>
      </c>
      <c r="F602" s="7" t="n">
        <v>968</v>
      </c>
      <c r="G602" s="6" t="s">
        <v>211</v>
      </c>
      <c r="H602" s="8" t="n">
        <v>999</v>
      </c>
      <c r="I602" s="8" t="n">
        <v>0</v>
      </c>
      <c r="J602" s="7" t="n">
        <v>0</v>
      </c>
      <c r="K602" s="9" t="s">
        <v>3057</v>
      </c>
      <c r="L602" s="6" t="s">
        <v>3058</v>
      </c>
      <c r="M602" s="6" t="s">
        <v>3059</v>
      </c>
      <c r="N602" s="10"/>
      <c r="O602" s="4" t="str">
        <f aca="false">IF(N602="","",LEN(N602))</f>
        <v/>
      </c>
    </row>
    <row r="603" customFormat="false" ht="51.75" hidden="false" customHeight="true" outlineLevel="0" collapsed="false">
      <c r="A603" s="4" t="n">
        <v>602</v>
      </c>
      <c r="B603" s="5" t="n">
        <f aca="false">IF(OR(C603="სხვა მოდელი წერია",I603&gt;=განმარტება!$B$4),1,IF(OR(C603="ცარიელი",I603&gt;=1),2,IF(H603&gt;=განმარტება!$B$5,3,4)))</f>
        <v>4</v>
      </c>
      <c r="C603" s="6" t="s">
        <v>15</v>
      </c>
      <c r="D603" s="6" t="s">
        <v>3060</v>
      </c>
      <c r="E603" s="7" t="s">
        <v>3061</v>
      </c>
      <c r="F603" s="7" t="n">
        <v>1377</v>
      </c>
      <c r="G603" s="6" t="s">
        <v>211</v>
      </c>
      <c r="H603" s="8" t="n">
        <v>999</v>
      </c>
      <c r="I603" s="8" t="n">
        <v>0</v>
      </c>
      <c r="J603" s="7" t="n">
        <v>0</v>
      </c>
      <c r="K603" s="9" t="s">
        <v>3062</v>
      </c>
      <c r="L603" s="6" t="s">
        <v>3063</v>
      </c>
      <c r="M603" s="6" t="s">
        <v>3064</v>
      </c>
      <c r="N603" s="10"/>
      <c r="O603" s="4" t="str">
        <f aca="false">IF(N603="","",LEN(N603))</f>
        <v/>
      </c>
    </row>
    <row r="604" customFormat="false" ht="39" hidden="false" customHeight="true" outlineLevel="0" collapsed="false">
      <c r="A604" s="4" t="n">
        <v>603</v>
      </c>
      <c r="B604" s="5" t="n">
        <f aca="false">IF(OR(C604="სხვა მოდელი წერია",I604&gt;=განმარტება!$B$4),1,IF(OR(C604="ცარიელი",I604&gt;=1),2,IF(H604&gt;=განმარტება!$B$5,3,4)))</f>
        <v>4</v>
      </c>
      <c r="C604" s="6" t="s">
        <v>15</v>
      </c>
      <c r="D604" s="6" t="s">
        <v>3065</v>
      </c>
      <c r="E604" s="7" t="s">
        <v>3066</v>
      </c>
      <c r="F604" s="7" t="n">
        <v>3090</v>
      </c>
      <c r="G604" s="6" t="s">
        <v>402</v>
      </c>
      <c r="H604" s="8" t="n">
        <v>999</v>
      </c>
      <c r="I604" s="8" t="n">
        <v>0</v>
      </c>
      <c r="J604" s="7" t="n">
        <v>0</v>
      </c>
      <c r="K604" s="9" t="s">
        <v>3067</v>
      </c>
      <c r="L604" s="6" t="s">
        <v>3068</v>
      </c>
      <c r="M604" s="6" t="s">
        <v>3069</v>
      </c>
      <c r="N604" s="10"/>
      <c r="O604" s="4" t="str">
        <f aca="false">IF(N604="","",LEN(N604))</f>
        <v/>
      </c>
    </row>
    <row r="605" customFormat="false" ht="39" hidden="false" customHeight="true" outlineLevel="0" collapsed="false">
      <c r="A605" s="4" t="n">
        <v>604</v>
      </c>
      <c r="B605" s="5" t="n">
        <f aca="false">IF(OR(C605="სხვა მოდელი წერია",I605&gt;=განმარტება!$B$4),1,IF(OR(C605="ცარიელი",I605&gt;=1),2,IF(H605&gt;=განმარტება!$B$5,3,4)))</f>
        <v>4</v>
      </c>
      <c r="C605" s="6" t="s">
        <v>15</v>
      </c>
      <c r="D605" s="6" t="s">
        <v>3070</v>
      </c>
      <c r="E605" s="7" t="s">
        <v>3071</v>
      </c>
      <c r="F605" s="7" t="n">
        <v>5081</v>
      </c>
      <c r="G605" s="6" t="s">
        <v>205</v>
      </c>
      <c r="H605" s="8" t="n">
        <v>999</v>
      </c>
      <c r="I605" s="8" t="n">
        <v>0</v>
      </c>
      <c r="J605" s="7" t="n">
        <v>0</v>
      </c>
      <c r="K605" s="9" t="s">
        <v>3072</v>
      </c>
      <c r="L605" s="6" t="s">
        <v>3073</v>
      </c>
      <c r="M605" s="6" t="s">
        <v>3074</v>
      </c>
      <c r="N605" s="10"/>
      <c r="O605" s="4" t="str">
        <f aca="false">IF(N605="","",LEN(N605))</f>
        <v/>
      </c>
    </row>
    <row r="606" customFormat="false" ht="39" hidden="false" customHeight="true" outlineLevel="0" collapsed="false">
      <c r="A606" s="4" t="n">
        <v>605</v>
      </c>
      <c r="B606" s="5" t="n">
        <f aca="false">IF(OR(C606="სხვა მოდელი წერია",I606&gt;=განმარტება!$B$4),1,IF(OR(C606="ცარიელი",I606&gt;=1),2,IF(H606&gt;=განმარტება!$B$5,3,4)))</f>
        <v>4</v>
      </c>
      <c r="C606" s="6" t="s">
        <v>15</v>
      </c>
      <c r="D606" s="6" t="s">
        <v>3075</v>
      </c>
      <c r="E606" s="7" t="s">
        <v>3076</v>
      </c>
      <c r="F606" s="7" t="n">
        <v>2863</v>
      </c>
      <c r="G606" s="6" t="s">
        <v>205</v>
      </c>
      <c r="H606" s="8" t="n">
        <v>999</v>
      </c>
      <c r="I606" s="8" t="n">
        <v>0</v>
      </c>
      <c r="J606" s="7" t="n">
        <v>0</v>
      </c>
      <c r="K606" s="9" t="s">
        <v>3077</v>
      </c>
      <c r="L606" s="6" t="s">
        <v>3078</v>
      </c>
      <c r="M606" s="6" t="s">
        <v>3079</v>
      </c>
      <c r="N606" s="10"/>
      <c r="O606" s="4" t="str">
        <f aca="false">IF(N606="","",LEN(N606))</f>
        <v/>
      </c>
    </row>
    <row r="607" customFormat="false" ht="51.75" hidden="false" customHeight="true" outlineLevel="0" collapsed="false">
      <c r="A607" s="4" t="n">
        <v>606</v>
      </c>
      <c r="B607" s="5" t="n">
        <f aca="false">IF(OR(C607="სხვა მოდელი წერია",I607&gt;=განმარტება!$B$4),1,IF(OR(C607="ცარიელი",I607&gt;=1),2,IF(H607&gt;=განმარტება!$B$5,3,4)))</f>
        <v>4</v>
      </c>
      <c r="C607" s="6" t="s">
        <v>15</v>
      </c>
      <c r="D607" s="6" t="s">
        <v>3080</v>
      </c>
      <c r="E607" s="7" t="s">
        <v>3081</v>
      </c>
      <c r="F607" s="7" t="n">
        <v>858</v>
      </c>
      <c r="G607" s="6" t="s">
        <v>48</v>
      </c>
      <c r="H607" s="8" t="n">
        <v>999</v>
      </c>
      <c r="I607" s="8" t="n">
        <v>0</v>
      </c>
      <c r="J607" s="7" t="n">
        <v>0</v>
      </c>
      <c r="K607" s="9" t="s">
        <v>3082</v>
      </c>
      <c r="L607" s="6" t="s">
        <v>3083</v>
      </c>
      <c r="M607" s="6" t="s">
        <v>3084</v>
      </c>
      <c r="N607" s="10"/>
      <c r="O607" s="4" t="str">
        <f aca="false">IF(N607="","",LEN(N607))</f>
        <v/>
      </c>
    </row>
    <row r="608" customFormat="false" ht="51.75" hidden="false" customHeight="true" outlineLevel="0" collapsed="false">
      <c r="A608" s="4" t="n">
        <v>607</v>
      </c>
      <c r="B608" s="5" t="n">
        <f aca="false">IF(OR(C608="სხვა მოდელი წერია",I608&gt;=განმარტება!$B$4),1,IF(OR(C608="ცარიელი",I608&gt;=1),2,IF(H608&gt;=განმარტება!$B$5,3,4)))</f>
        <v>4</v>
      </c>
      <c r="C608" s="6" t="s">
        <v>15</v>
      </c>
      <c r="D608" s="6" t="s">
        <v>3085</v>
      </c>
      <c r="E608" s="7" t="s">
        <v>3086</v>
      </c>
      <c r="F608" s="7" t="n">
        <v>1030</v>
      </c>
      <c r="G608" s="6" t="s">
        <v>48</v>
      </c>
      <c r="H608" s="8" t="n">
        <v>999</v>
      </c>
      <c r="I608" s="8" t="n">
        <v>0</v>
      </c>
      <c r="J608" s="7" t="n">
        <v>0</v>
      </c>
      <c r="K608" s="9" t="s">
        <v>3087</v>
      </c>
      <c r="L608" s="6" t="s">
        <v>3088</v>
      </c>
      <c r="M608" s="6" t="s">
        <v>3089</v>
      </c>
      <c r="N608" s="10"/>
      <c r="O608" s="4" t="str">
        <f aca="false">IF(N608="","",LEN(N608))</f>
        <v/>
      </c>
    </row>
    <row r="609" customFormat="false" ht="51.75" hidden="false" customHeight="true" outlineLevel="0" collapsed="false">
      <c r="A609" s="4" t="n">
        <v>608</v>
      </c>
      <c r="B609" s="5" t="n">
        <f aca="false">IF(OR(C609="სხვა მოდელი წერია",I609&gt;=განმარტება!$B$4),1,IF(OR(C609="ცარიელი",I609&gt;=1),2,IF(H609&gt;=განმარტება!$B$5,3,4)))</f>
        <v>4</v>
      </c>
      <c r="C609" s="6" t="s">
        <v>15</v>
      </c>
      <c r="D609" s="6" t="s">
        <v>3090</v>
      </c>
      <c r="E609" s="7" t="s">
        <v>3091</v>
      </c>
      <c r="F609" s="7" t="n">
        <v>1532</v>
      </c>
      <c r="G609" s="6" t="s">
        <v>48</v>
      </c>
      <c r="H609" s="8" t="n">
        <v>999</v>
      </c>
      <c r="I609" s="8" t="n">
        <v>0</v>
      </c>
      <c r="J609" s="7" t="n">
        <v>0</v>
      </c>
      <c r="K609" s="9" t="s">
        <v>3092</v>
      </c>
      <c r="L609" s="6" t="s">
        <v>3093</v>
      </c>
      <c r="M609" s="6" t="s">
        <v>3094</v>
      </c>
      <c r="N609" s="10"/>
      <c r="O609" s="4" t="str">
        <f aca="false">IF(N609="","",LEN(N609))</f>
        <v/>
      </c>
    </row>
    <row r="610" customFormat="false" ht="39" hidden="false" customHeight="true" outlineLevel="0" collapsed="false">
      <c r="A610" s="4" t="n">
        <v>609</v>
      </c>
      <c r="B610" s="5" t="n">
        <f aca="false">IF(OR(C610="სხვა მოდელი წერია",I610&gt;=განმარტება!$B$4),1,IF(OR(C610="ცარიელი",I610&gt;=1),2,IF(H610&gt;=განმარტება!$B$5,3,4)))</f>
        <v>4</v>
      </c>
      <c r="C610" s="6" t="s">
        <v>15</v>
      </c>
      <c r="D610" s="6" t="s">
        <v>3095</v>
      </c>
      <c r="E610" s="7" t="s">
        <v>3096</v>
      </c>
      <c r="F610" s="7" t="n">
        <v>1499</v>
      </c>
      <c r="G610" s="6" t="s">
        <v>858</v>
      </c>
      <c r="H610" s="8" t="n">
        <v>995</v>
      </c>
      <c r="I610" s="8" t="n">
        <v>0</v>
      </c>
      <c r="J610" s="7" t="n">
        <v>0</v>
      </c>
      <c r="K610" s="9" t="s">
        <v>3097</v>
      </c>
      <c r="L610" s="6" t="s">
        <v>3098</v>
      </c>
      <c r="M610" s="6" t="s">
        <v>3099</v>
      </c>
      <c r="N610" s="10"/>
      <c r="O610" s="4" t="str">
        <f aca="false">IF(N610="","",LEN(N610))</f>
        <v/>
      </c>
    </row>
    <row r="611" customFormat="false" ht="51.75" hidden="false" customHeight="true" outlineLevel="0" collapsed="false">
      <c r="A611" s="4" t="n">
        <v>610</v>
      </c>
      <c r="B611" s="5" t="n">
        <f aca="false">IF(OR(C611="სხვა მოდელი წერია",I611&gt;=განმარტება!$B$4),1,IF(OR(C611="ცარიელი",I611&gt;=1),2,IF(H611&gt;=განმარტება!$B$5,3,4)))</f>
        <v>4</v>
      </c>
      <c r="C611" s="6" t="s">
        <v>15</v>
      </c>
      <c r="D611" s="6" t="s">
        <v>3100</v>
      </c>
      <c r="E611" s="7" t="s">
        <v>3101</v>
      </c>
      <c r="F611" s="7" t="n">
        <v>3058</v>
      </c>
      <c r="G611" s="6" t="s">
        <v>30</v>
      </c>
      <c r="H611" s="8" t="n">
        <v>980</v>
      </c>
      <c r="I611" s="8" t="n">
        <v>0</v>
      </c>
      <c r="J611" s="7" t="n">
        <v>0</v>
      </c>
      <c r="K611" s="9" t="s">
        <v>3102</v>
      </c>
      <c r="L611" s="6" t="s">
        <v>3103</v>
      </c>
      <c r="M611" s="6" t="s">
        <v>3104</v>
      </c>
      <c r="N611" s="10"/>
      <c r="O611" s="4" t="str">
        <f aca="false">IF(N611="","",LEN(N611))</f>
        <v/>
      </c>
    </row>
    <row r="612" customFormat="false" ht="39" hidden="false" customHeight="true" outlineLevel="0" collapsed="false">
      <c r="A612" s="4" t="n">
        <v>611</v>
      </c>
      <c r="B612" s="5" t="n">
        <f aca="false">IF(OR(C612="სხვა მოდელი წერია",I612&gt;=განმარტება!$B$4),1,IF(OR(C612="ცარიელი",I612&gt;=1),2,IF(H612&gt;=განმარტება!$B$5,3,4)))</f>
        <v>4</v>
      </c>
      <c r="C612" s="6" t="s">
        <v>15</v>
      </c>
      <c r="D612" s="6" t="s">
        <v>3105</v>
      </c>
      <c r="E612" s="7" t="s">
        <v>3106</v>
      </c>
      <c r="F612" s="7" t="n">
        <v>1497</v>
      </c>
      <c r="G612" s="6" t="s">
        <v>858</v>
      </c>
      <c r="H612" s="8" t="n">
        <v>979</v>
      </c>
      <c r="I612" s="8" t="n">
        <v>0</v>
      </c>
      <c r="J612" s="7" t="n">
        <v>0</v>
      </c>
      <c r="K612" s="9" t="s">
        <v>3107</v>
      </c>
      <c r="L612" s="6" t="s">
        <v>3108</v>
      </c>
      <c r="M612" s="6" t="s">
        <v>3109</v>
      </c>
      <c r="N612" s="10"/>
      <c r="O612" s="4" t="str">
        <f aca="false">IF(N612="","",LEN(N612))</f>
        <v/>
      </c>
    </row>
    <row r="613" customFormat="false" ht="39" hidden="false" customHeight="true" outlineLevel="0" collapsed="false">
      <c r="A613" s="4" t="n">
        <v>612</v>
      </c>
      <c r="B613" s="5" t="n">
        <f aca="false">IF(OR(C613="სხვა მოდელი წერია",I613&gt;=განმარტება!$B$4),1,IF(OR(C613="ცარიელი",I613&gt;=1),2,IF(H613&gt;=განმარტება!$B$5,3,4)))</f>
        <v>4</v>
      </c>
      <c r="C613" s="6" t="s">
        <v>15</v>
      </c>
      <c r="D613" s="6" t="s">
        <v>3110</v>
      </c>
      <c r="E613" s="7" t="s">
        <v>3111</v>
      </c>
      <c r="F613" s="7" t="n">
        <v>2908</v>
      </c>
      <c r="G613" s="6" t="s">
        <v>402</v>
      </c>
      <c r="H613" s="8" t="n">
        <v>979</v>
      </c>
      <c r="I613" s="8" t="n">
        <v>0</v>
      </c>
      <c r="J613" s="7" t="n">
        <v>0</v>
      </c>
      <c r="K613" s="9" t="s">
        <v>3112</v>
      </c>
      <c r="L613" s="6" t="s">
        <v>3113</v>
      </c>
      <c r="M613" s="6" t="s">
        <v>3114</v>
      </c>
      <c r="N613" s="10"/>
      <c r="O613" s="4" t="str">
        <f aca="false">IF(N613="","",LEN(N613))</f>
        <v/>
      </c>
    </row>
    <row r="614" customFormat="false" ht="39" hidden="false" customHeight="true" outlineLevel="0" collapsed="false">
      <c r="A614" s="4" t="n">
        <v>613</v>
      </c>
      <c r="B614" s="5" t="n">
        <f aca="false">IF(OR(C614="სხვა მოდელი წერია",I614&gt;=განმარტება!$B$4),1,IF(OR(C614="ცარიელი",I614&gt;=1),2,IF(H614&gt;=განმარტება!$B$5,3,4)))</f>
        <v>4</v>
      </c>
      <c r="C614" s="6" t="s">
        <v>15</v>
      </c>
      <c r="D614" s="6" t="s">
        <v>3115</v>
      </c>
      <c r="E614" s="7" t="s">
        <v>3116</v>
      </c>
      <c r="F614" s="7" t="n">
        <v>1326</v>
      </c>
      <c r="G614" s="6" t="s">
        <v>106</v>
      </c>
      <c r="H614" s="8" t="n">
        <v>975</v>
      </c>
      <c r="I614" s="8" t="n">
        <v>0</v>
      </c>
      <c r="J614" s="7" t="n">
        <v>0</v>
      </c>
      <c r="K614" s="9" t="s">
        <v>3117</v>
      </c>
      <c r="L614" s="6" t="s">
        <v>3118</v>
      </c>
      <c r="M614" s="6" t="s">
        <v>3119</v>
      </c>
      <c r="N614" s="10"/>
      <c r="O614" s="4" t="str">
        <f aca="false">IF(N614="","",LEN(N614))</f>
        <v/>
      </c>
    </row>
    <row r="615" customFormat="false" ht="39" hidden="false" customHeight="true" outlineLevel="0" collapsed="false">
      <c r="A615" s="4" t="n">
        <v>614</v>
      </c>
      <c r="B615" s="5" t="n">
        <f aca="false">IF(OR(C615="სხვა მოდელი წერია",I615&gt;=განმარტება!$B$4),1,IF(OR(C615="ცარიელი",I615&gt;=1),2,IF(H615&gt;=განმარტება!$B$5,3,4)))</f>
        <v>4</v>
      </c>
      <c r="C615" s="6" t="s">
        <v>15</v>
      </c>
      <c r="D615" s="6" t="s">
        <v>3120</v>
      </c>
      <c r="E615" s="7" t="s">
        <v>3121</v>
      </c>
      <c r="F615" s="7" t="n">
        <v>2144</v>
      </c>
      <c r="G615" s="6" t="s">
        <v>18</v>
      </c>
      <c r="H615" s="8" t="n">
        <v>969</v>
      </c>
      <c r="I615" s="8" t="n">
        <v>0</v>
      </c>
      <c r="J615" s="7" t="n">
        <v>0</v>
      </c>
      <c r="K615" s="9" t="s">
        <v>3122</v>
      </c>
      <c r="L615" s="6" t="s">
        <v>3123</v>
      </c>
      <c r="M615" s="6" t="s">
        <v>3124</v>
      </c>
      <c r="N615" s="10"/>
      <c r="O615" s="4" t="str">
        <f aca="false">IF(N615="","",LEN(N615))</f>
        <v/>
      </c>
    </row>
    <row r="616" customFormat="false" ht="39" hidden="false" customHeight="true" outlineLevel="0" collapsed="false">
      <c r="A616" s="4" t="n">
        <v>615</v>
      </c>
      <c r="B616" s="5" t="n">
        <f aca="false">IF(OR(C616="სხვა მოდელი წერია",I616&gt;=განმარტება!$B$4),1,IF(OR(C616="ცარიელი",I616&gt;=1),2,IF(H616&gt;=განმარტება!$B$5,3,4)))</f>
        <v>4</v>
      </c>
      <c r="C616" s="6" t="s">
        <v>15</v>
      </c>
      <c r="D616" s="6" t="s">
        <v>3125</v>
      </c>
      <c r="E616" s="7" t="s">
        <v>3126</v>
      </c>
      <c r="F616" s="7" t="n">
        <v>85</v>
      </c>
      <c r="G616" s="6" t="s">
        <v>205</v>
      </c>
      <c r="H616" s="8" t="n">
        <v>969</v>
      </c>
      <c r="I616" s="8" t="n">
        <v>0</v>
      </c>
      <c r="J616" s="7" t="n">
        <v>0</v>
      </c>
      <c r="K616" s="9" t="s">
        <v>3127</v>
      </c>
      <c r="L616" s="6" t="s">
        <v>3128</v>
      </c>
      <c r="M616" s="6" t="s">
        <v>3129</v>
      </c>
      <c r="N616" s="10"/>
      <c r="O616" s="4" t="str">
        <f aca="false">IF(N616="","",LEN(N616))</f>
        <v/>
      </c>
    </row>
    <row r="617" customFormat="false" ht="39" hidden="false" customHeight="true" outlineLevel="0" collapsed="false">
      <c r="A617" s="4" t="n">
        <v>616</v>
      </c>
      <c r="B617" s="5" t="n">
        <f aca="false">IF(OR(C617="სხვა მოდელი წერია",I617&gt;=განმარტება!$B$4),1,IF(OR(C617="ცარიელი",I617&gt;=1),2,IF(H617&gt;=განმარტება!$B$5,3,4)))</f>
        <v>4</v>
      </c>
      <c r="C617" s="6" t="s">
        <v>15</v>
      </c>
      <c r="D617" s="6" t="s">
        <v>3130</v>
      </c>
      <c r="E617" s="7" t="s">
        <v>3131</v>
      </c>
      <c r="F617" s="7" t="n">
        <v>86</v>
      </c>
      <c r="G617" s="6" t="s">
        <v>205</v>
      </c>
      <c r="H617" s="8" t="n">
        <v>969</v>
      </c>
      <c r="I617" s="8" t="n">
        <v>0</v>
      </c>
      <c r="J617" s="7" t="n">
        <v>0</v>
      </c>
      <c r="K617" s="9" t="s">
        <v>3132</v>
      </c>
      <c r="L617" s="6" t="s">
        <v>3133</v>
      </c>
      <c r="M617" s="6" t="s">
        <v>3134</v>
      </c>
      <c r="N617" s="10"/>
      <c r="O617" s="4" t="str">
        <f aca="false">IF(N617="","",LEN(N617))</f>
        <v/>
      </c>
    </row>
    <row r="618" customFormat="false" ht="39" hidden="false" customHeight="true" outlineLevel="0" collapsed="false">
      <c r="A618" s="4" t="n">
        <v>617</v>
      </c>
      <c r="B618" s="5" t="n">
        <f aca="false">IF(OR(C618="სხვა მოდელი წერია",I618&gt;=განმარტება!$B$4),1,IF(OR(C618="ცარიელი",I618&gt;=1),2,IF(H618&gt;=განმარტება!$B$5,3,4)))</f>
        <v>4</v>
      </c>
      <c r="C618" s="6" t="s">
        <v>15</v>
      </c>
      <c r="D618" s="6" t="s">
        <v>3135</v>
      </c>
      <c r="E618" s="7" t="s">
        <v>3136</v>
      </c>
      <c r="F618" s="7" t="n">
        <v>791</v>
      </c>
      <c r="G618" s="6" t="s">
        <v>749</v>
      </c>
      <c r="H618" s="8" t="n">
        <v>965</v>
      </c>
      <c r="I618" s="8" t="n">
        <v>0</v>
      </c>
      <c r="J618" s="7" t="n">
        <v>0</v>
      </c>
      <c r="K618" s="9" t="s">
        <v>3137</v>
      </c>
      <c r="L618" s="6" t="s">
        <v>3138</v>
      </c>
      <c r="M618" s="6" t="s">
        <v>3139</v>
      </c>
      <c r="N618" s="10"/>
      <c r="O618" s="4" t="str">
        <f aca="false">IF(N618="","",LEN(N618))</f>
        <v/>
      </c>
    </row>
    <row r="619" customFormat="false" ht="39" hidden="false" customHeight="true" outlineLevel="0" collapsed="false">
      <c r="A619" s="4" t="n">
        <v>618</v>
      </c>
      <c r="B619" s="5" t="n">
        <f aca="false">IF(OR(C619="სხვა მოდელი წერია",I619&gt;=განმარტება!$B$4),1,IF(OR(C619="ცარიელი",I619&gt;=1),2,IF(H619&gt;=განმარტება!$B$5,3,4)))</f>
        <v>4</v>
      </c>
      <c r="C619" s="6" t="s">
        <v>15</v>
      </c>
      <c r="D619" s="6" t="s">
        <v>3140</v>
      </c>
      <c r="E619" s="7" t="s">
        <v>3141</v>
      </c>
      <c r="F619" s="7" t="n">
        <v>3498</v>
      </c>
      <c r="G619" s="6" t="s">
        <v>1712</v>
      </c>
      <c r="H619" s="8" t="n">
        <v>963</v>
      </c>
      <c r="I619" s="8" t="n">
        <v>0</v>
      </c>
      <c r="J619" s="7" t="n">
        <v>0</v>
      </c>
      <c r="K619" s="9" t="s">
        <v>3142</v>
      </c>
      <c r="L619" s="6" t="s">
        <v>3143</v>
      </c>
      <c r="M619" s="6" t="s">
        <v>3144</v>
      </c>
      <c r="N619" s="10"/>
      <c r="O619" s="4" t="str">
        <f aca="false">IF(N619="","",LEN(N619))</f>
        <v/>
      </c>
    </row>
    <row r="620" customFormat="false" ht="51.75" hidden="false" customHeight="true" outlineLevel="0" collapsed="false">
      <c r="A620" s="4" t="n">
        <v>619</v>
      </c>
      <c r="B620" s="5" t="n">
        <f aca="false">IF(OR(C620="სხვა მოდელი წერია",I620&gt;=განმარტება!$B$4),1,IF(OR(C620="ცარიელი",I620&gt;=1),2,IF(H620&gt;=განმარტება!$B$5,3,4)))</f>
        <v>4</v>
      </c>
      <c r="C620" s="6" t="s">
        <v>15</v>
      </c>
      <c r="D620" s="6" t="s">
        <v>3145</v>
      </c>
      <c r="E620" s="7" t="s">
        <v>3146</v>
      </c>
      <c r="F620" s="7" t="n">
        <v>1383</v>
      </c>
      <c r="G620" s="6" t="s">
        <v>211</v>
      </c>
      <c r="H620" s="8" t="n">
        <v>959</v>
      </c>
      <c r="I620" s="8" t="n">
        <v>0</v>
      </c>
      <c r="J620" s="7" t="n">
        <v>0</v>
      </c>
      <c r="K620" s="9" t="s">
        <v>3147</v>
      </c>
      <c r="L620" s="6" t="s">
        <v>3148</v>
      </c>
      <c r="M620" s="6" t="s">
        <v>3149</v>
      </c>
      <c r="N620" s="10"/>
      <c r="O620" s="4" t="str">
        <f aca="false">IF(N620="","",LEN(N620))</f>
        <v/>
      </c>
    </row>
    <row r="621" customFormat="false" ht="39" hidden="false" customHeight="true" outlineLevel="0" collapsed="false">
      <c r="A621" s="4" t="n">
        <v>620</v>
      </c>
      <c r="B621" s="5" t="n">
        <f aca="false">IF(OR(C621="სხვა მოდელი წერია",I621&gt;=განმარტება!$B$4),1,IF(OR(C621="ცარიელი",I621&gt;=1),2,IF(H621&gt;=განმარტება!$B$5,3,4)))</f>
        <v>4</v>
      </c>
      <c r="C621" s="6" t="s">
        <v>15</v>
      </c>
      <c r="D621" s="6" t="s">
        <v>3150</v>
      </c>
      <c r="E621" s="7" t="s">
        <v>3151</v>
      </c>
      <c r="F621" s="7" t="n">
        <v>772</v>
      </c>
      <c r="G621" s="6" t="s">
        <v>302</v>
      </c>
      <c r="H621" s="8" t="n">
        <v>952</v>
      </c>
      <c r="I621" s="8" t="n">
        <v>0</v>
      </c>
      <c r="J621" s="7" t="n">
        <v>0</v>
      </c>
      <c r="K621" s="9" t="s">
        <v>3152</v>
      </c>
      <c r="L621" s="6" t="s">
        <v>3153</v>
      </c>
      <c r="M621" s="6" t="s">
        <v>3154</v>
      </c>
      <c r="N621" s="10"/>
      <c r="O621" s="4" t="str">
        <f aca="false">IF(N621="","",LEN(N621))</f>
        <v/>
      </c>
    </row>
    <row r="622" customFormat="false" ht="39" hidden="false" customHeight="true" outlineLevel="0" collapsed="false">
      <c r="A622" s="4" t="n">
        <v>621</v>
      </c>
      <c r="B622" s="5" t="n">
        <f aca="false">IF(OR(C622="სხვა მოდელი წერია",I622&gt;=განმარტება!$B$4),1,IF(OR(C622="ცარიელი",I622&gt;=1),2,IF(H622&gt;=განმარტება!$B$5,3,4)))</f>
        <v>4</v>
      </c>
      <c r="C622" s="6" t="s">
        <v>15</v>
      </c>
      <c r="D622" s="6" t="s">
        <v>3155</v>
      </c>
      <c r="E622" s="7" t="s">
        <v>3156</v>
      </c>
      <c r="F622" s="7" t="n">
        <v>651</v>
      </c>
      <c r="G622" s="6" t="s">
        <v>24</v>
      </c>
      <c r="H622" s="8" t="n">
        <v>950</v>
      </c>
      <c r="I622" s="8" t="n">
        <v>0</v>
      </c>
      <c r="J622" s="7" t="n">
        <v>0</v>
      </c>
      <c r="K622" s="9" t="s">
        <v>3157</v>
      </c>
      <c r="L622" s="6" t="s">
        <v>3158</v>
      </c>
      <c r="M622" s="6" t="s">
        <v>3159</v>
      </c>
      <c r="N622" s="10"/>
      <c r="O622" s="4" t="str">
        <f aca="false">IF(N622="","",LEN(N622))</f>
        <v/>
      </c>
    </row>
    <row r="623" customFormat="false" ht="39" hidden="false" customHeight="true" outlineLevel="0" collapsed="false">
      <c r="A623" s="4" t="n">
        <v>622</v>
      </c>
      <c r="B623" s="5" t="n">
        <f aca="false">IF(OR(C623="სხვა მოდელი წერია",I623&gt;=განმარტება!$B$4),1,IF(OR(C623="ცარიელი",I623&gt;=1),2,IF(H623&gt;=განმარტება!$B$5,3,4)))</f>
        <v>4</v>
      </c>
      <c r="C623" s="6" t="s">
        <v>15</v>
      </c>
      <c r="D623" s="6" t="s">
        <v>3160</v>
      </c>
      <c r="E623" s="7" t="s">
        <v>3161</v>
      </c>
      <c r="F623" s="7" t="n">
        <v>2772</v>
      </c>
      <c r="G623" s="6" t="s">
        <v>112</v>
      </c>
      <c r="H623" s="8" t="n">
        <v>949</v>
      </c>
      <c r="I623" s="8" t="n">
        <v>0</v>
      </c>
      <c r="J623" s="7" t="n">
        <v>0</v>
      </c>
      <c r="K623" s="9" t="s">
        <v>3162</v>
      </c>
      <c r="L623" s="6" t="s">
        <v>3163</v>
      </c>
      <c r="M623" s="6" t="s">
        <v>3164</v>
      </c>
      <c r="N623" s="10"/>
      <c r="O623" s="4" t="str">
        <f aca="false">IF(N623="","",LEN(N623))</f>
        <v/>
      </c>
    </row>
    <row r="624" customFormat="false" ht="51.75" hidden="false" customHeight="true" outlineLevel="0" collapsed="false">
      <c r="A624" s="4" t="n">
        <v>623</v>
      </c>
      <c r="B624" s="5" t="n">
        <f aca="false">IF(OR(C624="სხვა მოდელი წერია",I624&gt;=განმარტება!$B$4),1,IF(OR(C624="ცარიელი",I624&gt;=1),2,IF(H624&gt;=განმარტება!$B$5,3,4)))</f>
        <v>4</v>
      </c>
      <c r="C624" s="6" t="s">
        <v>316</v>
      </c>
      <c r="D624" s="6" t="s">
        <v>3165</v>
      </c>
      <c r="E624" s="7" t="s">
        <v>3166</v>
      </c>
      <c r="F624" s="7" t="n">
        <v>3337</v>
      </c>
      <c r="G624" s="6" t="s">
        <v>24</v>
      </c>
      <c r="H624" s="8" t="n">
        <v>949</v>
      </c>
      <c r="I624" s="8" t="n">
        <v>0</v>
      </c>
      <c r="J624" s="7" t="n">
        <v>0</v>
      </c>
      <c r="K624" s="9" t="s">
        <v>3167</v>
      </c>
      <c r="L624" s="6" t="s">
        <v>3168</v>
      </c>
      <c r="M624" s="6" t="s">
        <v>3169</v>
      </c>
      <c r="N624" s="10"/>
      <c r="O624" s="4" t="str">
        <f aca="false">IF(N624="","",LEN(N624))</f>
        <v/>
      </c>
    </row>
    <row r="625" customFormat="false" ht="51.75" hidden="false" customHeight="true" outlineLevel="0" collapsed="false">
      <c r="A625" s="4" t="n">
        <v>624</v>
      </c>
      <c r="B625" s="5" t="n">
        <f aca="false">IF(OR(C625="სხვა მოდელი წერია",I625&gt;=განმარტება!$B$4),1,IF(OR(C625="ცარიელი",I625&gt;=1),2,IF(H625&gt;=განმარტება!$B$5,3,4)))</f>
        <v>4</v>
      </c>
      <c r="C625" s="6" t="s">
        <v>15</v>
      </c>
      <c r="D625" s="6" t="s">
        <v>3170</v>
      </c>
      <c r="E625" s="7" t="s">
        <v>3171</v>
      </c>
      <c r="F625" s="7" t="n">
        <v>3057</v>
      </c>
      <c r="G625" s="6" t="s">
        <v>30</v>
      </c>
      <c r="H625" s="8" t="n">
        <v>949</v>
      </c>
      <c r="I625" s="8" t="n">
        <v>0</v>
      </c>
      <c r="J625" s="7" t="n">
        <v>0</v>
      </c>
      <c r="K625" s="9" t="s">
        <v>3172</v>
      </c>
      <c r="L625" s="6" t="s">
        <v>3173</v>
      </c>
      <c r="M625" s="6" t="s">
        <v>3174</v>
      </c>
      <c r="N625" s="10"/>
      <c r="O625" s="4" t="str">
        <f aca="false">IF(N625="","",LEN(N625))</f>
        <v/>
      </c>
    </row>
    <row r="626" customFormat="false" ht="51.75" hidden="false" customHeight="true" outlineLevel="0" collapsed="false">
      <c r="A626" s="4" t="n">
        <v>625</v>
      </c>
      <c r="B626" s="5" t="n">
        <f aca="false">IF(OR(C626="სხვა მოდელი წერია",I626&gt;=განმარტება!$B$4),1,IF(OR(C626="ცარიელი",I626&gt;=1),2,IF(H626&gt;=განმარტება!$B$5,3,4)))</f>
        <v>4</v>
      </c>
      <c r="C626" s="6" t="s">
        <v>15</v>
      </c>
      <c r="D626" s="6" t="s">
        <v>3175</v>
      </c>
      <c r="E626" s="7" t="s">
        <v>3176</v>
      </c>
      <c r="F626" s="7" t="n">
        <v>946</v>
      </c>
      <c r="G626" s="6" t="s">
        <v>211</v>
      </c>
      <c r="H626" s="8" t="n">
        <v>949</v>
      </c>
      <c r="I626" s="8" t="n">
        <v>0</v>
      </c>
      <c r="J626" s="7" t="n">
        <v>0</v>
      </c>
      <c r="K626" s="9" t="s">
        <v>3177</v>
      </c>
      <c r="L626" s="6" t="s">
        <v>3178</v>
      </c>
      <c r="M626" s="6" t="s">
        <v>3179</v>
      </c>
      <c r="N626" s="10"/>
      <c r="O626" s="4" t="str">
        <f aca="false">IF(N626="","",LEN(N626))</f>
        <v/>
      </c>
    </row>
    <row r="627" customFormat="false" ht="51.75" hidden="false" customHeight="true" outlineLevel="0" collapsed="false">
      <c r="A627" s="4" t="n">
        <v>626</v>
      </c>
      <c r="B627" s="5" t="n">
        <f aca="false">IF(OR(C627="სხვა მოდელი წერია",I627&gt;=განმარტება!$B$4),1,IF(OR(C627="ცარიელი",I627&gt;=1),2,IF(H627&gt;=განმარტება!$B$5,3,4)))</f>
        <v>4</v>
      </c>
      <c r="C627" s="6" t="s">
        <v>15</v>
      </c>
      <c r="D627" s="6" t="s">
        <v>3180</v>
      </c>
      <c r="E627" s="7" t="s">
        <v>3181</v>
      </c>
      <c r="F627" s="7" t="n">
        <v>4002</v>
      </c>
      <c r="G627" s="6" t="s">
        <v>211</v>
      </c>
      <c r="H627" s="8" t="n">
        <v>949</v>
      </c>
      <c r="I627" s="8" t="n">
        <v>0</v>
      </c>
      <c r="J627" s="7" t="n">
        <v>0</v>
      </c>
      <c r="K627" s="9" t="s">
        <v>3182</v>
      </c>
      <c r="L627" s="6" t="s">
        <v>3183</v>
      </c>
      <c r="M627" s="6" t="s">
        <v>3184</v>
      </c>
      <c r="N627" s="10"/>
      <c r="O627" s="4" t="str">
        <f aca="false">IF(N627="","",LEN(N627))</f>
        <v/>
      </c>
    </row>
    <row r="628" customFormat="false" ht="51.75" hidden="false" customHeight="true" outlineLevel="0" collapsed="false">
      <c r="A628" s="4" t="n">
        <v>627</v>
      </c>
      <c r="B628" s="5" t="n">
        <f aca="false">IF(OR(C628="სხვა მოდელი წერია",I628&gt;=განმარტება!$B$4),1,IF(OR(C628="ცარიელი",I628&gt;=1),2,IF(H628&gt;=განმარტება!$B$5,3,4)))</f>
        <v>4</v>
      </c>
      <c r="C628" s="6" t="s">
        <v>15</v>
      </c>
      <c r="D628" s="6" t="s">
        <v>3185</v>
      </c>
      <c r="E628" s="7" t="s">
        <v>3186</v>
      </c>
      <c r="F628" s="7" t="n">
        <v>2327</v>
      </c>
      <c r="G628" s="6" t="s">
        <v>211</v>
      </c>
      <c r="H628" s="8" t="n">
        <v>949</v>
      </c>
      <c r="I628" s="8" t="n">
        <v>0</v>
      </c>
      <c r="J628" s="7" t="n">
        <v>0</v>
      </c>
      <c r="K628" s="9" t="s">
        <v>3187</v>
      </c>
      <c r="L628" s="6" t="s">
        <v>3188</v>
      </c>
      <c r="M628" s="6" t="s">
        <v>3189</v>
      </c>
      <c r="N628" s="10"/>
      <c r="O628" s="4" t="str">
        <f aca="false">IF(N628="","",LEN(N628))</f>
        <v/>
      </c>
    </row>
    <row r="629" customFormat="false" ht="51.75" hidden="false" customHeight="true" outlineLevel="0" collapsed="false">
      <c r="A629" s="4" t="n">
        <v>628</v>
      </c>
      <c r="B629" s="5" t="n">
        <f aca="false">IF(OR(C629="სხვა მოდელი წერია",I629&gt;=განმარტება!$B$4),1,IF(OR(C629="ცარიელი",I629&gt;=1),2,IF(H629&gt;=განმარტება!$B$5,3,4)))</f>
        <v>4</v>
      </c>
      <c r="C629" s="6" t="s">
        <v>15</v>
      </c>
      <c r="D629" s="6" t="s">
        <v>3190</v>
      </c>
      <c r="E629" s="7" t="s">
        <v>3191</v>
      </c>
      <c r="F629" s="7" t="n">
        <v>1667</v>
      </c>
      <c r="G629" s="6" t="s">
        <v>211</v>
      </c>
      <c r="H629" s="8" t="n">
        <v>949</v>
      </c>
      <c r="I629" s="8" t="n">
        <v>0</v>
      </c>
      <c r="J629" s="7" t="n">
        <v>0</v>
      </c>
      <c r="K629" s="9" t="s">
        <v>3192</v>
      </c>
      <c r="L629" s="6" t="s">
        <v>3193</v>
      </c>
      <c r="M629" s="6" t="s">
        <v>3194</v>
      </c>
      <c r="N629" s="10"/>
      <c r="O629" s="4" t="str">
        <f aca="false">IF(N629="","",LEN(N629))</f>
        <v/>
      </c>
    </row>
    <row r="630" customFormat="false" ht="39" hidden="false" customHeight="true" outlineLevel="0" collapsed="false">
      <c r="A630" s="4" t="n">
        <v>629</v>
      </c>
      <c r="B630" s="5" t="n">
        <f aca="false">IF(OR(C630="სხვა მოდელი წერია",I630&gt;=განმარტება!$B$4),1,IF(OR(C630="ცარიელი",I630&gt;=1),2,IF(H630&gt;=განმარტება!$B$5,3,4)))</f>
        <v>4</v>
      </c>
      <c r="C630" s="6" t="s">
        <v>15</v>
      </c>
      <c r="D630" s="6" t="s">
        <v>3195</v>
      </c>
      <c r="E630" s="7" t="s">
        <v>3196</v>
      </c>
      <c r="F630" s="7" t="n">
        <v>1283</v>
      </c>
      <c r="G630" s="6" t="s">
        <v>205</v>
      </c>
      <c r="H630" s="8" t="n">
        <v>949</v>
      </c>
      <c r="I630" s="8" t="n">
        <v>0</v>
      </c>
      <c r="J630" s="7" t="n">
        <v>0</v>
      </c>
      <c r="K630" s="9" t="s">
        <v>3197</v>
      </c>
      <c r="L630" s="6" t="s">
        <v>3198</v>
      </c>
      <c r="M630" s="6" t="s">
        <v>3199</v>
      </c>
      <c r="N630" s="10"/>
      <c r="O630" s="4" t="str">
        <f aca="false">IF(N630="","",LEN(N630))</f>
        <v/>
      </c>
    </row>
    <row r="631" customFormat="false" ht="64.5" hidden="false" customHeight="true" outlineLevel="0" collapsed="false">
      <c r="A631" s="4" t="n">
        <v>630</v>
      </c>
      <c r="B631" s="5" t="n">
        <f aca="false">IF(OR(C631="სხვა მოდელი წერია",I631&gt;=განმარტება!$B$4),1,IF(OR(C631="ცარიელი",I631&gt;=1),2,IF(H631&gt;=განმარტება!$B$5,3,4)))</f>
        <v>4</v>
      </c>
      <c r="C631" s="6" t="s">
        <v>15</v>
      </c>
      <c r="D631" s="6" t="s">
        <v>3200</v>
      </c>
      <c r="E631" s="7" t="s">
        <v>3201</v>
      </c>
      <c r="F631" s="7" t="n">
        <v>3899</v>
      </c>
      <c r="G631" s="6" t="s">
        <v>95</v>
      </c>
      <c r="H631" s="8" t="n">
        <v>949</v>
      </c>
      <c r="I631" s="8" t="n">
        <v>0</v>
      </c>
      <c r="J631" s="7" t="n">
        <v>0</v>
      </c>
      <c r="K631" s="9" t="s">
        <v>3202</v>
      </c>
      <c r="L631" s="6" t="s">
        <v>3203</v>
      </c>
      <c r="M631" s="6" t="s">
        <v>3204</v>
      </c>
      <c r="N631" s="10"/>
      <c r="O631" s="4" t="str">
        <f aca="false">IF(N631="","",LEN(N631))</f>
        <v/>
      </c>
    </row>
    <row r="632" customFormat="false" ht="51.75" hidden="false" customHeight="true" outlineLevel="0" collapsed="false">
      <c r="A632" s="4" t="n">
        <v>631</v>
      </c>
      <c r="B632" s="5" t="n">
        <f aca="false">IF(OR(C632="სხვა მოდელი წერია",I632&gt;=განმარტება!$B$4),1,IF(OR(C632="ცარიელი",I632&gt;=1),2,IF(H632&gt;=განმარტება!$B$5,3,4)))</f>
        <v>4</v>
      </c>
      <c r="C632" s="6" t="s">
        <v>15</v>
      </c>
      <c r="D632" s="6" t="s">
        <v>3205</v>
      </c>
      <c r="E632" s="7" t="s">
        <v>3206</v>
      </c>
      <c r="F632" s="7" t="n">
        <v>2820</v>
      </c>
      <c r="G632" s="6" t="s">
        <v>48</v>
      </c>
      <c r="H632" s="8" t="n">
        <v>949</v>
      </c>
      <c r="I632" s="8" t="n">
        <v>0</v>
      </c>
      <c r="J632" s="7" t="n">
        <v>0</v>
      </c>
      <c r="K632" s="9" t="s">
        <v>3207</v>
      </c>
      <c r="L632" s="6" t="s">
        <v>3208</v>
      </c>
      <c r="M632" s="6" t="s">
        <v>3209</v>
      </c>
      <c r="N632" s="10"/>
      <c r="O632" s="4" t="str">
        <f aca="false">IF(N632="","",LEN(N632))</f>
        <v/>
      </c>
    </row>
    <row r="633" customFormat="false" ht="39" hidden="false" customHeight="true" outlineLevel="0" collapsed="false">
      <c r="A633" s="4" t="n">
        <v>632</v>
      </c>
      <c r="B633" s="5" t="n">
        <f aca="false">IF(OR(C633="სხვა მოდელი წერია",I633&gt;=განმარტება!$B$4),1,IF(OR(C633="ცარიელი",I633&gt;=1),2,IF(H633&gt;=განმარტება!$B$5,3,4)))</f>
        <v>4</v>
      </c>
      <c r="C633" s="6" t="s">
        <v>15</v>
      </c>
      <c r="D633" s="6" t="s">
        <v>3210</v>
      </c>
      <c r="E633" s="7" t="s">
        <v>3211</v>
      </c>
      <c r="F633" s="7" t="n">
        <v>735</v>
      </c>
      <c r="G633" s="6" t="s">
        <v>3212</v>
      </c>
      <c r="H633" s="8" t="n">
        <v>944</v>
      </c>
      <c r="I633" s="8" t="n">
        <v>0</v>
      </c>
      <c r="J633" s="7" t="n">
        <v>0</v>
      </c>
      <c r="K633" s="9" t="s">
        <v>3213</v>
      </c>
      <c r="L633" s="6" t="s">
        <v>3214</v>
      </c>
      <c r="M633" s="6" t="s">
        <v>3215</v>
      </c>
      <c r="N633" s="10"/>
      <c r="O633" s="4" t="str">
        <f aca="false">IF(N633="","",LEN(N633))</f>
        <v/>
      </c>
    </row>
    <row r="634" customFormat="false" ht="39" hidden="false" customHeight="true" outlineLevel="0" collapsed="false">
      <c r="A634" s="4" t="n">
        <v>633</v>
      </c>
      <c r="B634" s="5" t="n">
        <f aca="false">IF(OR(C634="სხვა მოდელი წერია",I634&gt;=განმარტება!$B$4),1,IF(OR(C634="ცარიელი",I634&gt;=1),2,IF(H634&gt;=განმარტება!$B$5,3,4)))</f>
        <v>4</v>
      </c>
      <c r="C634" s="6" t="s">
        <v>15</v>
      </c>
      <c r="D634" s="6" t="s">
        <v>3216</v>
      </c>
      <c r="E634" s="7" t="s">
        <v>3217</v>
      </c>
      <c r="F634" s="7" t="n">
        <v>1095</v>
      </c>
      <c r="G634" s="6" t="s">
        <v>112</v>
      </c>
      <c r="H634" s="8" t="n">
        <v>940</v>
      </c>
      <c r="I634" s="8" t="n">
        <v>0</v>
      </c>
      <c r="J634" s="7" t="n">
        <v>0</v>
      </c>
      <c r="K634" s="9" t="s">
        <v>3218</v>
      </c>
      <c r="L634" s="6" t="s">
        <v>3219</v>
      </c>
      <c r="M634" s="6" t="s">
        <v>3220</v>
      </c>
      <c r="N634" s="10"/>
      <c r="O634" s="4" t="str">
        <f aca="false">IF(N634="","",LEN(N634))</f>
        <v/>
      </c>
    </row>
    <row r="635" customFormat="false" ht="39" hidden="false" customHeight="true" outlineLevel="0" collapsed="false">
      <c r="A635" s="4" t="n">
        <v>634</v>
      </c>
      <c r="B635" s="5" t="n">
        <f aca="false">IF(OR(C635="სხვა მოდელი წერია",I635&gt;=განმარტება!$B$4),1,IF(OR(C635="ცარიელი",I635&gt;=1),2,IF(H635&gt;=განმარტება!$B$5,3,4)))</f>
        <v>4</v>
      </c>
      <c r="C635" s="6" t="s">
        <v>15</v>
      </c>
      <c r="D635" s="6" t="s">
        <v>3221</v>
      </c>
      <c r="E635" s="7" t="s">
        <v>3222</v>
      </c>
      <c r="F635" s="7" t="n">
        <v>585</v>
      </c>
      <c r="G635" s="6" t="s">
        <v>24</v>
      </c>
      <c r="H635" s="8" t="n">
        <v>939</v>
      </c>
      <c r="I635" s="8" t="n">
        <v>0</v>
      </c>
      <c r="J635" s="7" t="n">
        <v>0</v>
      </c>
      <c r="K635" s="9" t="s">
        <v>3223</v>
      </c>
      <c r="L635" s="6" t="s">
        <v>3224</v>
      </c>
      <c r="M635" s="6" t="s">
        <v>3225</v>
      </c>
      <c r="N635" s="10"/>
      <c r="O635" s="4" t="str">
        <f aca="false">IF(N635="","",LEN(N635))</f>
        <v/>
      </c>
    </row>
    <row r="636" customFormat="false" ht="51.75" hidden="false" customHeight="true" outlineLevel="0" collapsed="false">
      <c r="A636" s="4" t="n">
        <v>635</v>
      </c>
      <c r="B636" s="5" t="n">
        <f aca="false">IF(OR(C636="სხვა მოდელი წერია",I636&gt;=განმარტება!$B$4),1,IF(OR(C636="ცარიელი",I636&gt;=1),2,IF(H636&gt;=განმარტება!$B$5,3,4)))</f>
        <v>4</v>
      </c>
      <c r="C636" s="6" t="s">
        <v>15</v>
      </c>
      <c r="D636" s="6" t="s">
        <v>3226</v>
      </c>
      <c r="E636" s="7" t="s">
        <v>3227</v>
      </c>
      <c r="F636" s="7" t="n">
        <v>1441</v>
      </c>
      <c r="G636" s="6" t="s">
        <v>48</v>
      </c>
      <c r="H636" s="8" t="n">
        <v>939</v>
      </c>
      <c r="I636" s="8" t="n">
        <v>0</v>
      </c>
      <c r="J636" s="7" t="n">
        <v>0</v>
      </c>
      <c r="K636" s="9" t="s">
        <v>3228</v>
      </c>
      <c r="L636" s="6" t="s">
        <v>3229</v>
      </c>
      <c r="M636" s="6" t="s">
        <v>3230</v>
      </c>
      <c r="N636" s="10"/>
      <c r="O636" s="4" t="str">
        <f aca="false">IF(N636="","",LEN(N636))</f>
        <v/>
      </c>
    </row>
    <row r="637" customFormat="false" ht="39" hidden="false" customHeight="true" outlineLevel="0" collapsed="false">
      <c r="A637" s="4" t="n">
        <v>636</v>
      </c>
      <c r="B637" s="5" t="n">
        <f aca="false">IF(OR(C637="სხვა მოდელი წერია",I637&gt;=განმარტება!$B$4),1,IF(OR(C637="ცარიელი",I637&gt;=1),2,IF(H637&gt;=განმარტება!$B$5,3,4)))</f>
        <v>4</v>
      </c>
      <c r="C637" s="6" t="s">
        <v>15</v>
      </c>
      <c r="D637" s="6" t="s">
        <v>3231</v>
      </c>
      <c r="E637" s="7" t="s">
        <v>3232</v>
      </c>
      <c r="F637" s="7" t="n">
        <v>754</v>
      </c>
      <c r="G637" s="6" t="s">
        <v>302</v>
      </c>
      <c r="H637" s="8" t="n">
        <v>930</v>
      </c>
      <c r="I637" s="8" t="n">
        <v>0</v>
      </c>
      <c r="J637" s="7" t="n">
        <v>0</v>
      </c>
      <c r="K637" s="9" t="s">
        <v>3233</v>
      </c>
      <c r="L637" s="6" t="s">
        <v>3234</v>
      </c>
      <c r="M637" s="6" t="s">
        <v>3235</v>
      </c>
      <c r="N637" s="10"/>
      <c r="O637" s="4" t="str">
        <f aca="false">IF(N637="","",LEN(N637))</f>
        <v/>
      </c>
    </row>
    <row r="638" customFormat="false" ht="64.5" hidden="false" customHeight="true" outlineLevel="0" collapsed="false">
      <c r="A638" s="4" t="n">
        <v>637</v>
      </c>
      <c r="B638" s="5" t="n">
        <f aca="false">IF(OR(C638="სხვა მოდელი წერია",I638&gt;=განმარტება!$B$4),1,IF(OR(C638="ცარიელი",I638&gt;=1),2,IF(H638&gt;=განმარტება!$B$5,3,4)))</f>
        <v>4</v>
      </c>
      <c r="C638" s="6" t="s">
        <v>15</v>
      </c>
      <c r="D638" s="6" t="s">
        <v>3236</v>
      </c>
      <c r="E638" s="7" t="s">
        <v>3237</v>
      </c>
      <c r="F638" s="7" t="n">
        <v>3980</v>
      </c>
      <c r="G638" s="6" t="s">
        <v>95</v>
      </c>
      <c r="H638" s="8" t="n">
        <v>929</v>
      </c>
      <c r="I638" s="8" t="n">
        <v>0</v>
      </c>
      <c r="J638" s="7" t="n">
        <v>0</v>
      </c>
      <c r="K638" s="9" t="s">
        <v>3238</v>
      </c>
      <c r="L638" s="6" t="s">
        <v>3239</v>
      </c>
      <c r="M638" s="6" t="s">
        <v>3240</v>
      </c>
      <c r="N638" s="10"/>
      <c r="O638" s="4" t="str">
        <f aca="false">IF(N638="","",LEN(N638))</f>
        <v/>
      </c>
    </row>
    <row r="639" customFormat="false" ht="64.5" hidden="false" customHeight="true" outlineLevel="0" collapsed="false">
      <c r="A639" s="4" t="n">
        <v>638</v>
      </c>
      <c r="B639" s="5" t="n">
        <f aca="false">IF(OR(C639="სხვა მოდელი წერია",I639&gt;=განმარტება!$B$4),1,IF(OR(C639="ცარიელი",I639&gt;=1),2,IF(H639&gt;=განმარტება!$B$5,3,4)))</f>
        <v>4</v>
      </c>
      <c r="C639" s="6" t="s">
        <v>15</v>
      </c>
      <c r="D639" s="6" t="s">
        <v>3241</v>
      </c>
      <c r="E639" s="7" t="s">
        <v>3242</v>
      </c>
      <c r="F639" s="7" t="n">
        <v>1366</v>
      </c>
      <c r="G639" s="6" t="s">
        <v>95</v>
      </c>
      <c r="H639" s="8" t="n">
        <v>929</v>
      </c>
      <c r="I639" s="8" t="n">
        <v>0</v>
      </c>
      <c r="J639" s="7" t="n">
        <v>0</v>
      </c>
      <c r="K639" s="9" t="s">
        <v>3243</v>
      </c>
      <c r="L639" s="6" t="s">
        <v>3244</v>
      </c>
      <c r="M639" s="6" t="s">
        <v>3245</v>
      </c>
      <c r="N639" s="10"/>
      <c r="O639" s="4" t="str">
        <f aca="false">IF(N639="","",LEN(N639))</f>
        <v/>
      </c>
    </row>
    <row r="640" customFormat="false" ht="39" hidden="false" customHeight="true" outlineLevel="0" collapsed="false">
      <c r="A640" s="4" t="n">
        <v>639</v>
      </c>
      <c r="B640" s="5" t="n">
        <f aca="false">IF(OR(C640="სხვა მოდელი წერია",I640&gt;=განმარტება!$B$4),1,IF(OR(C640="ცარიელი",I640&gt;=1),2,IF(H640&gt;=განმარტება!$B$5,3,4)))</f>
        <v>4</v>
      </c>
      <c r="C640" s="6" t="s">
        <v>15</v>
      </c>
      <c r="D640" s="6" t="s">
        <v>3246</v>
      </c>
      <c r="E640" s="7" t="s">
        <v>3247</v>
      </c>
      <c r="F640" s="7" t="n">
        <v>760</v>
      </c>
      <c r="G640" s="6" t="s">
        <v>302</v>
      </c>
      <c r="H640" s="8" t="n">
        <v>928</v>
      </c>
      <c r="I640" s="8" t="n">
        <v>0</v>
      </c>
      <c r="J640" s="7" t="n">
        <v>0</v>
      </c>
      <c r="K640" s="9" t="s">
        <v>3248</v>
      </c>
      <c r="L640" s="6" t="s">
        <v>3249</v>
      </c>
      <c r="M640" s="6" t="s">
        <v>3250</v>
      </c>
      <c r="N640" s="10"/>
      <c r="O640" s="4" t="str">
        <f aca="false">IF(N640="","",LEN(N640))</f>
        <v/>
      </c>
    </row>
    <row r="641" customFormat="false" ht="51.75" hidden="false" customHeight="true" outlineLevel="0" collapsed="false">
      <c r="A641" s="4" t="n">
        <v>640</v>
      </c>
      <c r="B641" s="5" t="n">
        <f aca="false">IF(OR(C641="სხვა მოდელი წერია",I641&gt;=განმარტება!$B$4),1,IF(OR(C641="ცარიელი",I641&gt;=1),2,IF(H641&gt;=განმარტება!$B$5,3,4)))</f>
        <v>4</v>
      </c>
      <c r="C641" s="6" t="s">
        <v>15</v>
      </c>
      <c r="D641" s="6" t="s">
        <v>3251</v>
      </c>
      <c r="E641" s="7" t="s">
        <v>3252</v>
      </c>
      <c r="F641" s="7" t="n">
        <v>2963</v>
      </c>
      <c r="G641" s="6" t="s">
        <v>3253</v>
      </c>
      <c r="H641" s="8" t="n">
        <v>926</v>
      </c>
      <c r="I641" s="8" t="n">
        <v>0</v>
      </c>
      <c r="J641" s="7" t="n">
        <v>0</v>
      </c>
      <c r="K641" s="9" t="s">
        <v>3254</v>
      </c>
      <c r="L641" s="6" t="s">
        <v>3255</v>
      </c>
      <c r="M641" s="6" t="s">
        <v>3256</v>
      </c>
      <c r="N641" s="10"/>
      <c r="O641" s="4" t="str">
        <f aca="false">IF(N641="","",LEN(N641))</f>
        <v/>
      </c>
    </row>
    <row r="642" customFormat="false" ht="39" hidden="false" customHeight="true" outlineLevel="0" collapsed="false">
      <c r="A642" s="4" t="n">
        <v>641</v>
      </c>
      <c r="B642" s="5" t="n">
        <f aca="false">IF(OR(C642="სხვა მოდელი წერია",I642&gt;=განმარტება!$B$4),1,IF(OR(C642="ცარიელი",I642&gt;=1),2,IF(H642&gt;=განმარტება!$B$5,3,4)))</f>
        <v>4</v>
      </c>
      <c r="C642" s="6" t="s">
        <v>15</v>
      </c>
      <c r="D642" s="6" t="s">
        <v>3257</v>
      </c>
      <c r="E642" s="7" t="s">
        <v>3258</v>
      </c>
      <c r="F642" s="7" t="n">
        <v>1732</v>
      </c>
      <c r="G642" s="6" t="s">
        <v>749</v>
      </c>
      <c r="H642" s="8" t="n">
        <v>925</v>
      </c>
      <c r="I642" s="8" t="n">
        <v>0</v>
      </c>
      <c r="J642" s="7" t="n">
        <v>0</v>
      </c>
      <c r="K642" s="9" t="s">
        <v>3259</v>
      </c>
      <c r="L642" s="6" t="s">
        <v>3260</v>
      </c>
      <c r="M642" s="6" t="s">
        <v>3261</v>
      </c>
      <c r="N642" s="10"/>
      <c r="O642" s="4" t="str">
        <f aca="false">IF(N642="","",LEN(N642))</f>
        <v/>
      </c>
    </row>
    <row r="643" customFormat="false" ht="39" hidden="false" customHeight="true" outlineLevel="0" collapsed="false">
      <c r="A643" s="4" t="n">
        <v>642</v>
      </c>
      <c r="B643" s="5" t="n">
        <f aca="false">IF(OR(C643="სხვა მოდელი წერია",I643&gt;=განმარტება!$B$4),1,IF(OR(C643="ცარიელი",I643&gt;=1),2,IF(H643&gt;=განმარტება!$B$5,3,4)))</f>
        <v>4</v>
      </c>
      <c r="C643" s="6" t="s">
        <v>15</v>
      </c>
      <c r="D643" s="6" t="s">
        <v>3262</v>
      </c>
      <c r="E643" s="7" t="s">
        <v>3263</v>
      </c>
      <c r="F643" s="7" t="n">
        <v>2755</v>
      </c>
      <c r="G643" s="6" t="s">
        <v>112</v>
      </c>
      <c r="H643" s="8" t="n">
        <v>925</v>
      </c>
      <c r="I643" s="8" t="n">
        <v>0</v>
      </c>
      <c r="J643" s="7" t="n">
        <v>0</v>
      </c>
      <c r="K643" s="9" t="s">
        <v>3264</v>
      </c>
      <c r="L643" s="6" t="s">
        <v>3265</v>
      </c>
      <c r="M643" s="6" t="s">
        <v>3266</v>
      </c>
      <c r="N643" s="10"/>
      <c r="O643" s="4" t="str">
        <f aca="false">IF(N643="","",LEN(N643))</f>
        <v/>
      </c>
    </row>
    <row r="644" customFormat="false" ht="39" hidden="false" customHeight="true" outlineLevel="0" collapsed="false">
      <c r="A644" s="4" t="n">
        <v>643</v>
      </c>
      <c r="B644" s="5" t="n">
        <f aca="false">IF(OR(C644="სხვა მოდელი წერია",I644&gt;=განმარტება!$B$4),1,IF(OR(C644="ცარიელი",I644&gt;=1),2,IF(H644&gt;=განმარტება!$B$5,3,4)))</f>
        <v>4</v>
      </c>
      <c r="C644" s="6" t="s">
        <v>15</v>
      </c>
      <c r="D644" s="6" t="s">
        <v>3267</v>
      </c>
      <c r="E644" s="7" t="s">
        <v>3268</v>
      </c>
      <c r="F644" s="7" t="n">
        <v>786</v>
      </c>
      <c r="G644" s="6" t="s">
        <v>302</v>
      </c>
      <c r="H644" s="8" t="n">
        <v>920</v>
      </c>
      <c r="I644" s="8" t="n">
        <v>0</v>
      </c>
      <c r="J644" s="7" t="n">
        <v>0</v>
      </c>
      <c r="K644" s="9" t="s">
        <v>3269</v>
      </c>
      <c r="L644" s="6" t="s">
        <v>3270</v>
      </c>
      <c r="M644" s="6" t="s">
        <v>3271</v>
      </c>
      <c r="N644" s="10"/>
      <c r="O644" s="4" t="str">
        <f aca="false">IF(N644="","",LEN(N644))</f>
        <v/>
      </c>
    </row>
    <row r="645" customFormat="false" ht="39" hidden="false" customHeight="true" outlineLevel="0" collapsed="false">
      <c r="A645" s="4" t="n">
        <v>644</v>
      </c>
      <c r="B645" s="5" t="n">
        <f aca="false">IF(OR(C645="სხვა მოდელი წერია",I645&gt;=განმარტება!$B$4),1,IF(OR(C645="ცარიელი",I645&gt;=1),2,IF(H645&gt;=განმარტება!$B$5,3,4)))</f>
        <v>4</v>
      </c>
      <c r="C645" s="6" t="s">
        <v>15</v>
      </c>
      <c r="D645" s="6" t="s">
        <v>3272</v>
      </c>
      <c r="E645" s="7" t="s">
        <v>3273</v>
      </c>
      <c r="F645" s="7" t="n">
        <v>3997</v>
      </c>
      <c r="G645" s="6" t="s">
        <v>285</v>
      </c>
      <c r="H645" s="8" t="n">
        <v>919</v>
      </c>
      <c r="I645" s="8" t="n">
        <v>0</v>
      </c>
      <c r="J645" s="7" t="n">
        <v>0</v>
      </c>
      <c r="K645" s="9" t="s">
        <v>3274</v>
      </c>
      <c r="L645" s="6" t="s">
        <v>3275</v>
      </c>
      <c r="M645" s="6" t="s">
        <v>3276</v>
      </c>
      <c r="N645" s="10"/>
      <c r="O645" s="4" t="str">
        <f aca="false">IF(N645="","",LEN(N645))</f>
        <v/>
      </c>
    </row>
    <row r="646" customFormat="false" ht="51.75" hidden="false" customHeight="true" outlineLevel="0" collapsed="false">
      <c r="A646" s="4" t="n">
        <v>645</v>
      </c>
      <c r="B646" s="5" t="n">
        <f aca="false">IF(OR(C646="სხვა მოდელი წერია",I646&gt;=განმარტება!$B$4),1,IF(OR(C646="ცარიელი",I646&gt;=1),2,IF(H646&gt;=განმარტება!$B$5,3,4)))</f>
        <v>4</v>
      </c>
      <c r="C646" s="6" t="s">
        <v>15</v>
      </c>
      <c r="D646" s="6" t="s">
        <v>3277</v>
      </c>
      <c r="E646" s="7" t="s">
        <v>3278</v>
      </c>
      <c r="F646" s="7" t="n">
        <v>1382</v>
      </c>
      <c r="G646" s="6" t="s">
        <v>211</v>
      </c>
      <c r="H646" s="8" t="n">
        <v>919</v>
      </c>
      <c r="I646" s="8" t="n">
        <v>0</v>
      </c>
      <c r="J646" s="7" t="n">
        <v>0</v>
      </c>
      <c r="K646" s="9" t="s">
        <v>3279</v>
      </c>
      <c r="L646" s="6" t="s">
        <v>3280</v>
      </c>
      <c r="M646" s="6" t="s">
        <v>3281</v>
      </c>
      <c r="N646" s="10"/>
      <c r="O646" s="4" t="str">
        <f aca="false">IF(N646="","",LEN(N646))</f>
        <v/>
      </c>
    </row>
    <row r="647" customFormat="false" ht="39" hidden="false" customHeight="true" outlineLevel="0" collapsed="false">
      <c r="A647" s="4" t="n">
        <v>646</v>
      </c>
      <c r="B647" s="5" t="n">
        <f aca="false">IF(OR(C647="სხვა მოდელი წერია",I647&gt;=განმარტება!$B$4),1,IF(OR(C647="ცარიელი",I647&gt;=1),2,IF(H647&gt;=განმარტება!$B$5,3,4)))</f>
        <v>4</v>
      </c>
      <c r="C647" s="6" t="s">
        <v>15</v>
      </c>
      <c r="D647" s="6" t="s">
        <v>3282</v>
      </c>
      <c r="E647" s="7" t="s">
        <v>3283</v>
      </c>
      <c r="F647" s="7" t="n">
        <v>97</v>
      </c>
      <c r="G647" s="6" t="s">
        <v>205</v>
      </c>
      <c r="H647" s="8" t="n">
        <v>919</v>
      </c>
      <c r="I647" s="8" t="n">
        <v>0</v>
      </c>
      <c r="J647" s="7" t="n">
        <v>0</v>
      </c>
      <c r="K647" s="9" t="s">
        <v>3284</v>
      </c>
      <c r="L647" s="6" t="s">
        <v>3285</v>
      </c>
      <c r="M647" s="6" t="s">
        <v>3286</v>
      </c>
      <c r="N647" s="10"/>
      <c r="O647" s="4" t="str">
        <f aca="false">IF(N647="","",LEN(N647))</f>
        <v/>
      </c>
    </row>
    <row r="648" customFormat="false" ht="39" hidden="false" customHeight="true" outlineLevel="0" collapsed="false">
      <c r="A648" s="4" t="n">
        <v>647</v>
      </c>
      <c r="B648" s="5" t="n">
        <f aca="false">IF(OR(C648="სხვა მოდელი წერია",I648&gt;=განმარტება!$B$4),1,IF(OR(C648="ცარიელი",I648&gt;=1),2,IF(H648&gt;=განმარტება!$B$5,3,4)))</f>
        <v>4</v>
      </c>
      <c r="C648" s="6" t="s">
        <v>15</v>
      </c>
      <c r="D648" s="6" t="s">
        <v>3287</v>
      </c>
      <c r="E648" s="7" t="s">
        <v>3288</v>
      </c>
      <c r="F648" s="7" t="n">
        <v>3160</v>
      </c>
      <c r="G648" s="6" t="s">
        <v>177</v>
      </c>
      <c r="H648" s="8" t="n">
        <v>909</v>
      </c>
      <c r="I648" s="8" t="n">
        <v>0</v>
      </c>
      <c r="J648" s="7" t="n">
        <v>0</v>
      </c>
      <c r="K648" s="9" t="s">
        <v>3289</v>
      </c>
      <c r="L648" s="6" t="s">
        <v>3290</v>
      </c>
      <c r="M648" s="6" t="s">
        <v>3291</v>
      </c>
      <c r="N648" s="10"/>
      <c r="O648" s="4" t="str">
        <f aca="false">IF(N648="","",LEN(N648))</f>
        <v/>
      </c>
    </row>
    <row r="649" customFormat="false" ht="51.75" hidden="false" customHeight="true" outlineLevel="0" collapsed="false">
      <c r="A649" s="4" t="n">
        <v>648</v>
      </c>
      <c r="B649" s="5" t="n">
        <f aca="false">IF(OR(C649="სხვა მოდელი წერია",I649&gt;=განმარტება!$B$4),1,IF(OR(C649="ცარიელი",I649&gt;=1),2,IF(H649&gt;=განმარტება!$B$5,3,4)))</f>
        <v>4</v>
      </c>
      <c r="C649" s="6" t="s">
        <v>15</v>
      </c>
      <c r="D649" s="6" t="s">
        <v>3292</v>
      </c>
      <c r="E649" s="7" t="s">
        <v>3293</v>
      </c>
      <c r="F649" s="7" t="n">
        <v>1469</v>
      </c>
      <c r="G649" s="6" t="s">
        <v>48</v>
      </c>
      <c r="H649" s="8" t="n">
        <v>909</v>
      </c>
      <c r="I649" s="8" t="n">
        <v>0</v>
      </c>
      <c r="J649" s="7" t="n">
        <v>0</v>
      </c>
      <c r="K649" s="9" t="s">
        <v>3294</v>
      </c>
      <c r="L649" s="6" t="s">
        <v>3295</v>
      </c>
      <c r="M649" s="6" t="s">
        <v>3296</v>
      </c>
      <c r="N649" s="10"/>
      <c r="O649" s="4" t="str">
        <f aca="false">IF(N649="","",LEN(N649))</f>
        <v/>
      </c>
    </row>
    <row r="650" customFormat="false" ht="51.75" hidden="false" customHeight="true" outlineLevel="0" collapsed="false">
      <c r="A650" s="4" t="n">
        <v>649</v>
      </c>
      <c r="B650" s="5" t="n">
        <f aca="false">IF(OR(C650="სხვა მოდელი წერია",I650&gt;=განმარტება!$B$4),1,IF(OR(C650="ცარიელი",I650&gt;=1),2,IF(H650&gt;=განმარტება!$B$5,3,4)))</f>
        <v>4</v>
      </c>
      <c r="C650" s="6" t="s">
        <v>316</v>
      </c>
      <c r="D650" s="6" t="s">
        <v>3297</v>
      </c>
      <c r="E650" s="7" t="s">
        <v>3298</v>
      </c>
      <c r="F650" s="7" t="n">
        <v>3344</v>
      </c>
      <c r="G650" s="6" t="s">
        <v>205</v>
      </c>
      <c r="H650" s="8" t="n">
        <v>907</v>
      </c>
      <c r="I650" s="8" t="n">
        <v>0</v>
      </c>
      <c r="J650" s="7" t="n">
        <v>0</v>
      </c>
      <c r="K650" s="9" t="s">
        <v>3299</v>
      </c>
      <c r="L650" s="6" t="s">
        <v>3300</v>
      </c>
      <c r="M650" s="6" t="s">
        <v>3301</v>
      </c>
      <c r="N650" s="10"/>
      <c r="O650" s="4" t="str">
        <f aca="false">IF(N650="","",LEN(N650))</f>
        <v/>
      </c>
    </row>
    <row r="651" customFormat="false" ht="51.75" hidden="false" customHeight="true" outlineLevel="0" collapsed="false">
      <c r="A651" s="4" t="n">
        <v>650</v>
      </c>
      <c r="B651" s="5" t="n">
        <f aca="false">IF(OR(C651="სხვა მოდელი წერია",I651&gt;=განმარტება!$B$4),1,IF(OR(C651="ცარიელი",I651&gt;=1),2,IF(H651&gt;=განმარტება!$B$5,3,4)))</f>
        <v>4</v>
      </c>
      <c r="C651" s="6" t="s">
        <v>15</v>
      </c>
      <c r="D651" s="6" t="s">
        <v>3302</v>
      </c>
      <c r="E651" s="7" t="s">
        <v>3303</v>
      </c>
      <c r="F651" s="7" t="n">
        <v>8928</v>
      </c>
      <c r="G651" s="6" t="s">
        <v>1267</v>
      </c>
      <c r="H651" s="8" t="n">
        <v>900</v>
      </c>
      <c r="I651" s="8" t="n">
        <v>0</v>
      </c>
      <c r="J651" s="7" t="n">
        <v>0</v>
      </c>
      <c r="K651" s="9" t="s">
        <v>3304</v>
      </c>
      <c r="L651" s="6" t="s">
        <v>3305</v>
      </c>
      <c r="M651" s="6" t="s">
        <v>3306</v>
      </c>
      <c r="N651" s="10"/>
      <c r="O651" s="4" t="str">
        <f aca="false">IF(N651="","",LEN(N651))</f>
        <v/>
      </c>
    </row>
    <row r="652" customFormat="false" ht="39" hidden="false" customHeight="true" outlineLevel="0" collapsed="false">
      <c r="A652" s="4" t="n">
        <v>651</v>
      </c>
      <c r="B652" s="5" t="n">
        <f aca="false">IF(OR(C652="სხვა მოდელი წერია",I652&gt;=განმარტება!$B$4),1,IF(OR(C652="ცარიელი",I652&gt;=1),2,IF(H652&gt;=განმარტება!$B$5,3,4)))</f>
        <v>4</v>
      </c>
      <c r="C652" s="6" t="s">
        <v>15</v>
      </c>
      <c r="D652" s="6" t="s">
        <v>3307</v>
      </c>
      <c r="E652" s="7" t="s">
        <v>3308</v>
      </c>
      <c r="F652" s="7" t="n">
        <v>2802</v>
      </c>
      <c r="G652" s="6" t="s">
        <v>112</v>
      </c>
      <c r="H652" s="8" t="n">
        <v>899</v>
      </c>
      <c r="I652" s="8" t="n">
        <v>0</v>
      </c>
      <c r="J652" s="7" t="n">
        <v>0</v>
      </c>
      <c r="K652" s="9" t="s">
        <v>3309</v>
      </c>
      <c r="L652" s="6" t="s">
        <v>3310</v>
      </c>
      <c r="M652" s="6" t="s">
        <v>3311</v>
      </c>
      <c r="N652" s="10"/>
      <c r="O652" s="4" t="str">
        <f aca="false">IF(N652="","",LEN(N652))</f>
        <v/>
      </c>
    </row>
    <row r="653" customFormat="false" ht="39" hidden="false" customHeight="true" outlineLevel="0" collapsed="false">
      <c r="A653" s="4" t="n">
        <v>652</v>
      </c>
      <c r="B653" s="5" t="n">
        <f aca="false">IF(OR(C653="სხვა მოდელი წერია",I653&gt;=განმარტება!$B$4),1,IF(OR(C653="ცარიელი",I653&gt;=1),2,IF(H653&gt;=განმარტება!$B$5,3,4)))</f>
        <v>4</v>
      </c>
      <c r="C653" s="6" t="s">
        <v>15</v>
      </c>
      <c r="D653" s="6" t="s">
        <v>3312</v>
      </c>
      <c r="E653" s="7" t="s">
        <v>3313</v>
      </c>
      <c r="F653" s="7" t="n">
        <v>1032</v>
      </c>
      <c r="G653" s="6" t="s">
        <v>112</v>
      </c>
      <c r="H653" s="8" t="n">
        <v>899</v>
      </c>
      <c r="I653" s="8" t="n">
        <v>0</v>
      </c>
      <c r="J653" s="7" t="n">
        <v>0</v>
      </c>
      <c r="K653" s="9" t="s">
        <v>3314</v>
      </c>
      <c r="L653" s="6" t="s">
        <v>3315</v>
      </c>
      <c r="M653" s="6" t="s">
        <v>3316</v>
      </c>
      <c r="N653" s="10"/>
      <c r="O653" s="4" t="str">
        <f aca="false">IF(N653="","",LEN(N653))</f>
        <v/>
      </c>
    </row>
    <row r="654" customFormat="false" ht="39" hidden="false" customHeight="true" outlineLevel="0" collapsed="false">
      <c r="A654" s="4" t="n">
        <v>653</v>
      </c>
      <c r="B654" s="5" t="n">
        <f aca="false">IF(OR(C654="სხვა მოდელი წერია",I654&gt;=განმარტება!$B$4),1,IF(OR(C654="ცარიელი",I654&gt;=1),2,IF(H654&gt;=განმარტება!$B$5,3,4)))</f>
        <v>4</v>
      </c>
      <c r="C654" s="6" t="s">
        <v>15</v>
      </c>
      <c r="D654" s="6" t="s">
        <v>3317</v>
      </c>
      <c r="E654" s="7" t="s">
        <v>3318</v>
      </c>
      <c r="F654" s="7" t="n">
        <v>249</v>
      </c>
      <c r="G654" s="6" t="s">
        <v>112</v>
      </c>
      <c r="H654" s="8" t="n">
        <v>899</v>
      </c>
      <c r="I654" s="8" t="n">
        <v>0</v>
      </c>
      <c r="J654" s="7" t="n">
        <v>0</v>
      </c>
      <c r="K654" s="9" t="s">
        <v>3319</v>
      </c>
      <c r="L654" s="6" t="s">
        <v>3320</v>
      </c>
      <c r="M654" s="6" t="s">
        <v>3321</v>
      </c>
      <c r="N654" s="10"/>
      <c r="O654" s="4" t="str">
        <f aca="false">IF(N654="","",LEN(N654))</f>
        <v/>
      </c>
    </row>
    <row r="655" customFormat="false" ht="39" hidden="false" customHeight="true" outlineLevel="0" collapsed="false">
      <c r="A655" s="4" t="n">
        <v>654</v>
      </c>
      <c r="B655" s="5" t="n">
        <f aca="false">IF(OR(C655="სხვა მოდელი წერია",I655&gt;=განმარტება!$B$4),1,IF(OR(C655="ცარიელი",I655&gt;=1),2,IF(H655&gt;=განმარტება!$B$5,3,4)))</f>
        <v>4</v>
      </c>
      <c r="C655" s="6" t="s">
        <v>15</v>
      </c>
      <c r="D655" s="6" t="s">
        <v>3322</v>
      </c>
      <c r="E655" s="7" t="s">
        <v>3323</v>
      </c>
      <c r="F655" s="7" t="n">
        <v>1429</v>
      </c>
      <c r="G655" s="6" t="s">
        <v>24</v>
      </c>
      <c r="H655" s="8" t="n">
        <v>899</v>
      </c>
      <c r="I655" s="8" t="n">
        <v>0</v>
      </c>
      <c r="J655" s="7" t="n">
        <v>0</v>
      </c>
      <c r="K655" s="9" t="s">
        <v>3324</v>
      </c>
      <c r="L655" s="6" t="s">
        <v>3325</v>
      </c>
      <c r="M655" s="6" t="s">
        <v>3326</v>
      </c>
      <c r="N655" s="10"/>
      <c r="O655" s="4" t="str">
        <f aca="false">IF(N655="","",LEN(N655))</f>
        <v/>
      </c>
    </row>
    <row r="656" customFormat="false" ht="39" hidden="false" customHeight="true" outlineLevel="0" collapsed="false">
      <c r="A656" s="4" t="n">
        <v>655</v>
      </c>
      <c r="B656" s="5" t="n">
        <f aca="false">IF(OR(C656="სხვა მოდელი წერია",I656&gt;=განმარტება!$B$4),1,IF(OR(C656="ცარიელი",I656&gt;=1),2,IF(H656&gt;=განმარტება!$B$5,3,4)))</f>
        <v>4</v>
      </c>
      <c r="C656" s="6" t="s">
        <v>15</v>
      </c>
      <c r="D656" s="6" t="s">
        <v>3327</v>
      </c>
      <c r="E656" s="7" t="s">
        <v>3328</v>
      </c>
      <c r="F656" s="7" t="n">
        <v>1428</v>
      </c>
      <c r="G656" s="6" t="s">
        <v>24</v>
      </c>
      <c r="H656" s="8" t="n">
        <v>899</v>
      </c>
      <c r="I656" s="8" t="n">
        <v>0</v>
      </c>
      <c r="J656" s="7" t="n">
        <v>0</v>
      </c>
      <c r="K656" s="9" t="s">
        <v>3329</v>
      </c>
      <c r="L656" s="6" t="s">
        <v>3330</v>
      </c>
      <c r="M656" s="6" t="s">
        <v>3331</v>
      </c>
      <c r="N656" s="10"/>
      <c r="O656" s="4" t="str">
        <f aca="false">IF(N656="","",LEN(N656))</f>
        <v/>
      </c>
    </row>
    <row r="657" customFormat="false" ht="51.75" hidden="false" customHeight="true" outlineLevel="0" collapsed="false">
      <c r="A657" s="4" t="n">
        <v>656</v>
      </c>
      <c r="B657" s="5" t="n">
        <f aca="false">IF(OR(C657="სხვა მოდელი წერია",I657&gt;=განმარტება!$B$4),1,IF(OR(C657="ცარიელი",I657&gt;=1),2,IF(H657&gt;=განმარტება!$B$5,3,4)))</f>
        <v>4</v>
      </c>
      <c r="C657" s="6" t="s">
        <v>15</v>
      </c>
      <c r="D657" s="6" t="s">
        <v>3332</v>
      </c>
      <c r="E657" s="7" t="s">
        <v>3333</v>
      </c>
      <c r="F657" s="7" t="n">
        <v>2155</v>
      </c>
      <c r="G657" s="6" t="s">
        <v>211</v>
      </c>
      <c r="H657" s="8" t="n">
        <v>899</v>
      </c>
      <c r="I657" s="8" t="n">
        <v>0</v>
      </c>
      <c r="J657" s="7" t="n">
        <v>0</v>
      </c>
      <c r="K657" s="9" t="s">
        <v>3334</v>
      </c>
      <c r="L657" s="6" t="s">
        <v>3335</v>
      </c>
      <c r="M657" s="6" t="s">
        <v>3336</v>
      </c>
      <c r="N657" s="10"/>
      <c r="O657" s="4" t="str">
        <f aca="false">IF(N657="","",LEN(N657))</f>
        <v/>
      </c>
    </row>
    <row r="658" customFormat="false" ht="39" hidden="false" customHeight="true" outlineLevel="0" collapsed="false">
      <c r="A658" s="4" t="n">
        <v>657</v>
      </c>
      <c r="B658" s="5" t="n">
        <f aca="false">IF(OR(C658="სხვა მოდელი წერია",I658&gt;=განმარტება!$B$4),1,IF(OR(C658="ცარიელი",I658&gt;=1),2,IF(H658&gt;=განმარტება!$B$5,3,4)))</f>
        <v>4</v>
      </c>
      <c r="C658" s="6" t="s">
        <v>15</v>
      </c>
      <c r="D658" s="6" t="s">
        <v>3337</v>
      </c>
      <c r="E658" s="7" t="s">
        <v>3338</v>
      </c>
      <c r="F658" s="7" t="n">
        <v>3079</v>
      </c>
      <c r="G658" s="6" t="s">
        <v>205</v>
      </c>
      <c r="H658" s="8" t="n">
        <v>899</v>
      </c>
      <c r="I658" s="8" t="n">
        <v>0</v>
      </c>
      <c r="J658" s="7" t="n">
        <v>0</v>
      </c>
      <c r="K658" s="9" t="s">
        <v>3339</v>
      </c>
      <c r="L658" s="6" t="s">
        <v>3340</v>
      </c>
      <c r="M658" s="6" t="s">
        <v>3341</v>
      </c>
      <c r="N658" s="10"/>
      <c r="O658" s="4" t="str">
        <f aca="false">IF(N658="","",LEN(N658))</f>
        <v/>
      </c>
    </row>
    <row r="659" customFormat="false" ht="39" hidden="false" customHeight="true" outlineLevel="0" collapsed="false">
      <c r="A659" s="4" t="n">
        <v>658</v>
      </c>
      <c r="B659" s="5" t="n">
        <f aca="false">IF(OR(C659="სხვა მოდელი წერია",I659&gt;=განმარტება!$B$4),1,IF(OR(C659="ცარიელი",I659&gt;=1),2,IF(H659&gt;=განმარტება!$B$5,3,4)))</f>
        <v>4</v>
      </c>
      <c r="C659" s="6" t="s">
        <v>15</v>
      </c>
      <c r="D659" s="6" t="s">
        <v>3342</v>
      </c>
      <c r="E659" s="7" t="s">
        <v>3343</v>
      </c>
      <c r="F659" s="7" t="n">
        <v>76</v>
      </c>
      <c r="G659" s="6" t="s">
        <v>205</v>
      </c>
      <c r="H659" s="8" t="n">
        <v>899</v>
      </c>
      <c r="I659" s="8" t="n">
        <v>0</v>
      </c>
      <c r="J659" s="7" t="n">
        <v>0</v>
      </c>
      <c r="K659" s="9" t="s">
        <v>3344</v>
      </c>
      <c r="L659" s="6" t="s">
        <v>3345</v>
      </c>
      <c r="M659" s="6" t="s">
        <v>3346</v>
      </c>
      <c r="N659" s="10"/>
      <c r="O659" s="4" t="str">
        <f aca="false">IF(N659="","",LEN(N659))</f>
        <v/>
      </c>
    </row>
    <row r="660" customFormat="false" ht="51.75" hidden="false" customHeight="true" outlineLevel="0" collapsed="false">
      <c r="A660" s="4" t="n">
        <v>659</v>
      </c>
      <c r="B660" s="5" t="n">
        <f aca="false">IF(OR(C660="სხვა მოდელი წერია",I660&gt;=განმარტება!$B$4),1,IF(OR(C660="ცარიელი",I660&gt;=1),2,IF(H660&gt;=განმარტება!$B$5,3,4)))</f>
        <v>4</v>
      </c>
      <c r="C660" s="6" t="s">
        <v>15</v>
      </c>
      <c r="D660" s="6" t="s">
        <v>3347</v>
      </c>
      <c r="E660" s="7" t="s">
        <v>3348</v>
      </c>
      <c r="F660" s="7" t="n">
        <v>3762</v>
      </c>
      <c r="G660" s="6" t="s">
        <v>134</v>
      </c>
      <c r="H660" s="8" t="n">
        <v>899</v>
      </c>
      <c r="I660" s="8" t="n">
        <v>0</v>
      </c>
      <c r="J660" s="7" t="n">
        <v>0</v>
      </c>
      <c r="K660" s="9" t="s">
        <v>3349</v>
      </c>
      <c r="L660" s="6" t="s">
        <v>3350</v>
      </c>
      <c r="M660" s="6" t="s">
        <v>3351</v>
      </c>
      <c r="N660" s="10"/>
      <c r="O660" s="4" t="str">
        <f aca="false">IF(N660="","",LEN(N660))</f>
        <v/>
      </c>
    </row>
    <row r="661" customFormat="false" ht="64.5" hidden="false" customHeight="true" outlineLevel="0" collapsed="false">
      <c r="A661" s="4" t="n">
        <v>660</v>
      </c>
      <c r="B661" s="5" t="n">
        <f aca="false">IF(OR(C661="სხვა მოდელი წერია",I661&gt;=განმარტება!$B$4),1,IF(OR(C661="ცარიელი",I661&gt;=1),2,IF(H661&gt;=განმარტება!$B$5,3,4)))</f>
        <v>4</v>
      </c>
      <c r="C661" s="6" t="s">
        <v>15</v>
      </c>
      <c r="D661" s="6" t="s">
        <v>3352</v>
      </c>
      <c r="E661" s="7" t="s">
        <v>3353</v>
      </c>
      <c r="F661" s="7" t="n">
        <v>1361</v>
      </c>
      <c r="G661" s="6" t="s">
        <v>95</v>
      </c>
      <c r="H661" s="8" t="n">
        <v>899</v>
      </c>
      <c r="I661" s="8" t="n">
        <v>0</v>
      </c>
      <c r="J661" s="7" t="n">
        <v>0</v>
      </c>
      <c r="K661" s="9" t="s">
        <v>3354</v>
      </c>
      <c r="L661" s="6" t="s">
        <v>3355</v>
      </c>
      <c r="M661" s="6" t="s">
        <v>3356</v>
      </c>
      <c r="N661" s="10"/>
      <c r="O661" s="4" t="str">
        <f aca="false">IF(N661="","",LEN(N661))</f>
        <v/>
      </c>
    </row>
    <row r="662" customFormat="false" ht="64.5" hidden="false" customHeight="true" outlineLevel="0" collapsed="false">
      <c r="A662" s="4" t="n">
        <v>661</v>
      </c>
      <c r="B662" s="5" t="n">
        <f aca="false">IF(OR(C662="სხვა მოდელი წერია",I662&gt;=განმარტება!$B$4),1,IF(OR(C662="ცარიელი",I662&gt;=1),2,IF(H662&gt;=განმარტება!$B$5,3,4)))</f>
        <v>4</v>
      </c>
      <c r="C662" s="6" t="s">
        <v>15</v>
      </c>
      <c r="D662" s="6" t="s">
        <v>3357</v>
      </c>
      <c r="E662" s="7" t="s">
        <v>3358</v>
      </c>
      <c r="F662" s="7" t="n">
        <v>3166</v>
      </c>
      <c r="G662" s="6" t="s">
        <v>95</v>
      </c>
      <c r="H662" s="8" t="n">
        <v>899</v>
      </c>
      <c r="I662" s="8" t="n">
        <v>0</v>
      </c>
      <c r="J662" s="7" t="n">
        <v>0</v>
      </c>
      <c r="K662" s="9" t="s">
        <v>3359</v>
      </c>
      <c r="L662" s="6" t="s">
        <v>3360</v>
      </c>
      <c r="M662" s="6" t="s">
        <v>3361</v>
      </c>
      <c r="N662" s="10"/>
      <c r="O662" s="4" t="str">
        <f aca="false">IF(N662="","",LEN(N662))</f>
        <v/>
      </c>
    </row>
    <row r="663" customFormat="false" ht="64.5" hidden="false" customHeight="true" outlineLevel="0" collapsed="false">
      <c r="A663" s="4" t="n">
        <v>662</v>
      </c>
      <c r="B663" s="5" t="n">
        <f aca="false">IF(OR(C663="სხვა მოდელი წერია",I663&gt;=განმარტება!$B$4),1,IF(OR(C663="ცარიელი",I663&gt;=1),2,IF(H663&gt;=განმარტება!$B$5,3,4)))</f>
        <v>4</v>
      </c>
      <c r="C663" s="6" t="s">
        <v>15</v>
      </c>
      <c r="D663" s="6" t="s">
        <v>3362</v>
      </c>
      <c r="E663" s="7" t="s">
        <v>3363</v>
      </c>
      <c r="F663" s="7" t="n">
        <v>3991</v>
      </c>
      <c r="G663" s="6" t="s">
        <v>95</v>
      </c>
      <c r="H663" s="8" t="n">
        <v>899</v>
      </c>
      <c r="I663" s="8" t="n">
        <v>0</v>
      </c>
      <c r="J663" s="7" t="n">
        <v>0</v>
      </c>
      <c r="K663" s="9" t="s">
        <v>3364</v>
      </c>
      <c r="L663" s="6" t="s">
        <v>3365</v>
      </c>
      <c r="M663" s="6" t="s">
        <v>3366</v>
      </c>
      <c r="N663" s="10"/>
      <c r="O663" s="4" t="str">
        <f aca="false">IF(N663="","",LEN(N663))</f>
        <v/>
      </c>
    </row>
    <row r="664" customFormat="false" ht="64.5" hidden="false" customHeight="true" outlineLevel="0" collapsed="false">
      <c r="A664" s="4" t="n">
        <v>663</v>
      </c>
      <c r="B664" s="5" t="n">
        <f aca="false">IF(OR(C664="სხვა მოდელი წერია",I664&gt;=განმარტება!$B$4),1,IF(OR(C664="ცარიელი",I664&gt;=1),2,IF(H664&gt;=განმარტება!$B$5,3,4)))</f>
        <v>4</v>
      </c>
      <c r="C664" s="6" t="s">
        <v>15</v>
      </c>
      <c r="D664" s="6" t="s">
        <v>3367</v>
      </c>
      <c r="E664" s="7" t="s">
        <v>3368</v>
      </c>
      <c r="F664" s="7" t="n">
        <v>3127</v>
      </c>
      <c r="G664" s="6" t="s">
        <v>95</v>
      </c>
      <c r="H664" s="8" t="n">
        <v>899</v>
      </c>
      <c r="I664" s="8" t="n">
        <v>0</v>
      </c>
      <c r="J664" s="7" t="n">
        <v>0</v>
      </c>
      <c r="K664" s="9" t="s">
        <v>3369</v>
      </c>
      <c r="L664" s="6" t="s">
        <v>3370</v>
      </c>
      <c r="M664" s="6" t="s">
        <v>3371</v>
      </c>
      <c r="N664" s="10"/>
      <c r="O664" s="4" t="str">
        <f aca="false">IF(N664="","",LEN(N664))</f>
        <v/>
      </c>
    </row>
    <row r="665" customFormat="false" ht="51.75" hidden="false" customHeight="true" outlineLevel="0" collapsed="false">
      <c r="A665" s="4" t="n">
        <v>664</v>
      </c>
      <c r="B665" s="5" t="n">
        <f aca="false">IF(OR(C665="სხვა მოდელი წერია",I665&gt;=განმარტება!$B$4),1,IF(OR(C665="ცარიელი",I665&gt;=1),2,IF(H665&gt;=განმარტება!$B$5,3,4)))</f>
        <v>4</v>
      </c>
      <c r="C665" s="6" t="s">
        <v>15</v>
      </c>
      <c r="D665" s="6" t="s">
        <v>3372</v>
      </c>
      <c r="E665" s="7" t="s">
        <v>3373</v>
      </c>
      <c r="F665" s="7" t="n">
        <v>899</v>
      </c>
      <c r="G665" s="6" t="s">
        <v>211</v>
      </c>
      <c r="H665" s="8" t="n">
        <v>889</v>
      </c>
      <c r="I665" s="8" t="n">
        <v>0</v>
      </c>
      <c r="J665" s="7" t="n">
        <v>0</v>
      </c>
      <c r="K665" s="9" t="s">
        <v>3374</v>
      </c>
      <c r="L665" s="6" t="s">
        <v>3375</v>
      </c>
      <c r="M665" s="6" t="s">
        <v>3376</v>
      </c>
      <c r="N665" s="10"/>
      <c r="O665" s="4" t="str">
        <f aca="false">IF(N665="","",LEN(N665))</f>
        <v/>
      </c>
    </row>
    <row r="666" customFormat="false" ht="39" hidden="false" customHeight="true" outlineLevel="0" collapsed="false">
      <c r="A666" s="4" t="n">
        <v>665</v>
      </c>
      <c r="B666" s="5" t="n">
        <f aca="false">IF(OR(C666="სხვა მოდელი წერია",I666&gt;=განმარტება!$B$4),1,IF(OR(C666="ცარიელი",I666&gt;=1),2,IF(H666&gt;=განმარტება!$B$5,3,4)))</f>
        <v>4</v>
      </c>
      <c r="C666" s="6" t="s">
        <v>15</v>
      </c>
      <c r="D666" s="6" t="s">
        <v>3377</v>
      </c>
      <c r="E666" s="7" t="s">
        <v>3378</v>
      </c>
      <c r="F666" s="7" t="n">
        <v>753</v>
      </c>
      <c r="G666" s="6" t="s">
        <v>302</v>
      </c>
      <c r="H666" s="8" t="n">
        <v>880</v>
      </c>
      <c r="I666" s="8" t="n">
        <v>0</v>
      </c>
      <c r="J666" s="7" t="n">
        <v>0</v>
      </c>
      <c r="K666" s="9" t="s">
        <v>3379</v>
      </c>
      <c r="L666" s="6" t="s">
        <v>3380</v>
      </c>
      <c r="M666" s="6" t="s">
        <v>3381</v>
      </c>
      <c r="N666" s="10"/>
      <c r="O666" s="4" t="str">
        <f aca="false">IF(N666="","",LEN(N666))</f>
        <v/>
      </c>
    </row>
    <row r="667" customFormat="false" ht="39" hidden="false" customHeight="true" outlineLevel="0" collapsed="false">
      <c r="A667" s="4" t="n">
        <v>666</v>
      </c>
      <c r="B667" s="5" t="n">
        <f aca="false">IF(OR(C667="სხვა მოდელი წერია",I667&gt;=განმარტება!$B$4),1,IF(OR(C667="ცარიელი",I667&gt;=1),2,IF(H667&gt;=განმარტება!$B$5,3,4)))</f>
        <v>4</v>
      </c>
      <c r="C667" s="6" t="s">
        <v>15</v>
      </c>
      <c r="D667" s="6" t="s">
        <v>3382</v>
      </c>
      <c r="E667" s="7" t="s">
        <v>3383</v>
      </c>
      <c r="F667" s="7" t="n">
        <v>2774</v>
      </c>
      <c r="G667" s="6" t="s">
        <v>112</v>
      </c>
      <c r="H667" s="8" t="n">
        <v>879</v>
      </c>
      <c r="I667" s="8" t="n">
        <v>0</v>
      </c>
      <c r="J667" s="7" t="n">
        <v>0</v>
      </c>
      <c r="K667" s="9" t="s">
        <v>3384</v>
      </c>
      <c r="L667" s="6" t="s">
        <v>3385</v>
      </c>
      <c r="M667" s="6" t="s">
        <v>3386</v>
      </c>
      <c r="N667" s="10"/>
      <c r="O667" s="4" t="str">
        <f aca="false">IF(N667="","",LEN(N667))</f>
        <v/>
      </c>
    </row>
    <row r="668" customFormat="false" ht="39" hidden="false" customHeight="true" outlineLevel="0" collapsed="false">
      <c r="A668" s="4" t="n">
        <v>667</v>
      </c>
      <c r="B668" s="5" t="n">
        <f aca="false">IF(OR(C668="სხვა მოდელი წერია",I668&gt;=განმარტება!$B$4),1,IF(OR(C668="ცარიელი",I668&gt;=1),2,IF(H668&gt;=განმარტება!$B$5,3,4)))</f>
        <v>4</v>
      </c>
      <c r="C668" s="6" t="s">
        <v>15</v>
      </c>
      <c r="D668" s="6" t="s">
        <v>3387</v>
      </c>
      <c r="E668" s="7" t="s">
        <v>3388</v>
      </c>
      <c r="F668" s="7" t="n">
        <v>12045</v>
      </c>
      <c r="G668" s="6" t="s">
        <v>402</v>
      </c>
      <c r="H668" s="8" t="n">
        <v>879</v>
      </c>
      <c r="I668" s="8" t="n">
        <v>0</v>
      </c>
      <c r="J668" s="7" t="n">
        <v>0</v>
      </c>
      <c r="K668" s="9" t="s">
        <v>3389</v>
      </c>
      <c r="L668" s="6" t="s">
        <v>3390</v>
      </c>
      <c r="M668" s="6" t="s">
        <v>3391</v>
      </c>
      <c r="N668" s="10"/>
      <c r="O668" s="4" t="str">
        <f aca="false">IF(N668="","",LEN(N668))</f>
        <v/>
      </c>
    </row>
    <row r="669" customFormat="false" ht="39" hidden="false" customHeight="true" outlineLevel="0" collapsed="false">
      <c r="A669" s="4" t="n">
        <v>668</v>
      </c>
      <c r="B669" s="5" t="n">
        <f aca="false">IF(OR(C669="სხვა მოდელი წერია",I669&gt;=განმარტება!$B$4),1,IF(OR(C669="ცარიელი",I669&gt;=1),2,IF(H669&gt;=განმარტება!$B$5,3,4)))</f>
        <v>4</v>
      </c>
      <c r="C669" s="6" t="s">
        <v>15</v>
      </c>
      <c r="D669" s="6" t="s">
        <v>3392</v>
      </c>
      <c r="E669" s="7" t="s">
        <v>3393</v>
      </c>
      <c r="F669" s="7" t="n">
        <v>567</v>
      </c>
      <c r="G669" s="6" t="s">
        <v>24</v>
      </c>
      <c r="H669" s="8" t="n">
        <v>869</v>
      </c>
      <c r="I669" s="8" t="n">
        <v>0</v>
      </c>
      <c r="J669" s="7" t="n">
        <v>0</v>
      </c>
      <c r="K669" s="9" t="s">
        <v>3394</v>
      </c>
      <c r="L669" s="6" t="s">
        <v>3395</v>
      </c>
      <c r="M669" s="6" t="s">
        <v>3396</v>
      </c>
      <c r="N669" s="10"/>
      <c r="O669" s="4" t="str">
        <f aca="false">IF(N669="","",LEN(N669))</f>
        <v/>
      </c>
    </row>
    <row r="670" customFormat="false" ht="51.75" hidden="false" customHeight="true" outlineLevel="0" collapsed="false">
      <c r="A670" s="4" t="n">
        <v>669</v>
      </c>
      <c r="B670" s="5" t="n">
        <f aca="false">IF(OR(C670="სხვა მოდელი წერია",I670&gt;=განმარტება!$B$4),1,IF(OR(C670="ცარიელი",I670&gt;=1),2,IF(H670&gt;=განმარტება!$B$5,3,4)))</f>
        <v>4</v>
      </c>
      <c r="C670" s="6" t="s">
        <v>15</v>
      </c>
      <c r="D670" s="6" t="s">
        <v>3397</v>
      </c>
      <c r="E670" s="7" t="s">
        <v>3398</v>
      </c>
      <c r="F670" s="7" t="n">
        <v>1407</v>
      </c>
      <c r="G670" s="6" t="s">
        <v>211</v>
      </c>
      <c r="H670" s="8" t="n">
        <v>869</v>
      </c>
      <c r="I670" s="8" t="n">
        <v>0</v>
      </c>
      <c r="J670" s="7" t="n">
        <v>0</v>
      </c>
      <c r="K670" s="9" t="s">
        <v>3399</v>
      </c>
      <c r="L670" s="6" t="s">
        <v>3400</v>
      </c>
      <c r="M670" s="6" t="s">
        <v>3401</v>
      </c>
      <c r="N670" s="10"/>
      <c r="O670" s="4" t="str">
        <f aca="false">IF(N670="","",LEN(N670))</f>
        <v/>
      </c>
    </row>
    <row r="671" customFormat="false" ht="39" hidden="false" customHeight="true" outlineLevel="0" collapsed="false">
      <c r="A671" s="4" t="n">
        <v>670</v>
      </c>
      <c r="B671" s="5" t="n">
        <f aca="false">IF(OR(C671="სხვა მოდელი წერია",I671&gt;=განმარტება!$B$4),1,IF(OR(C671="ცარიელი",I671&gt;=1),2,IF(H671&gt;=განმარტება!$B$5,3,4)))</f>
        <v>4</v>
      </c>
      <c r="C671" s="6" t="s">
        <v>15</v>
      </c>
      <c r="D671" s="6" t="s">
        <v>3402</v>
      </c>
      <c r="E671" s="7" t="s">
        <v>3403</v>
      </c>
      <c r="F671" s="7" t="n">
        <v>2935</v>
      </c>
      <c r="G671" s="6" t="s">
        <v>402</v>
      </c>
      <c r="H671" s="8" t="n">
        <v>869</v>
      </c>
      <c r="I671" s="8" t="n">
        <v>0</v>
      </c>
      <c r="J671" s="7" t="n">
        <v>0</v>
      </c>
      <c r="K671" s="9" t="s">
        <v>3404</v>
      </c>
      <c r="L671" s="6" t="s">
        <v>3405</v>
      </c>
      <c r="M671" s="6" t="s">
        <v>3406</v>
      </c>
      <c r="N671" s="10"/>
      <c r="O671" s="4" t="str">
        <f aca="false">IF(N671="","",LEN(N671))</f>
        <v/>
      </c>
    </row>
    <row r="672" customFormat="false" ht="39" hidden="false" customHeight="true" outlineLevel="0" collapsed="false">
      <c r="A672" s="4" t="n">
        <v>671</v>
      </c>
      <c r="B672" s="5" t="n">
        <f aca="false">IF(OR(C672="სხვა მოდელი წერია",I672&gt;=განმარტება!$B$4),1,IF(OR(C672="ცარიელი",I672&gt;=1),2,IF(H672&gt;=განმარტება!$B$5,3,4)))</f>
        <v>4</v>
      </c>
      <c r="C672" s="6" t="s">
        <v>15</v>
      </c>
      <c r="D672" s="6" t="s">
        <v>3407</v>
      </c>
      <c r="E672" s="7" t="s">
        <v>3408</v>
      </c>
      <c r="F672" s="7" t="n">
        <v>1683</v>
      </c>
      <c r="G672" s="6" t="s">
        <v>112</v>
      </c>
      <c r="H672" s="8" t="n">
        <v>860</v>
      </c>
      <c r="I672" s="8" t="n">
        <v>0</v>
      </c>
      <c r="J672" s="7" t="n">
        <v>0</v>
      </c>
      <c r="K672" s="9" t="s">
        <v>3409</v>
      </c>
      <c r="L672" s="6" t="s">
        <v>3410</v>
      </c>
      <c r="M672" s="6" t="s">
        <v>3411</v>
      </c>
      <c r="N672" s="10"/>
      <c r="O672" s="4" t="str">
        <f aca="false">IF(N672="","",LEN(N672))</f>
        <v/>
      </c>
    </row>
    <row r="673" customFormat="false" ht="39" hidden="false" customHeight="true" outlineLevel="0" collapsed="false">
      <c r="A673" s="4" t="n">
        <v>672</v>
      </c>
      <c r="B673" s="5" t="n">
        <f aca="false">IF(OR(C673="სხვა მოდელი წერია",I673&gt;=განმარტება!$B$4),1,IF(OR(C673="ცარიელი",I673&gt;=1),2,IF(H673&gt;=განმარტება!$B$5,3,4)))</f>
        <v>4</v>
      </c>
      <c r="C673" s="6" t="s">
        <v>15</v>
      </c>
      <c r="D673" s="6" t="s">
        <v>3412</v>
      </c>
      <c r="E673" s="7" t="s">
        <v>3413</v>
      </c>
      <c r="F673" s="7" t="n">
        <v>1678</v>
      </c>
      <c r="G673" s="6" t="s">
        <v>112</v>
      </c>
      <c r="H673" s="8" t="n">
        <v>859</v>
      </c>
      <c r="I673" s="8" t="n">
        <v>0</v>
      </c>
      <c r="J673" s="7" t="n">
        <v>0</v>
      </c>
      <c r="K673" s="9" t="s">
        <v>3414</v>
      </c>
      <c r="L673" s="6" t="s">
        <v>3415</v>
      </c>
      <c r="M673" s="6" t="s">
        <v>3416</v>
      </c>
      <c r="N673" s="10"/>
      <c r="O673" s="4" t="str">
        <f aca="false">IF(N673="","",LEN(N673))</f>
        <v/>
      </c>
    </row>
    <row r="674" customFormat="false" ht="51.75" hidden="false" customHeight="true" outlineLevel="0" collapsed="false">
      <c r="A674" s="4" t="n">
        <v>673</v>
      </c>
      <c r="B674" s="5" t="n">
        <f aca="false">IF(OR(C674="სხვა მოდელი წერია",I674&gt;=განმარტება!$B$4),1,IF(OR(C674="ცარიელი",I674&gt;=1),2,IF(H674&gt;=განმარტება!$B$5,3,4)))</f>
        <v>4</v>
      </c>
      <c r="C674" s="6" t="s">
        <v>15</v>
      </c>
      <c r="D674" s="6" t="s">
        <v>3417</v>
      </c>
      <c r="E674" s="7" t="s">
        <v>3418</v>
      </c>
      <c r="F674" s="7" t="n">
        <v>871</v>
      </c>
      <c r="G674" s="6" t="s">
        <v>211</v>
      </c>
      <c r="H674" s="8" t="n">
        <v>859</v>
      </c>
      <c r="I674" s="8" t="n">
        <v>0</v>
      </c>
      <c r="J674" s="7" t="n">
        <v>0</v>
      </c>
      <c r="K674" s="9" t="s">
        <v>3419</v>
      </c>
      <c r="L674" s="6" t="s">
        <v>3420</v>
      </c>
      <c r="M674" s="6" t="s">
        <v>3421</v>
      </c>
      <c r="N674" s="10"/>
      <c r="O674" s="4" t="str">
        <f aca="false">IF(N674="","",LEN(N674))</f>
        <v/>
      </c>
    </row>
    <row r="675" customFormat="false" ht="39" hidden="false" customHeight="true" outlineLevel="0" collapsed="false">
      <c r="A675" s="4" t="n">
        <v>674</v>
      </c>
      <c r="B675" s="5" t="n">
        <f aca="false">IF(OR(C675="სხვა მოდელი წერია",I675&gt;=განმარტება!$B$4),1,IF(OR(C675="ცარიელი",I675&gt;=1),2,IF(H675&gt;=განმარტება!$B$5,3,4)))</f>
        <v>4</v>
      </c>
      <c r="C675" s="6" t="s">
        <v>15</v>
      </c>
      <c r="D675" s="6" t="s">
        <v>3422</v>
      </c>
      <c r="E675" s="7" t="s">
        <v>3423</v>
      </c>
      <c r="F675" s="7" t="n">
        <v>972</v>
      </c>
      <c r="G675" s="6" t="s">
        <v>205</v>
      </c>
      <c r="H675" s="8" t="n">
        <v>859</v>
      </c>
      <c r="I675" s="8" t="n">
        <v>0</v>
      </c>
      <c r="J675" s="7" t="n">
        <v>0</v>
      </c>
      <c r="K675" s="9" t="s">
        <v>3424</v>
      </c>
      <c r="L675" s="6" t="s">
        <v>3425</v>
      </c>
      <c r="M675" s="6" t="s">
        <v>3426</v>
      </c>
      <c r="N675" s="10"/>
      <c r="O675" s="4" t="str">
        <f aca="false">IF(N675="","",LEN(N675))</f>
        <v/>
      </c>
    </row>
    <row r="676" customFormat="false" ht="39" hidden="false" customHeight="true" outlineLevel="0" collapsed="false">
      <c r="A676" s="4" t="n">
        <v>675</v>
      </c>
      <c r="B676" s="5" t="n">
        <f aca="false">IF(OR(C676="სხვა მოდელი წერია",I676&gt;=განმარტება!$B$4),1,IF(OR(C676="ცარიელი",I676&gt;=1),2,IF(H676&gt;=განმარტება!$B$5,3,4)))</f>
        <v>4</v>
      </c>
      <c r="C676" s="6" t="s">
        <v>15</v>
      </c>
      <c r="D676" s="6" t="s">
        <v>3427</v>
      </c>
      <c r="E676" s="7" t="s">
        <v>3428</v>
      </c>
      <c r="F676" s="7" t="n">
        <v>3795</v>
      </c>
      <c r="G676" s="6" t="s">
        <v>61</v>
      </c>
      <c r="H676" s="8" t="n">
        <v>849</v>
      </c>
      <c r="I676" s="8" t="n">
        <v>0</v>
      </c>
      <c r="J676" s="7" t="n">
        <v>0</v>
      </c>
      <c r="K676" s="9" t="s">
        <v>3429</v>
      </c>
      <c r="L676" s="6" t="s">
        <v>3430</v>
      </c>
      <c r="M676" s="6" t="s">
        <v>3431</v>
      </c>
      <c r="N676" s="10"/>
      <c r="O676" s="4" t="str">
        <f aca="false">IF(N676="","",LEN(N676))</f>
        <v/>
      </c>
    </row>
    <row r="677" customFormat="false" ht="39" hidden="false" customHeight="true" outlineLevel="0" collapsed="false">
      <c r="A677" s="4" t="n">
        <v>676</v>
      </c>
      <c r="B677" s="5" t="n">
        <f aca="false">IF(OR(C677="სხვა მოდელი წერია",I677&gt;=განმარტება!$B$4),1,IF(OR(C677="ცარიელი",I677&gt;=1),2,IF(H677&gt;=განმარტება!$B$5,3,4)))</f>
        <v>4</v>
      </c>
      <c r="C677" s="6" t="s">
        <v>15</v>
      </c>
      <c r="D677" s="6" t="s">
        <v>3432</v>
      </c>
      <c r="E677" s="7" t="s">
        <v>3433</v>
      </c>
      <c r="F677" s="7" t="n">
        <v>2928</v>
      </c>
      <c r="G677" s="6" t="s">
        <v>112</v>
      </c>
      <c r="H677" s="8" t="n">
        <v>849</v>
      </c>
      <c r="I677" s="8" t="n">
        <v>0</v>
      </c>
      <c r="J677" s="7" t="n">
        <v>0</v>
      </c>
      <c r="K677" s="9" t="s">
        <v>3434</v>
      </c>
      <c r="L677" s="6" t="s">
        <v>3435</v>
      </c>
      <c r="M677" s="6" t="s">
        <v>3436</v>
      </c>
      <c r="N677" s="10"/>
      <c r="O677" s="4" t="str">
        <f aca="false">IF(N677="","",LEN(N677))</f>
        <v/>
      </c>
    </row>
    <row r="678" customFormat="false" ht="39" hidden="false" customHeight="true" outlineLevel="0" collapsed="false">
      <c r="A678" s="4" t="n">
        <v>677</v>
      </c>
      <c r="B678" s="5" t="n">
        <f aca="false">IF(OR(C678="სხვა მოდელი წერია",I678&gt;=განმარტება!$B$4),1,IF(OR(C678="ცარიელი",I678&gt;=1),2,IF(H678&gt;=განმარტება!$B$5,3,4)))</f>
        <v>4</v>
      </c>
      <c r="C678" s="6" t="s">
        <v>15</v>
      </c>
      <c r="D678" s="6" t="s">
        <v>3437</v>
      </c>
      <c r="E678" s="7" t="s">
        <v>3438</v>
      </c>
      <c r="F678" s="7" t="n">
        <v>1050</v>
      </c>
      <c r="G678" s="6" t="s">
        <v>112</v>
      </c>
      <c r="H678" s="8" t="n">
        <v>849</v>
      </c>
      <c r="I678" s="8" t="n">
        <v>0</v>
      </c>
      <c r="J678" s="7" t="n">
        <v>0</v>
      </c>
      <c r="K678" s="9" t="s">
        <v>3439</v>
      </c>
      <c r="L678" s="6" t="s">
        <v>3440</v>
      </c>
      <c r="M678" s="6" t="s">
        <v>3441</v>
      </c>
      <c r="N678" s="10"/>
      <c r="O678" s="4" t="str">
        <f aca="false">IF(N678="","",LEN(N678))</f>
        <v/>
      </c>
    </row>
    <row r="679" customFormat="false" ht="39" hidden="false" customHeight="true" outlineLevel="0" collapsed="false">
      <c r="A679" s="4" t="n">
        <v>678</v>
      </c>
      <c r="B679" s="5" t="n">
        <f aca="false">IF(OR(C679="სხვა მოდელი წერია",I679&gt;=განმარტება!$B$4),1,IF(OR(C679="ცარიელი",I679&gt;=1),2,IF(H679&gt;=განმარტება!$B$5,3,4)))</f>
        <v>4</v>
      </c>
      <c r="C679" s="6" t="s">
        <v>15</v>
      </c>
      <c r="D679" s="6" t="s">
        <v>3442</v>
      </c>
      <c r="E679" s="7" t="s">
        <v>3443</v>
      </c>
      <c r="F679" s="7" t="n">
        <v>1284</v>
      </c>
      <c r="G679" s="6" t="s">
        <v>205</v>
      </c>
      <c r="H679" s="8" t="n">
        <v>849</v>
      </c>
      <c r="I679" s="8" t="n">
        <v>0</v>
      </c>
      <c r="J679" s="7" t="n">
        <v>0</v>
      </c>
      <c r="K679" s="9" t="s">
        <v>3444</v>
      </c>
      <c r="L679" s="6" t="s">
        <v>3445</v>
      </c>
      <c r="M679" s="6" t="s">
        <v>3446</v>
      </c>
      <c r="N679" s="10"/>
      <c r="O679" s="4" t="str">
        <f aca="false">IF(N679="","",LEN(N679))</f>
        <v/>
      </c>
    </row>
    <row r="680" customFormat="false" ht="39" hidden="false" customHeight="true" outlineLevel="0" collapsed="false">
      <c r="A680" s="4" t="n">
        <v>679</v>
      </c>
      <c r="B680" s="5" t="n">
        <f aca="false">IF(OR(C680="სხვა მოდელი წერია",I680&gt;=განმარტება!$B$4),1,IF(OR(C680="ცარიელი",I680&gt;=1),2,IF(H680&gt;=განმარტება!$B$5,3,4)))</f>
        <v>4</v>
      </c>
      <c r="C680" s="6" t="s">
        <v>15</v>
      </c>
      <c r="D680" s="6" t="s">
        <v>3447</v>
      </c>
      <c r="E680" s="7" t="s">
        <v>3448</v>
      </c>
      <c r="F680" s="7" t="n">
        <v>1282</v>
      </c>
      <c r="G680" s="6" t="s">
        <v>205</v>
      </c>
      <c r="H680" s="8" t="n">
        <v>849</v>
      </c>
      <c r="I680" s="8" t="n">
        <v>0</v>
      </c>
      <c r="J680" s="7" t="n">
        <v>0</v>
      </c>
      <c r="K680" s="9" t="s">
        <v>3449</v>
      </c>
      <c r="L680" s="6" t="s">
        <v>3450</v>
      </c>
      <c r="M680" s="6" t="s">
        <v>3451</v>
      </c>
      <c r="N680" s="10"/>
      <c r="O680" s="4" t="str">
        <f aca="false">IF(N680="","",LEN(N680))</f>
        <v/>
      </c>
    </row>
    <row r="681" customFormat="false" ht="51.75" hidden="false" customHeight="true" outlineLevel="0" collapsed="false">
      <c r="A681" s="4" t="n">
        <v>680</v>
      </c>
      <c r="B681" s="5" t="n">
        <f aca="false">IF(OR(C681="სხვა მოდელი წერია",I681&gt;=განმარტება!$B$4),1,IF(OR(C681="ცარიელი",I681&gt;=1),2,IF(H681&gt;=განმარტება!$B$5,3,4)))</f>
        <v>4</v>
      </c>
      <c r="C681" s="6" t="s">
        <v>15</v>
      </c>
      <c r="D681" s="6" t="s">
        <v>3452</v>
      </c>
      <c r="E681" s="7" t="s">
        <v>3453</v>
      </c>
      <c r="F681" s="7" t="n">
        <v>903</v>
      </c>
      <c r="G681" s="6" t="s">
        <v>211</v>
      </c>
      <c r="H681" s="8" t="n">
        <v>839</v>
      </c>
      <c r="I681" s="8" t="n">
        <v>0</v>
      </c>
      <c r="J681" s="7" t="n">
        <v>0</v>
      </c>
      <c r="K681" s="9" t="s">
        <v>3454</v>
      </c>
      <c r="L681" s="6" t="s">
        <v>3455</v>
      </c>
      <c r="M681" s="6" t="s">
        <v>3456</v>
      </c>
      <c r="N681" s="10"/>
      <c r="O681" s="4" t="str">
        <f aca="false">IF(N681="","",LEN(N681))</f>
        <v/>
      </c>
    </row>
    <row r="682" customFormat="false" ht="39" hidden="false" customHeight="true" outlineLevel="0" collapsed="false">
      <c r="A682" s="4" t="n">
        <v>681</v>
      </c>
      <c r="B682" s="5" t="n">
        <f aca="false">IF(OR(C682="სხვა მოდელი წერია",I682&gt;=განმარტება!$B$4),1,IF(OR(C682="ცარიელი",I682&gt;=1),2,IF(H682&gt;=განმარტება!$B$5,3,4)))</f>
        <v>4</v>
      </c>
      <c r="C682" s="6" t="s">
        <v>15</v>
      </c>
      <c r="D682" s="6" t="s">
        <v>3457</v>
      </c>
      <c r="E682" s="7" t="s">
        <v>3458</v>
      </c>
      <c r="F682" s="7" t="n">
        <v>3091</v>
      </c>
      <c r="G682" s="6" t="s">
        <v>402</v>
      </c>
      <c r="H682" s="8" t="n">
        <v>839</v>
      </c>
      <c r="I682" s="8" t="n">
        <v>0</v>
      </c>
      <c r="J682" s="7" t="n">
        <v>0</v>
      </c>
      <c r="K682" s="9" t="s">
        <v>3459</v>
      </c>
      <c r="L682" s="6" t="s">
        <v>3460</v>
      </c>
      <c r="M682" s="6" t="s">
        <v>3461</v>
      </c>
      <c r="N682" s="10"/>
      <c r="O682" s="4" t="str">
        <f aca="false">IF(N682="","",LEN(N682))</f>
        <v/>
      </c>
    </row>
    <row r="683" customFormat="false" ht="51.75" hidden="false" customHeight="true" outlineLevel="0" collapsed="false">
      <c r="A683" s="4" t="n">
        <v>682</v>
      </c>
      <c r="B683" s="5" t="n">
        <f aca="false">IF(OR(C683="სხვა მოდელი წერია",I683&gt;=განმარტება!$B$4),1,IF(OR(C683="ცარიელი",I683&gt;=1),2,IF(H683&gt;=განმარტება!$B$5,3,4)))</f>
        <v>4</v>
      </c>
      <c r="C683" s="6" t="s">
        <v>15</v>
      </c>
      <c r="D683" s="6" t="s">
        <v>3462</v>
      </c>
      <c r="E683" s="7" t="s">
        <v>3463</v>
      </c>
      <c r="F683" s="7" t="n">
        <v>1403</v>
      </c>
      <c r="G683" s="6" t="s">
        <v>211</v>
      </c>
      <c r="H683" s="8" t="n">
        <v>832</v>
      </c>
      <c r="I683" s="8" t="n">
        <v>0</v>
      </c>
      <c r="J683" s="7" t="n">
        <v>0</v>
      </c>
      <c r="K683" s="9" t="s">
        <v>3464</v>
      </c>
      <c r="L683" s="6" t="s">
        <v>3465</v>
      </c>
      <c r="M683" s="6" t="s">
        <v>3466</v>
      </c>
      <c r="N683" s="10"/>
      <c r="O683" s="4" t="str">
        <f aca="false">IF(N683="","",LEN(N683))</f>
        <v/>
      </c>
    </row>
    <row r="684" customFormat="false" ht="51.75" hidden="false" customHeight="true" outlineLevel="0" collapsed="false">
      <c r="A684" s="4" t="n">
        <v>683</v>
      </c>
      <c r="B684" s="5" t="n">
        <f aca="false">IF(OR(C684="სხვა მოდელი წერია",I684&gt;=განმარტება!$B$4),1,IF(OR(C684="ცარიელი",I684&gt;=1),2,IF(H684&gt;=განმარტება!$B$5,3,4)))</f>
        <v>4</v>
      </c>
      <c r="C684" s="6" t="s">
        <v>15</v>
      </c>
      <c r="D684" s="6" t="s">
        <v>3467</v>
      </c>
      <c r="E684" s="7" t="s">
        <v>3468</v>
      </c>
      <c r="F684" s="7" t="n">
        <v>226</v>
      </c>
      <c r="G684" s="6" t="s">
        <v>134</v>
      </c>
      <c r="H684" s="8" t="n">
        <v>832</v>
      </c>
      <c r="I684" s="8" t="n">
        <v>0</v>
      </c>
      <c r="J684" s="7" t="n">
        <v>0</v>
      </c>
      <c r="K684" s="9" t="s">
        <v>3469</v>
      </c>
      <c r="L684" s="6" t="s">
        <v>3470</v>
      </c>
      <c r="M684" s="6" t="s">
        <v>3471</v>
      </c>
      <c r="N684" s="10"/>
      <c r="O684" s="4" t="str">
        <f aca="false">IF(N684="","",LEN(N684))</f>
        <v/>
      </c>
    </row>
    <row r="685" customFormat="false" ht="39" hidden="false" customHeight="true" outlineLevel="0" collapsed="false">
      <c r="A685" s="4" t="n">
        <v>684</v>
      </c>
      <c r="B685" s="5" t="n">
        <f aca="false">IF(OR(C685="სხვა მოდელი წერია",I685&gt;=განმარტება!$B$4),1,IF(OR(C685="ცარიელი",I685&gt;=1),2,IF(H685&gt;=განმარტება!$B$5,3,4)))</f>
        <v>4</v>
      </c>
      <c r="C685" s="6" t="s">
        <v>15</v>
      </c>
      <c r="D685" s="6" t="s">
        <v>3472</v>
      </c>
      <c r="E685" s="7" t="s">
        <v>3473</v>
      </c>
      <c r="F685" s="7" t="n">
        <v>774</v>
      </c>
      <c r="G685" s="6" t="s">
        <v>302</v>
      </c>
      <c r="H685" s="8" t="n">
        <v>825</v>
      </c>
      <c r="I685" s="8" t="n">
        <v>0</v>
      </c>
      <c r="J685" s="7" t="n">
        <v>0</v>
      </c>
      <c r="K685" s="9" t="s">
        <v>3474</v>
      </c>
      <c r="L685" s="6" t="s">
        <v>3475</v>
      </c>
      <c r="M685" s="6" t="s">
        <v>3476</v>
      </c>
      <c r="N685" s="10"/>
      <c r="O685" s="4" t="str">
        <f aca="false">IF(N685="","",LEN(N685))</f>
        <v/>
      </c>
    </row>
    <row r="686" customFormat="false" ht="39" hidden="false" customHeight="true" outlineLevel="0" collapsed="false">
      <c r="A686" s="4" t="n">
        <v>685</v>
      </c>
      <c r="B686" s="5" t="n">
        <f aca="false">IF(OR(C686="სხვა მოდელი წერია",I686&gt;=განმარტება!$B$4),1,IF(OR(C686="ცარიელი",I686&gt;=1),2,IF(H686&gt;=განმარტება!$B$5,3,4)))</f>
        <v>4</v>
      </c>
      <c r="C686" s="6" t="s">
        <v>15</v>
      </c>
      <c r="D686" s="6" t="s">
        <v>3477</v>
      </c>
      <c r="E686" s="7" t="s">
        <v>3478</v>
      </c>
      <c r="F686" s="7" t="n">
        <v>1285</v>
      </c>
      <c r="G686" s="6" t="s">
        <v>205</v>
      </c>
      <c r="H686" s="8" t="n">
        <v>825</v>
      </c>
      <c r="I686" s="8" t="n">
        <v>0</v>
      </c>
      <c r="J686" s="7" t="n">
        <v>0</v>
      </c>
      <c r="K686" s="9" t="s">
        <v>3479</v>
      </c>
      <c r="L686" s="6" t="s">
        <v>3480</v>
      </c>
      <c r="M686" s="6" t="s">
        <v>3481</v>
      </c>
      <c r="N686" s="10"/>
      <c r="O686" s="4" t="str">
        <f aca="false">IF(N686="","",LEN(N686))</f>
        <v/>
      </c>
    </row>
    <row r="687" customFormat="false" ht="39" hidden="false" customHeight="true" outlineLevel="0" collapsed="false">
      <c r="A687" s="4" t="n">
        <v>686</v>
      </c>
      <c r="B687" s="5" t="n">
        <f aca="false">IF(OR(C687="სხვა მოდელი წერია",I687&gt;=განმარტება!$B$4),1,IF(OR(C687="ცარიელი",I687&gt;=1),2,IF(H687&gt;=განმარტება!$B$5,3,4)))</f>
        <v>4</v>
      </c>
      <c r="C687" s="6" t="s">
        <v>316</v>
      </c>
      <c r="D687" s="6" t="s">
        <v>3482</v>
      </c>
      <c r="E687" s="7" t="s">
        <v>3483</v>
      </c>
      <c r="F687" s="7" t="n">
        <v>2397</v>
      </c>
      <c r="G687" s="6" t="s">
        <v>1712</v>
      </c>
      <c r="H687" s="8" t="n">
        <v>821</v>
      </c>
      <c r="I687" s="8" t="n">
        <v>0</v>
      </c>
      <c r="J687" s="7" t="n">
        <v>0</v>
      </c>
      <c r="K687" s="9" t="s">
        <v>3484</v>
      </c>
      <c r="L687" s="6" t="s">
        <v>3485</v>
      </c>
      <c r="M687" s="6" t="s">
        <v>3486</v>
      </c>
      <c r="N687" s="10"/>
      <c r="O687" s="4" t="str">
        <f aca="false">IF(N687="","",LEN(N687))</f>
        <v/>
      </c>
    </row>
    <row r="688" customFormat="false" ht="51.75" hidden="false" customHeight="true" outlineLevel="0" collapsed="false">
      <c r="A688" s="4" t="n">
        <v>687</v>
      </c>
      <c r="B688" s="5" t="n">
        <f aca="false">IF(OR(C688="სხვა მოდელი წერია",I688&gt;=განმარტება!$B$4),1,IF(OR(C688="ცარიელი",I688&gt;=1),2,IF(H688&gt;=განმარტება!$B$5,3,4)))</f>
        <v>4</v>
      </c>
      <c r="C688" s="6" t="s">
        <v>15</v>
      </c>
      <c r="D688" s="6" t="s">
        <v>3487</v>
      </c>
      <c r="E688" s="7" t="s">
        <v>3488</v>
      </c>
      <c r="F688" s="7" t="n">
        <v>3138</v>
      </c>
      <c r="G688" s="6" t="s">
        <v>3489</v>
      </c>
      <c r="H688" s="8" t="n">
        <v>819</v>
      </c>
      <c r="I688" s="8" t="n">
        <v>0</v>
      </c>
      <c r="J688" s="7" t="n">
        <v>0</v>
      </c>
      <c r="K688" s="9" t="s">
        <v>3490</v>
      </c>
      <c r="L688" s="6" t="s">
        <v>3491</v>
      </c>
      <c r="M688" s="6" t="s">
        <v>3492</v>
      </c>
      <c r="N688" s="10"/>
      <c r="O688" s="4" t="str">
        <f aca="false">IF(N688="","",LEN(N688))</f>
        <v/>
      </c>
    </row>
    <row r="689" customFormat="false" ht="51.75" hidden="false" customHeight="true" outlineLevel="0" collapsed="false">
      <c r="A689" s="4" t="n">
        <v>688</v>
      </c>
      <c r="B689" s="5" t="n">
        <f aca="false">IF(OR(C689="სხვა მოდელი წერია",I689&gt;=განმარტება!$B$4),1,IF(OR(C689="ცარიელი",I689&gt;=1),2,IF(H689&gt;=განმარტება!$B$5,3,4)))</f>
        <v>4</v>
      </c>
      <c r="C689" s="6" t="s">
        <v>15</v>
      </c>
      <c r="D689" s="6" t="s">
        <v>3493</v>
      </c>
      <c r="E689" s="7" t="s">
        <v>3494</v>
      </c>
      <c r="F689" s="7" t="n">
        <v>2838</v>
      </c>
      <c r="G689" s="6" t="s">
        <v>211</v>
      </c>
      <c r="H689" s="8" t="n">
        <v>819</v>
      </c>
      <c r="I689" s="8" t="n">
        <v>0</v>
      </c>
      <c r="J689" s="7" t="n">
        <v>0</v>
      </c>
      <c r="K689" s="9" t="s">
        <v>3495</v>
      </c>
      <c r="L689" s="6" t="s">
        <v>3496</v>
      </c>
      <c r="M689" s="6" t="s">
        <v>3497</v>
      </c>
      <c r="N689" s="10"/>
      <c r="O689" s="4" t="str">
        <f aca="false">IF(N689="","",LEN(N689))</f>
        <v/>
      </c>
    </row>
    <row r="690" customFormat="false" ht="51.75" hidden="false" customHeight="true" outlineLevel="0" collapsed="false">
      <c r="A690" s="4" t="n">
        <v>689</v>
      </c>
      <c r="B690" s="5" t="n">
        <f aca="false">IF(OR(C690="სხვა მოდელი წერია",I690&gt;=განმარტება!$B$4),1,IF(OR(C690="ცარიელი",I690&gt;=1),2,IF(H690&gt;=განმარტება!$B$5,3,4)))</f>
        <v>4</v>
      </c>
      <c r="C690" s="6" t="s">
        <v>15</v>
      </c>
      <c r="D690" s="6" t="s">
        <v>3498</v>
      </c>
      <c r="E690" s="7" t="s">
        <v>3499</v>
      </c>
      <c r="F690" s="7" t="n">
        <v>1795</v>
      </c>
      <c r="G690" s="6" t="s">
        <v>134</v>
      </c>
      <c r="H690" s="8" t="n">
        <v>819</v>
      </c>
      <c r="I690" s="8" t="n">
        <v>0</v>
      </c>
      <c r="J690" s="7" t="n">
        <v>0</v>
      </c>
      <c r="K690" s="9" t="s">
        <v>3500</v>
      </c>
      <c r="L690" s="6" t="s">
        <v>3501</v>
      </c>
      <c r="M690" s="6" t="s">
        <v>3502</v>
      </c>
      <c r="N690" s="10"/>
      <c r="O690" s="4" t="str">
        <f aca="false">IF(N690="","",LEN(N690))</f>
        <v/>
      </c>
    </row>
    <row r="691" customFormat="false" ht="39" hidden="false" customHeight="true" outlineLevel="0" collapsed="false">
      <c r="A691" s="4" t="n">
        <v>690</v>
      </c>
      <c r="B691" s="5" t="n">
        <f aca="false">IF(OR(C691="სხვა მოდელი წერია",I691&gt;=განმარტება!$B$4),1,IF(OR(C691="ცარიელი",I691&gt;=1),2,IF(H691&gt;=განმარტება!$B$5,3,4)))</f>
        <v>4</v>
      </c>
      <c r="C691" s="6" t="s">
        <v>15</v>
      </c>
      <c r="D691" s="6" t="s">
        <v>3503</v>
      </c>
      <c r="E691" s="7" t="s">
        <v>3504</v>
      </c>
      <c r="F691" s="7" t="n">
        <v>2759</v>
      </c>
      <c r="G691" s="6" t="s">
        <v>112</v>
      </c>
      <c r="H691" s="8" t="n">
        <v>799</v>
      </c>
      <c r="I691" s="8" t="n">
        <v>0</v>
      </c>
      <c r="J691" s="7" t="n">
        <v>0</v>
      </c>
      <c r="K691" s="9" t="s">
        <v>3505</v>
      </c>
      <c r="L691" s="6" t="s">
        <v>3506</v>
      </c>
      <c r="M691" s="6" t="s">
        <v>3507</v>
      </c>
      <c r="N691" s="10"/>
      <c r="O691" s="4" t="str">
        <f aca="false">IF(N691="","",LEN(N691))</f>
        <v/>
      </c>
    </row>
    <row r="692" customFormat="false" ht="39" hidden="false" customHeight="true" outlineLevel="0" collapsed="false">
      <c r="A692" s="4" t="n">
        <v>691</v>
      </c>
      <c r="B692" s="5" t="n">
        <f aca="false">IF(OR(C692="სხვა მოდელი წერია",I692&gt;=განმარტება!$B$4),1,IF(OR(C692="ცარიელი",I692&gt;=1),2,IF(H692&gt;=განმარტება!$B$5,3,4)))</f>
        <v>4</v>
      </c>
      <c r="C692" s="6" t="s">
        <v>15</v>
      </c>
      <c r="D692" s="6" t="s">
        <v>3508</v>
      </c>
      <c r="E692" s="7" t="s">
        <v>3509</v>
      </c>
      <c r="F692" s="7" t="n">
        <v>1048</v>
      </c>
      <c r="G692" s="6" t="s">
        <v>112</v>
      </c>
      <c r="H692" s="8" t="n">
        <v>799</v>
      </c>
      <c r="I692" s="8" t="n">
        <v>0</v>
      </c>
      <c r="J692" s="7" t="n">
        <v>0</v>
      </c>
      <c r="K692" s="9" t="s">
        <v>3510</v>
      </c>
      <c r="L692" s="6" t="s">
        <v>3511</v>
      </c>
      <c r="M692" s="6" t="s">
        <v>3512</v>
      </c>
      <c r="N692" s="10"/>
      <c r="O692" s="4" t="str">
        <f aca="false">IF(N692="","",LEN(N692))</f>
        <v/>
      </c>
    </row>
    <row r="693" customFormat="false" ht="39" hidden="false" customHeight="true" outlineLevel="0" collapsed="false">
      <c r="A693" s="4" t="n">
        <v>692</v>
      </c>
      <c r="B693" s="5" t="n">
        <f aca="false">IF(OR(C693="სხვა მოდელი წერია",I693&gt;=განმარტება!$B$4),1,IF(OR(C693="ცარიელი",I693&gt;=1),2,IF(H693&gt;=განმარტება!$B$5,3,4)))</f>
        <v>4</v>
      </c>
      <c r="C693" s="6" t="s">
        <v>15</v>
      </c>
      <c r="D693" s="6" t="s">
        <v>3513</v>
      </c>
      <c r="E693" s="7" t="s">
        <v>3514</v>
      </c>
      <c r="F693" s="7" t="n">
        <v>1832</v>
      </c>
      <c r="G693" s="6" t="s">
        <v>112</v>
      </c>
      <c r="H693" s="8" t="n">
        <v>799</v>
      </c>
      <c r="I693" s="8" t="n">
        <v>0</v>
      </c>
      <c r="J693" s="7" t="n">
        <v>0</v>
      </c>
      <c r="K693" s="9" t="s">
        <v>3515</v>
      </c>
      <c r="L693" s="6" t="s">
        <v>3516</v>
      </c>
      <c r="M693" s="6" t="s">
        <v>3517</v>
      </c>
      <c r="N693" s="10"/>
      <c r="O693" s="4" t="str">
        <f aca="false">IF(N693="","",LEN(N693))</f>
        <v/>
      </c>
    </row>
    <row r="694" customFormat="false" ht="51.75" hidden="false" customHeight="true" outlineLevel="0" collapsed="false">
      <c r="A694" s="4" t="n">
        <v>693</v>
      </c>
      <c r="B694" s="5" t="n">
        <f aca="false">IF(OR(C694="სხვა მოდელი წერია",I694&gt;=განმარტება!$B$4),1,IF(OR(C694="ცარიელი",I694&gt;=1),2,IF(H694&gt;=განმარტება!$B$5,3,4)))</f>
        <v>4</v>
      </c>
      <c r="C694" s="6" t="s">
        <v>15</v>
      </c>
      <c r="D694" s="6" t="s">
        <v>3518</v>
      </c>
      <c r="E694" s="7" t="s">
        <v>3519</v>
      </c>
      <c r="F694" s="7" t="n">
        <v>2187</v>
      </c>
      <c r="G694" s="6" t="s">
        <v>693</v>
      </c>
      <c r="H694" s="8" t="n">
        <v>799</v>
      </c>
      <c r="I694" s="8" t="n">
        <v>0</v>
      </c>
      <c r="J694" s="7" t="n">
        <v>0</v>
      </c>
      <c r="K694" s="9" t="s">
        <v>3520</v>
      </c>
      <c r="L694" s="6" t="s">
        <v>3521</v>
      </c>
      <c r="M694" s="6" t="s">
        <v>3522</v>
      </c>
      <c r="N694" s="10"/>
      <c r="O694" s="4" t="str">
        <f aca="false">IF(N694="","",LEN(N694))</f>
        <v/>
      </c>
    </row>
    <row r="695" customFormat="false" ht="51.75" hidden="false" customHeight="true" outlineLevel="0" collapsed="false">
      <c r="A695" s="4" t="n">
        <v>694</v>
      </c>
      <c r="B695" s="5" t="n">
        <f aca="false">IF(OR(C695="სხვა მოდელი წერია",I695&gt;=განმარტება!$B$4),1,IF(OR(C695="ცარიელი",I695&gt;=1),2,IF(H695&gt;=განმარტება!$B$5,3,4)))</f>
        <v>4</v>
      </c>
      <c r="C695" s="6" t="s">
        <v>15</v>
      </c>
      <c r="D695" s="6" t="s">
        <v>3523</v>
      </c>
      <c r="E695" s="7" t="s">
        <v>3524</v>
      </c>
      <c r="F695" s="7" t="n">
        <v>898</v>
      </c>
      <c r="G695" s="6" t="s">
        <v>211</v>
      </c>
      <c r="H695" s="8" t="n">
        <v>799</v>
      </c>
      <c r="I695" s="8" t="n">
        <v>0</v>
      </c>
      <c r="J695" s="7" t="n">
        <v>0</v>
      </c>
      <c r="K695" s="9" t="s">
        <v>3525</v>
      </c>
      <c r="L695" s="6" t="s">
        <v>3526</v>
      </c>
      <c r="M695" s="6" t="s">
        <v>3527</v>
      </c>
      <c r="N695" s="10"/>
      <c r="O695" s="4" t="str">
        <f aca="false">IF(N695="","",LEN(N695))</f>
        <v/>
      </c>
    </row>
    <row r="696" customFormat="false" ht="51.75" hidden="false" customHeight="true" outlineLevel="0" collapsed="false">
      <c r="A696" s="4" t="n">
        <v>695</v>
      </c>
      <c r="B696" s="5" t="n">
        <f aca="false">IF(OR(C696="სხვა მოდელი წერია",I696&gt;=განმარტება!$B$4),1,IF(OR(C696="ცარიელი",I696&gt;=1),2,IF(H696&gt;=განმარტება!$B$5,3,4)))</f>
        <v>4</v>
      </c>
      <c r="C696" s="6" t="s">
        <v>15</v>
      </c>
      <c r="D696" s="6" t="s">
        <v>3528</v>
      </c>
      <c r="E696" s="7" t="s">
        <v>3529</v>
      </c>
      <c r="F696" s="7" t="n">
        <v>2901</v>
      </c>
      <c r="G696" s="6" t="s">
        <v>211</v>
      </c>
      <c r="H696" s="8" t="n">
        <v>799</v>
      </c>
      <c r="I696" s="8" t="n">
        <v>0</v>
      </c>
      <c r="J696" s="7" t="n">
        <v>0</v>
      </c>
      <c r="K696" s="9" t="s">
        <v>3530</v>
      </c>
      <c r="L696" s="6" t="s">
        <v>3531</v>
      </c>
      <c r="M696" s="6" t="s">
        <v>3532</v>
      </c>
      <c r="N696" s="10"/>
      <c r="O696" s="4" t="str">
        <f aca="false">IF(N696="","",LEN(N696))</f>
        <v/>
      </c>
    </row>
    <row r="697" customFormat="false" ht="64.5" hidden="false" customHeight="true" outlineLevel="0" collapsed="false">
      <c r="A697" s="4" t="n">
        <v>696</v>
      </c>
      <c r="B697" s="5" t="n">
        <f aca="false">IF(OR(C697="სხვა მოდელი წერია",I697&gt;=განმარტება!$B$4),1,IF(OR(C697="ცარიელი",I697&gt;=1),2,IF(H697&gt;=განმარტება!$B$5,3,4)))</f>
        <v>4</v>
      </c>
      <c r="C697" s="6" t="s">
        <v>15</v>
      </c>
      <c r="D697" s="6" t="s">
        <v>3533</v>
      </c>
      <c r="E697" s="7" t="s">
        <v>3534</v>
      </c>
      <c r="F697" s="7" t="n">
        <v>3972</v>
      </c>
      <c r="G697" s="6" t="s">
        <v>188</v>
      </c>
      <c r="H697" s="8" t="n">
        <v>799</v>
      </c>
      <c r="I697" s="8" t="n">
        <v>0</v>
      </c>
      <c r="J697" s="7" t="n">
        <v>0</v>
      </c>
      <c r="K697" s="9" t="s">
        <v>3535</v>
      </c>
      <c r="L697" s="6" t="s">
        <v>3536</v>
      </c>
      <c r="M697" s="6" t="s">
        <v>3537</v>
      </c>
      <c r="N697" s="10"/>
      <c r="O697" s="4" t="str">
        <f aca="false">IF(N697="","",LEN(N697))</f>
        <v/>
      </c>
    </row>
    <row r="698" customFormat="false" ht="39" hidden="false" customHeight="true" outlineLevel="0" collapsed="false">
      <c r="A698" s="4" t="n">
        <v>697</v>
      </c>
      <c r="B698" s="5" t="n">
        <f aca="false">IF(OR(C698="სხვა მოდელი წერია",I698&gt;=განმარტება!$B$4),1,IF(OR(C698="ცარიელი",I698&gt;=1),2,IF(H698&gt;=განმარტება!$B$5,3,4)))</f>
        <v>4</v>
      </c>
      <c r="C698" s="6" t="s">
        <v>15</v>
      </c>
      <c r="D698" s="6" t="s">
        <v>3538</v>
      </c>
      <c r="E698" s="7" t="s">
        <v>3539</v>
      </c>
      <c r="F698" s="7" t="n">
        <v>13714</v>
      </c>
      <c r="G698" s="6" t="s">
        <v>24</v>
      </c>
      <c r="H698" s="8" t="n">
        <v>799</v>
      </c>
      <c r="I698" s="8" t="n">
        <v>0</v>
      </c>
      <c r="J698" s="7" t="n">
        <v>0</v>
      </c>
      <c r="K698" s="9" t="s">
        <v>3540</v>
      </c>
      <c r="L698" s="6" t="s">
        <v>3541</v>
      </c>
      <c r="M698" s="6" t="s">
        <v>3542</v>
      </c>
      <c r="N698" s="10"/>
      <c r="O698" s="4" t="str">
        <f aca="false">IF(N698="","",LEN(N698))</f>
        <v/>
      </c>
    </row>
    <row r="699" customFormat="false" ht="64.5" hidden="false" customHeight="true" outlineLevel="0" collapsed="false">
      <c r="A699" s="4" t="n">
        <v>698</v>
      </c>
      <c r="B699" s="5" t="n">
        <f aca="false">IF(OR(C699="სხვა მოდელი წერია",I699&gt;=განმარტება!$B$4),1,IF(OR(C699="ცარიელი",I699&gt;=1),2,IF(H699&gt;=განმარტება!$B$5,3,4)))</f>
        <v>4</v>
      </c>
      <c r="C699" s="6" t="s">
        <v>15</v>
      </c>
      <c r="D699" s="6" t="s">
        <v>3543</v>
      </c>
      <c r="E699" s="7" t="s">
        <v>3544</v>
      </c>
      <c r="F699" s="7" t="n">
        <v>1367</v>
      </c>
      <c r="G699" s="6" t="s">
        <v>95</v>
      </c>
      <c r="H699" s="8" t="n">
        <v>799</v>
      </c>
      <c r="I699" s="8" t="n">
        <v>0</v>
      </c>
      <c r="J699" s="7" t="n">
        <v>0</v>
      </c>
      <c r="K699" s="9" t="s">
        <v>3545</v>
      </c>
      <c r="L699" s="6" t="s">
        <v>3546</v>
      </c>
      <c r="M699" s="6" t="s">
        <v>3547</v>
      </c>
      <c r="N699" s="10"/>
      <c r="O699" s="4" t="str">
        <f aca="false">IF(N699="","",LEN(N699))</f>
        <v/>
      </c>
    </row>
    <row r="700" customFormat="false" ht="51.75" hidden="false" customHeight="true" outlineLevel="0" collapsed="false">
      <c r="A700" s="4" t="n">
        <v>699</v>
      </c>
      <c r="B700" s="5" t="n">
        <f aca="false">IF(OR(C700="სხვა მოდელი წერია",I700&gt;=განმარტება!$B$4),1,IF(OR(C700="ცარიელი",I700&gt;=1),2,IF(H700&gt;=განმარტება!$B$5,3,4)))</f>
        <v>4</v>
      </c>
      <c r="C700" s="6" t="s">
        <v>15</v>
      </c>
      <c r="D700" s="6" t="s">
        <v>3548</v>
      </c>
      <c r="E700" s="7" t="s">
        <v>3549</v>
      </c>
      <c r="F700" s="7" t="n">
        <v>2897</v>
      </c>
      <c r="G700" s="6" t="s">
        <v>48</v>
      </c>
      <c r="H700" s="8" t="n">
        <v>799</v>
      </c>
      <c r="I700" s="8" t="n">
        <v>0</v>
      </c>
      <c r="J700" s="7" t="n">
        <v>0</v>
      </c>
      <c r="K700" s="9" t="s">
        <v>3550</v>
      </c>
      <c r="L700" s="6" t="s">
        <v>3551</v>
      </c>
      <c r="M700" s="6" t="s">
        <v>3552</v>
      </c>
      <c r="N700" s="10"/>
      <c r="O700" s="4" t="str">
        <f aca="false">IF(N700="","",LEN(N700))</f>
        <v/>
      </c>
    </row>
    <row r="701" customFormat="false" ht="39" hidden="false" customHeight="true" outlineLevel="0" collapsed="false">
      <c r="A701" s="4" t="n">
        <v>700</v>
      </c>
      <c r="B701" s="5" t="n">
        <f aca="false">IF(OR(C701="სხვა მოდელი წერია",I701&gt;=განმარტება!$B$4),1,IF(OR(C701="ცარიელი",I701&gt;=1),2,IF(H701&gt;=განმარტება!$B$5,3,4)))</f>
        <v>4</v>
      </c>
      <c r="C701" s="6" t="s">
        <v>15</v>
      </c>
      <c r="D701" s="6" t="s">
        <v>3553</v>
      </c>
      <c r="E701" s="7" t="s">
        <v>3554</v>
      </c>
      <c r="F701" s="7" t="n">
        <v>8908</v>
      </c>
      <c r="G701" s="6" t="s">
        <v>1267</v>
      </c>
      <c r="H701" s="8" t="n">
        <v>795</v>
      </c>
      <c r="I701" s="8" t="n">
        <v>0</v>
      </c>
      <c r="J701" s="7" t="n">
        <v>0</v>
      </c>
      <c r="K701" s="9" t="s">
        <v>3555</v>
      </c>
      <c r="L701" s="6" t="s">
        <v>3556</v>
      </c>
      <c r="M701" s="6" t="s">
        <v>3557</v>
      </c>
      <c r="N701" s="10"/>
      <c r="O701" s="4" t="str">
        <f aca="false">IF(N701="","",LEN(N701))</f>
        <v/>
      </c>
    </row>
    <row r="702" customFormat="false" ht="39" hidden="false" customHeight="true" outlineLevel="0" collapsed="false">
      <c r="A702" s="4" t="n">
        <v>701</v>
      </c>
      <c r="B702" s="5" t="n">
        <f aca="false">IF(OR(C702="სხვა მოდელი წერია",I702&gt;=განმარტება!$B$4),1,IF(OR(C702="ცარიელი",I702&gt;=1),2,IF(H702&gt;=განმარტება!$B$5,3,4)))</f>
        <v>4</v>
      </c>
      <c r="C702" s="6" t="s">
        <v>15</v>
      </c>
      <c r="D702" s="6" t="s">
        <v>3558</v>
      </c>
      <c r="E702" s="7" t="s">
        <v>3559</v>
      </c>
      <c r="F702" s="7" t="n">
        <v>1933</v>
      </c>
      <c r="G702" s="6" t="s">
        <v>749</v>
      </c>
      <c r="H702" s="8" t="n">
        <v>795</v>
      </c>
      <c r="I702" s="8" t="n">
        <v>0</v>
      </c>
      <c r="J702" s="7" t="n">
        <v>0</v>
      </c>
      <c r="K702" s="9" t="s">
        <v>3560</v>
      </c>
      <c r="L702" s="6" t="s">
        <v>3561</v>
      </c>
      <c r="M702" s="6" t="s">
        <v>3562</v>
      </c>
      <c r="N702" s="10"/>
      <c r="O702" s="4" t="str">
        <f aca="false">IF(N702="","",LEN(N702))</f>
        <v/>
      </c>
    </row>
    <row r="703" customFormat="false" ht="39" hidden="false" customHeight="true" outlineLevel="0" collapsed="false">
      <c r="A703" s="4" t="n">
        <v>702</v>
      </c>
      <c r="B703" s="5" t="n">
        <f aca="false">IF(OR(C703="სხვა მოდელი წერია",I703&gt;=განმარტება!$B$4),1,IF(OR(C703="ცარიელი",I703&gt;=1),2,IF(H703&gt;=განმარტება!$B$5,3,4)))</f>
        <v>4</v>
      </c>
      <c r="C703" s="6" t="s">
        <v>15</v>
      </c>
      <c r="D703" s="6" t="s">
        <v>3563</v>
      </c>
      <c r="E703" s="7" t="s">
        <v>3564</v>
      </c>
      <c r="F703" s="7" t="n">
        <v>747</v>
      </c>
      <c r="G703" s="6" t="s">
        <v>302</v>
      </c>
      <c r="H703" s="8" t="n">
        <v>795</v>
      </c>
      <c r="I703" s="8" t="n">
        <v>0</v>
      </c>
      <c r="J703" s="7" t="n">
        <v>0</v>
      </c>
      <c r="K703" s="9" t="s">
        <v>3565</v>
      </c>
      <c r="L703" s="6" t="s">
        <v>3566</v>
      </c>
      <c r="M703" s="6" t="s">
        <v>3567</v>
      </c>
      <c r="N703" s="10"/>
      <c r="O703" s="4" t="str">
        <f aca="false">IF(N703="","",LEN(N703))</f>
        <v/>
      </c>
    </row>
    <row r="704" customFormat="false" ht="39" hidden="false" customHeight="true" outlineLevel="0" collapsed="false">
      <c r="A704" s="4" t="n">
        <v>703</v>
      </c>
      <c r="B704" s="5" t="n">
        <f aca="false">IF(OR(C704="სხვა მოდელი წერია",I704&gt;=განმარტება!$B$4),1,IF(OR(C704="ცარიელი",I704&gt;=1),2,IF(H704&gt;=განმარტება!$B$5,3,4)))</f>
        <v>4</v>
      </c>
      <c r="C704" s="6" t="s">
        <v>15</v>
      </c>
      <c r="D704" s="6" t="s">
        <v>3568</v>
      </c>
      <c r="E704" s="7" t="s">
        <v>3569</v>
      </c>
      <c r="F704" s="7" t="n">
        <v>547</v>
      </c>
      <c r="G704" s="6" t="s">
        <v>18</v>
      </c>
      <c r="H704" s="8" t="n">
        <v>789</v>
      </c>
      <c r="I704" s="8" t="n">
        <v>0</v>
      </c>
      <c r="J704" s="7" t="n">
        <v>0</v>
      </c>
      <c r="K704" s="9" t="s">
        <v>3570</v>
      </c>
      <c r="L704" s="6" t="s">
        <v>3571</v>
      </c>
      <c r="M704" s="6" t="s">
        <v>3572</v>
      </c>
      <c r="N704" s="10"/>
      <c r="O704" s="4" t="str">
        <f aca="false">IF(N704="","",LEN(N704))</f>
        <v/>
      </c>
    </row>
    <row r="705" customFormat="false" ht="77.25" hidden="false" customHeight="true" outlineLevel="0" collapsed="false">
      <c r="A705" s="4" t="n">
        <v>704</v>
      </c>
      <c r="B705" s="5" t="n">
        <f aca="false">IF(OR(C705="სხვა მოდელი წერია",I705&gt;=განმარტება!$B$4),1,IF(OR(C705="ცარიელი",I705&gt;=1),2,IF(H705&gt;=განმარტება!$B$5,3,4)))</f>
        <v>4</v>
      </c>
      <c r="C705" s="6" t="s">
        <v>15</v>
      </c>
      <c r="D705" s="6" t="s">
        <v>3573</v>
      </c>
      <c r="E705" s="7" t="s">
        <v>3574</v>
      </c>
      <c r="F705" s="7" t="n">
        <v>2338</v>
      </c>
      <c r="G705" s="6" t="s">
        <v>1913</v>
      </c>
      <c r="H705" s="8" t="n">
        <v>780</v>
      </c>
      <c r="I705" s="8" t="n">
        <v>0</v>
      </c>
      <c r="J705" s="7" t="n">
        <v>0</v>
      </c>
      <c r="K705" s="9" t="s">
        <v>3575</v>
      </c>
      <c r="L705" s="6" t="s">
        <v>3576</v>
      </c>
      <c r="M705" s="6" t="s">
        <v>3577</v>
      </c>
      <c r="N705" s="10"/>
      <c r="O705" s="4" t="str">
        <f aca="false">IF(N705="","",LEN(N705))</f>
        <v/>
      </c>
    </row>
    <row r="706" customFormat="false" ht="39" hidden="false" customHeight="true" outlineLevel="0" collapsed="false">
      <c r="A706" s="4" t="n">
        <v>705</v>
      </c>
      <c r="B706" s="5" t="n">
        <f aca="false">IF(OR(C706="სხვა მოდელი წერია",I706&gt;=განმარტება!$B$4),1,IF(OR(C706="ცარიელი",I706&gt;=1),2,IF(H706&gt;=განმარტება!$B$5,3,4)))</f>
        <v>4</v>
      </c>
      <c r="C706" s="6" t="s">
        <v>15</v>
      </c>
      <c r="D706" s="6" t="s">
        <v>3578</v>
      </c>
      <c r="E706" s="7" t="s">
        <v>3579</v>
      </c>
      <c r="F706" s="7" t="n">
        <v>744</v>
      </c>
      <c r="G706" s="6" t="s">
        <v>302</v>
      </c>
      <c r="H706" s="8" t="n">
        <v>780</v>
      </c>
      <c r="I706" s="8" t="n">
        <v>0</v>
      </c>
      <c r="J706" s="7" t="n">
        <v>0</v>
      </c>
      <c r="K706" s="9" t="s">
        <v>3580</v>
      </c>
      <c r="L706" s="6" t="s">
        <v>3581</v>
      </c>
      <c r="M706" s="6" t="s">
        <v>3582</v>
      </c>
      <c r="N706" s="10"/>
      <c r="O706" s="4" t="str">
        <f aca="false">IF(N706="","",LEN(N706))</f>
        <v/>
      </c>
    </row>
    <row r="707" customFormat="false" ht="39" hidden="false" customHeight="true" outlineLevel="0" collapsed="false">
      <c r="A707" s="4" t="n">
        <v>706</v>
      </c>
      <c r="B707" s="5" t="n">
        <f aca="false">IF(OR(C707="სხვა მოდელი წერია",I707&gt;=განმარტება!$B$4),1,IF(OR(C707="ცარიელი",I707&gt;=1),2,IF(H707&gt;=განმარტება!$B$5,3,4)))</f>
        <v>4</v>
      </c>
      <c r="C707" s="6" t="s">
        <v>15</v>
      </c>
      <c r="D707" s="6" t="s">
        <v>3583</v>
      </c>
      <c r="E707" s="7" t="s">
        <v>3584</v>
      </c>
      <c r="F707" s="7" t="n">
        <v>750</v>
      </c>
      <c r="G707" s="6" t="s">
        <v>302</v>
      </c>
      <c r="H707" s="8" t="n">
        <v>780</v>
      </c>
      <c r="I707" s="8" t="n">
        <v>0</v>
      </c>
      <c r="J707" s="7" t="n">
        <v>0</v>
      </c>
      <c r="K707" s="9" t="s">
        <v>3585</v>
      </c>
      <c r="L707" s="6" t="s">
        <v>3586</v>
      </c>
      <c r="M707" s="6" t="s">
        <v>3587</v>
      </c>
      <c r="N707" s="10"/>
      <c r="O707" s="4" t="str">
        <f aca="false">IF(N707="","",LEN(N707))</f>
        <v/>
      </c>
    </row>
    <row r="708" customFormat="false" ht="39" hidden="false" customHeight="true" outlineLevel="0" collapsed="false">
      <c r="A708" s="4" t="n">
        <v>707</v>
      </c>
      <c r="B708" s="5" t="n">
        <f aca="false">IF(OR(C708="სხვა მოდელი წერია",I708&gt;=განმარტება!$B$4),1,IF(OR(C708="ცარიელი",I708&gt;=1),2,IF(H708&gt;=განმარტება!$B$5,3,4)))</f>
        <v>4</v>
      </c>
      <c r="C708" s="6" t="s">
        <v>15</v>
      </c>
      <c r="D708" s="6" t="s">
        <v>3588</v>
      </c>
      <c r="E708" s="7" t="s">
        <v>3589</v>
      </c>
      <c r="F708" s="7" t="n">
        <v>2967</v>
      </c>
      <c r="G708" s="6" t="s">
        <v>112</v>
      </c>
      <c r="H708" s="8" t="n">
        <v>779</v>
      </c>
      <c r="I708" s="8" t="n">
        <v>0</v>
      </c>
      <c r="J708" s="7" t="n">
        <v>0</v>
      </c>
      <c r="K708" s="9" t="s">
        <v>3590</v>
      </c>
      <c r="L708" s="6" t="s">
        <v>3591</v>
      </c>
      <c r="M708" s="6" t="s">
        <v>3592</v>
      </c>
      <c r="N708" s="10"/>
      <c r="O708" s="4" t="str">
        <f aca="false">IF(N708="","",LEN(N708))</f>
        <v/>
      </c>
    </row>
    <row r="709" customFormat="false" ht="51.75" hidden="false" customHeight="true" outlineLevel="0" collapsed="false">
      <c r="A709" s="4" t="n">
        <v>708</v>
      </c>
      <c r="B709" s="5" t="n">
        <f aca="false">IF(OR(C709="სხვა მოდელი წერია",I709&gt;=განმარტება!$B$4),1,IF(OR(C709="ცარიელი",I709&gt;=1),2,IF(H709&gt;=განმარტება!$B$5,3,4)))</f>
        <v>4</v>
      </c>
      <c r="C709" s="6" t="s">
        <v>15</v>
      </c>
      <c r="D709" s="6" t="s">
        <v>3593</v>
      </c>
      <c r="E709" s="7" t="s">
        <v>3594</v>
      </c>
      <c r="F709" s="7" t="n">
        <v>3084</v>
      </c>
      <c r="G709" s="6" t="s">
        <v>30</v>
      </c>
      <c r="H709" s="8" t="n">
        <v>779</v>
      </c>
      <c r="I709" s="8" t="n">
        <v>0</v>
      </c>
      <c r="J709" s="7" t="n">
        <v>0</v>
      </c>
      <c r="K709" s="9" t="s">
        <v>3595</v>
      </c>
      <c r="L709" s="6" t="s">
        <v>3596</v>
      </c>
      <c r="M709" s="6" t="s">
        <v>3597</v>
      </c>
      <c r="N709" s="10"/>
      <c r="O709" s="4" t="str">
        <f aca="false">IF(N709="","",LEN(N709))</f>
        <v/>
      </c>
    </row>
    <row r="710" customFormat="false" ht="51.75" hidden="false" customHeight="true" outlineLevel="0" collapsed="false">
      <c r="A710" s="4" t="n">
        <v>709</v>
      </c>
      <c r="B710" s="5" t="n">
        <f aca="false">IF(OR(C710="სხვა მოდელი წერია",I710&gt;=განმარტება!$B$4),1,IF(OR(C710="ცარიელი",I710&gt;=1),2,IF(H710&gt;=განმარტება!$B$5,3,4)))</f>
        <v>4</v>
      </c>
      <c r="C710" s="6" t="s">
        <v>15</v>
      </c>
      <c r="D710" s="6" t="s">
        <v>3598</v>
      </c>
      <c r="E710" s="7" t="s">
        <v>3599</v>
      </c>
      <c r="F710" s="7" t="n">
        <v>4029</v>
      </c>
      <c r="G710" s="6" t="s">
        <v>3489</v>
      </c>
      <c r="H710" s="8" t="n">
        <v>775</v>
      </c>
      <c r="I710" s="8" t="n">
        <v>0</v>
      </c>
      <c r="J710" s="7" t="n">
        <v>0</v>
      </c>
      <c r="K710" s="9" t="s">
        <v>3600</v>
      </c>
      <c r="L710" s="6" t="s">
        <v>3601</v>
      </c>
      <c r="M710" s="6" t="s">
        <v>3602</v>
      </c>
      <c r="N710" s="10"/>
      <c r="O710" s="4" t="str">
        <f aca="false">IF(N710="","",LEN(N710))</f>
        <v/>
      </c>
    </row>
    <row r="711" customFormat="false" ht="64.5" hidden="false" customHeight="true" outlineLevel="0" collapsed="false">
      <c r="A711" s="4" t="n">
        <v>710</v>
      </c>
      <c r="B711" s="5" t="n">
        <f aca="false">IF(OR(C711="სხვა მოდელი წერია",I711&gt;=განმარტება!$B$4),1,IF(OR(C711="ცარიელი",I711&gt;=1),2,IF(H711&gt;=განმარტება!$B$5,3,4)))</f>
        <v>4</v>
      </c>
      <c r="C711" s="6" t="s">
        <v>15</v>
      </c>
      <c r="D711" s="6" t="s">
        <v>3603</v>
      </c>
      <c r="E711" s="7" t="s">
        <v>3604</v>
      </c>
      <c r="F711" s="7" t="n">
        <v>1362</v>
      </c>
      <c r="G711" s="6" t="s">
        <v>95</v>
      </c>
      <c r="H711" s="8" t="n">
        <v>769</v>
      </c>
      <c r="I711" s="8" t="n">
        <v>0</v>
      </c>
      <c r="J711" s="7" t="n">
        <v>0</v>
      </c>
      <c r="K711" s="9" t="s">
        <v>3605</v>
      </c>
      <c r="L711" s="6" t="s">
        <v>3606</v>
      </c>
      <c r="M711" s="6" t="s">
        <v>3607</v>
      </c>
      <c r="N711" s="10"/>
      <c r="O711" s="4" t="str">
        <f aca="false">IF(N711="","",LEN(N711))</f>
        <v/>
      </c>
    </row>
    <row r="712" customFormat="false" ht="39" hidden="false" customHeight="true" outlineLevel="0" collapsed="false">
      <c r="A712" s="4" t="n">
        <v>711</v>
      </c>
      <c r="B712" s="5" t="n">
        <f aca="false">IF(OR(C712="სხვა მოდელი წერია",I712&gt;=განმარტება!$B$4),1,IF(OR(C712="ცარიელი",I712&gt;=1),2,IF(H712&gt;=განმარტება!$B$5,3,4)))</f>
        <v>4</v>
      </c>
      <c r="C712" s="6" t="s">
        <v>15</v>
      </c>
      <c r="D712" s="6" t="s">
        <v>3608</v>
      </c>
      <c r="E712" s="7" t="s">
        <v>3609</v>
      </c>
      <c r="F712" s="7" t="n">
        <v>3120</v>
      </c>
      <c r="G712" s="6" t="s">
        <v>18</v>
      </c>
      <c r="H712" s="8" t="n">
        <v>759</v>
      </c>
      <c r="I712" s="8" t="n">
        <v>0</v>
      </c>
      <c r="J712" s="7" t="n">
        <v>0</v>
      </c>
      <c r="K712" s="9" t="s">
        <v>3610</v>
      </c>
      <c r="L712" s="6" t="s">
        <v>3611</v>
      </c>
      <c r="M712" s="6" t="s">
        <v>3612</v>
      </c>
      <c r="N712" s="10"/>
      <c r="O712" s="4" t="str">
        <f aca="false">IF(N712="","",LEN(N712))</f>
        <v/>
      </c>
    </row>
    <row r="713" customFormat="false" ht="39" hidden="false" customHeight="true" outlineLevel="0" collapsed="false">
      <c r="A713" s="4" t="n">
        <v>712</v>
      </c>
      <c r="B713" s="5" t="n">
        <f aca="false">IF(OR(C713="სხვა მოდელი წერია",I713&gt;=განმარტება!$B$4),1,IF(OR(C713="ცარიელი",I713&gt;=1),2,IF(H713&gt;=განმარტება!$B$5,3,4)))</f>
        <v>4</v>
      </c>
      <c r="C713" s="6" t="s">
        <v>15</v>
      </c>
      <c r="D713" s="6" t="s">
        <v>3613</v>
      </c>
      <c r="E713" s="7" t="s">
        <v>3614</v>
      </c>
      <c r="F713" s="7" t="n">
        <v>3119</v>
      </c>
      <c r="G713" s="6" t="s">
        <v>18</v>
      </c>
      <c r="H713" s="8" t="n">
        <v>750</v>
      </c>
      <c r="I713" s="8" t="n">
        <v>0</v>
      </c>
      <c r="J713" s="7" t="n">
        <v>0</v>
      </c>
      <c r="K713" s="9" t="s">
        <v>3615</v>
      </c>
      <c r="L713" s="6" t="s">
        <v>3616</v>
      </c>
      <c r="M713" s="6" t="s">
        <v>3617</v>
      </c>
      <c r="N713" s="10"/>
      <c r="O713" s="4" t="str">
        <f aca="false">IF(N713="","",LEN(N713))</f>
        <v/>
      </c>
    </row>
    <row r="714" customFormat="false" ht="39" hidden="false" customHeight="true" outlineLevel="0" collapsed="false">
      <c r="A714" s="4" t="n">
        <v>713</v>
      </c>
      <c r="B714" s="5" t="n">
        <f aca="false">IF(OR(C714="სხვა მოდელი წერია",I714&gt;=განმარტება!$B$4),1,IF(OR(C714="ცარიელი",I714&gt;=1),2,IF(H714&gt;=განმარტება!$B$5,3,4)))</f>
        <v>4</v>
      </c>
      <c r="C714" s="6" t="s">
        <v>15</v>
      </c>
      <c r="D714" s="6" t="s">
        <v>3618</v>
      </c>
      <c r="E714" s="7" t="s">
        <v>3619</v>
      </c>
      <c r="F714" s="7" t="n">
        <v>676</v>
      </c>
      <c r="G714" s="6" t="s">
        <v>3620</v>
      </c>
      <c r="H714" s="8" t="n">
        <v>750</v>
      </c>
      <c r="I714" s="8" t="n">
        <v>0</v>
      </c>
      <c r="J714" s="7" t="n">
        <v>0</v>
      </c>
      <c r="K714" s="9" t="s">
        <v>3621</v>
      </c>
      <c r="L714" s="6" t="s">
        <v>3622</v>
      </c>
      <c r="M714" s="6" t="s">
        <v>3623</v>
      </c>
      <c r="N714" s="10"/>
      <c r="O714" s="4" t="str">
        <f aca="false">IF(N714="","",LEN(N714))</f>
        <v/>
      </c>
    </row>
    <row r="715" customFormat="false" ht="39" hidden="false" customHeight="true" outlineLevel="0" collapsed="false">
      <c r="A715" s="4" t="n">
        <v>714</v>
      </c>
      <c r="B715" s="5" t="n">
        <f aca="false">IF(OR(C715="სხვა მოდელი წერია",I715&gt;=განმარტება!$B$4),1,IF(OR(C715="ცარიელი",I715&gt;=1),2,IF(H715&gt;=განმარტება!$B$5,3,4)))</f>
        <v>4</v>
      </c>
      <c r="C715" s="6" t="s">
        <v>15</v>
      </c>
      <c r="D715" s="6" t="s">
        <v>3624</v>
      </c>
      <c r="E715" s="7" t="s">
        <v>3625</v>
      </c>
      <c r="F715" s="7" t="n">
        <v>2008</v>
      </c>
      <c r="G715" s="6" t="s">
        <v>1994</v>
      </c>
      <c r="H715" s="8" t="n">
        <v>750</v>
      </c>
      <c r="I715" s="8" t="n">
        <v>0</v>
      </c>
      <c r="J715" s="7" t="n">
        <v>0</v>
      </c>
      <c r="K715" s="9" t="s">
        <v>3626</v>
      </c>
      <c r="L715" s="6" t="s">
        <v>3627</v>
      </c>
      <c r="M715" s="6" t="s">
        <v>3628</v>
      </c>
      <c r="N715" s="10"/>
      <c r="O715" s="4" t="str">
        <f aca="false">IF(N715="","",LEN(N715))</f>
        <v/>
      </c>
    </row>
    <row r="716" customFormat="false" ht="39" hidden="false" customHeight="true" outlineLevel="0" collapsed="false">
      <c r="A716" s="4" t="n">
        <v>715</v>
      </c>
      <c r="B716" s="5" t="n">
        <f aca="false">IF(OR(C716="სხვა მოდელი წერია",I716&gt;=განმარტება!$B$4),1,IF(OR(C716="ცარიელი",I716&gt;=1),2,IF(H716&gt;=განმარტება!$B$5,3,4)))</f>
        <v>4</v>
      </c>
      <c r="C716" s="6" t="s">
        <v>15</v>
      </c>
      <c r="D716" s="6" t="s">
        <v>3629</v>
      </c>
      <c r="E716" s="7" t="s">
        <v>3630</v>
      </c>
      <c r="F716" s="7" t="n">
        <v>2050</v>
      </c>
      <c r="G716" s="6" t="s">
        <v>1994</v>
      </c>
      <c r="H716" s="8" t="n">
        <v>750</v>
      </c>
      <c r="I716" s="8" t="n">
        <v>0</v>
      </c>
      <c r="J716" s="7" t="n">
        <v>0</v>
      </c>
      <c r="K716" s="9" t="s">
        <v>3631</v>
      </c>
      <c r="L716" s="6" t="s">
        <v>3632</v>
      </c>
      <c r="M716" s="6" t="s">
        <v>3633</v>
      </c>
      <c r="N716" s="10"/>
      <c r="O716" s="4" t="str">
        <f aca="false">IF(N716="","",LEN(N716))</f>
        <v/>
      </c>
    </row>
    <row r="717" customFormat="false" ht="39" hidden="false" customHeight="true" outlineLevel="0" collapsed="false">
      <c r="A717" s="4" t="n">
        <v>716</v>
      </c>
      <c r="B717" s="5" t="n">
        <f aca="false">IF(OR(C717="სხვა მოდელი წერია",I717&gt;=განმარტება!$B$4),1,IF(OR(C717="ცარიელი",I717&gt;=1),2,IF(H717&gt;=განმარტება!$B$5,3,4)))</f>
        <v>4</v>
      </c>
      <c r="C717" s="6" t="s">
        <v>15</v>
      </c>
      <c r="D717" s="6" t="s">
        <v>3634</v>
      </c>
      <c r="E717" s="7" t="s">
        <v>3635</v>
      </c>
      <c r="F717" s="7" t="n">
        <v>2681</v>
      </c>
      <c r="G717" s="6" t="s">
        <v>42</v>
      </c>
      <c r="H717" s="8" t="n">
        <v>749</v>
      </c>
      <c r="I717" s="8" t="n">
        <v>0</v>
      </c>
      <c r="J717" s="7" t="n">
        <v>0</v>
      </c>
      <c r="K717" s="9" t="s">
        <v>3636</v>
      </c>
      <c r="L717" s="6" t="s">
        <v>3637</v>
      </c>
      <c r="M717" s="6" t="s">
        <v>3638</v>
      </c>
      <c r="N717" s="10"/>
      <c r="O717" s="4" t="str">
        <f aca="false">IF(N717="","",LEN(N717))</f>
        <v/>
      </c>
    </row>
    <row r="718" customFormat="false" ht="39" hidden="false" customHeight="true" outlineLevel="0" collapsed="false">
      <c r="A718" s="4" t="n">
        <v>717</v>
      </c>
      <c r="B718" s="5" t="n">
        <f aca="false">IF(OR(C718="სხვა მოდელი წერია",I718&gt;=განმარტება!$B$4),1,IF(OR(C718="ცარიელი",I718&gt;=1),2,IF(H718&gt;=განმარტება!$B$5,3,4)))</f>
        <v>4</v>
      </c>
      <c r="C718" s="6" t="s">
        <v>15</v>
      </c>
      <c r="D718" s="6" t="s">
        <v>3639</v>
      </c>
      <c r="E718" s="7" t="s">
        <v>3640</v>
      </c>
      <c r="F718" s="7" t="n">
        <v>3968</v>
      </c>
      <c r="G718" s="6" t="s">
        <v>42</v>
      </c>
      <c r="H718" s="8" t="n">
        <v>749</v>
      </c>
      <c r="I718" s="8" t="n">
        <v>0</v>
      </c>
      <c r="J718" s="7" t="n">
        <v>0</v>
      </c>
      <c r="K718" s="9" t="s">
        <v>3641</v>
      </c>
      <c r="L718" s="6" t="s">
        <v>3642</v>
      </c>
      <c r="M718" s="6" t="s">
        <v>3643</v>
      </c>
      <c r="N718" s="10"/>
      <c r="O718" s="4" t="str">
        <f aca="false">IF(N718="","",LEN(N718))</f>
        <v/>
      </c>
    </row>
    <row r="719" customFormat="false" ht="39" hidden="false" customHeight="true" outlineLevel="0" collapsed="false">
      <c r="A719" s="4" t="n">
        <v>718</v>
      </c>
      <c r="B719" s="5" t="n">
        <f aca="false">IF(OR(C719="სხვა მოდელი წერია",I719&gt;=განმარტება!$B$4),1,IF(OR(C719="ცარიელი",I719&gt;=1),2,IF(H719&gt;=განმარტება!$B$5,3,4)))</f>
        <v>4</v>
      </c>
      <c r="C719" s="6" t="s">
        <v>15</v>
      </c>
      <c r="D719" s="6" t="s">
        <v>3644</v>
      </c>
      <c r="E719" s="7" t="s">
        <v>3645</v>
      </c>
      <c r="F719" s="7" t="n">
        <v>3785</v>
      </c>
      <c r="G719" s="6" t="s">
        <v>24</v>
      </c>
      <c r="H719" s="8" t="n">
        <v>749</v>
      </c>
      <c r="I719" s="8" t="n">
        <v>0</v>
      </c>
      <c r="J719" s="7" t="n">
        <v>0</v>
      </c>
      <c r="K719" s="9" t="s">
        <v>3646</v>
      </c>
      <c r="L719" s="6" t="s">
        <v>3647</v>
      </c>
      <c r="M719" s="6" t="s">
        <v>3648</v>
      </c>
      <c r="N719" s="10"/>
      <c r="O719" s="4" t="str">
        <f aca="false">IF(N719="","",LEN(N719))</f>
        <v/>
      </c>
    </row>
    <row r="720" customFormat="false" ht="51.75" hidden="false" customHeight="true" outlineLevel="0" collapsed="false">
      <c r="A720" s="4" t="n">
        <v>719</v>
      </c>
      <c r="B720" s="5" t="n">
        <f aca="false">IF(OR(C720="სხვა მოდელი წერია",I720&gt;=განმარტება!$B$4),1,IF(OR(C720="ცარიელი",I720&gt;=1),2,IF(H720&gt;=განმარტება!$B$5,3,4)))</f>
        <v>4</v>
      </c>
      <c r="C720" s="6" t="s">
        <v>15</v>
      </c>
      <c r="D720" s="6" t="s">
        <v>3649</v>
      </c>
      <c r="E720" s="7" t="s">
        <v>3650</v>
      </c>
      <c r="F720" s="7" t="n">
        <v>2195</v>
      </c>
      <c r="G720" s="6" t="s">
        <v>3489</v>
      </c>
      <c r="H720" s="8" t="n">
        <v>749</v>
      </c>
      <c r="I720" s="8" t="n">
        <v>0</v>
      </c>
      <c r="J720" s="7" t="n">
        <v>0</v>
      </c>
      <c r="K720" s="9" t="s">
        <v>3651</v>
      </c>
      <c r="L720" s="6" t="s">
        <v>3652</v>
      </c>
      <c r="M720" s="6" t="s">
        <v>3653</v>
      </c>
      <c r="N720" s="10"/>
      <c r="O720" s="4" t="str">
        <f aca="false">IF(N720="","",LEN(N720))</f>
        <v/>
      </c>
    </row>
    <row r="721" customFormat="false" ht="51.75" hidden="false" customHeight="true" outlineLevel="0" collapsed="false">
      <c r="A721" s="4" t="n">
        <v>720</v>
      </c>
      <c r="B721" s="5" t="n">
        <f aca="false">IF(OR(C721="სხვა მოდელი წერია",I721&gt;=განმარტება!$B$4),1,IF(OR(C721="ცარიელი",I721&gt;=1),2,IF(H721&gt;=განმარტება!$B$5,3,4)))</f>
        <v>4</v>
      </c>
      <c r="C721" s="6" t="s">
        <v>15</v>
      </c>
      <c r="D721" s="6" t="s">
        <v>3654</v>
      </c>
      <c r="E721" s="7" t="s">
        <v>3655</v>
      </c>
      <c r="F721" s="7" t="n">
        <v>2446</v>
      </c>
      <c r="G721" s="6" t="s">
        <v>30</v>
      </c>
      <c r="H721" s="8" t="n">
        <v>749</v>
      </c>
      <c r="I721" s="8" t="n">
        <v>0</v>
      </c>
      <c r="J721" s="7" t="n">
        <v>0</v>
      </c>
      <c r="K721" s="9" t="s">
        <v>3656</v>
      </c>
      <c r="L721" s="6" t="s">
        <v>3657</v>
      </c>
      <c r="M721" s="6" t="s">
        <v>3658</v>
      </c>
      <c r="N721" s="10"/>
      <c r="O721" s="4" t="str">
        <f aca="false">IF(N721="","",LEN(N721))</f>
        <v/>
      </c>
    </row>
    <row r="722" customFormat="false" ht="51.75" hidden="false" customHeight="true" outlineLevel="0" collapsed="false">
      <c r="A722" s="4" t="n">
        <v>721</v>
      </c>
      <c r="B722" s="5" t="n">
        <f aca="false">IF(OR(C722="სხვა მოდელი წერია",I722&gt;=განმარტება!$B$4),1,IF(OR(C722="ცარიელი",I722&gt;=1),2,IF(H722&gt;=განმარტება!$B$5,3,4)))</f>
        <v>4</v>
      </c>
      <c r="C722" s="6" t="s">
        <v>15</v>
      </c>
      <c r="D722" s="6" t="s">
        <v>3659</v>
      </c>
      <c r="E722" s="7" t="s">
        <v>3660</v>
      </c>
      <c r="F722" s="7" t="n">
        <v>681</v>
      </c>
      <c r="G722" s="6" t="s">
        <v>30</v>
      </c>
      <c r="H722" s="8" t="n">
        <v>749</v>
      </c>
      <c r="I722" s="8" t="n">
        <v>0</v>
      </c>
      <c r="J722" s="7" t="n">
        <v>0</v>
      </c>
      <c r="K722" s="9" t="s">
        <v>3661</v>
      </c>
      <c r="L722" s="6" t="s">
        <v>3662</v>
      </c>
      <c r="M722" s="6" t="s">
        <v>3663</v>
      </c>
      <c r="N722" s="10"/>
      <c r="O722" s="4" t="str">
        <f aca="false">IF(N722="","",LEN(N722))</f>
        <v/>
      </c>
    </row>
    <row r="723" customFormat="false" ht="51.75" hidden="false" customHeight="true" outlineLevel="0" collapsed="false">
      <c r="A723" s="4" t="n">
        <v>722</v>
      </c>
      <c r="B723" s="5" t="n">
        <f aca="false">IF(OR(C723="სხვა მოდელი წერია",I723&gt;=განმარტება!$B$4),1,IF(OR(C723="ცარიელი",I723&gt;=1),2,IF(H723&gt;=განმარტება!$B$5,3,4)))</f>
        <v>4</v>
      </c>
      <c r="C723" s="6" t="s">
        <v>15</v>
      </c>
      <c r="D723" s="6" t="s">
        <v>3664</v>
      </c>
      <c r="E723" s="7" t="s">
        <v>3665</v>
      </c>
      <c r="F723" s="7" t="n">
        <v>2825</v>
      </c>
      <c r="G723" s="6" t="s">
        <v>48</v>
      </c>
      <c r="H723" s="8" t="n">
        <v>749</v>
      </c>
      <c r="I723" s="8" t="n">
        <v>0</v>
      </c>
      <c r="J723" s="7" t="n">
        <v>0</v>
      </c>
      <c r="K723" s="9" t="s">
        <v>3666</v>
      </c>
      <c r="L723" s="6" t="s">
        <v>3667</v>
      </c>
      <c r="M723" s="6" t="s">
        <v>3668</v>
      </c>
      <c r="N723" s="10"/>
      <c r="O723" s="4" t="str">
        <f aca="false">IF(N723="","",LEN(N723))</f>
        <v/>
      </c>
    </row>
    <row r="724" customFormat="false" ht="51.75" hidden="false" customHeight="true" outlineLevel="0" collapsed="false">
      <c r="A724" s="4" t="n">
        <v>723</v>
      </c>
      <c r="B724" s="5" t="n">
        <f aca="false">IF(OR(C724="სხვა მოდელი წერია",I724&gt;=განმარტება!$B$4),1,IF(OR(C724="ცარიელი",I724&gt;=1),2,IF(H724&gt;=განმარტება!$B$5,3,4)))</f>
        <v>4</v>
      </c>
      <c r="C724" s="6" t="s">
        <v>15</v>
      </c>
      <c r="D724" s="6" t="s">
        <v>3669</v>
      </c>
      <c r="E724" s="7" t="s">
        <v>3670</v>
      </c>
      <c r="F724" s="7" t="n">
        <v>1666</v>
      </c>
      <c r="G724" s="6" t="s">
        <v>211</v>
      </c>
      <c r="H724" s="8" t="n">
        <v>739</v>
      </c>
      <c r="I724" s="8" t="n">
        <v>0</v>
      </c>
      <c r="J724" s="7" t="n">
        <v>0</v>
      </c>
      <c r="K724" s="9" t="s">
        <v>3671</v>
      </c>
      <c r="L724" s="6" t="s">
        <v>3672</v>
      </c>
      <c r="M724" s="6" t="s">
        <v>3673</v>
      </c>
      <c r="N724" s="10"/>
      <c r="O724" s="4" t="str">
        <f aca="false">IF(N724="","",LEN(N724))</f>
        <v/>
      </c>
    </row>
    <row r="725" customFormat="false" ht="39" hidden="false" customHeight="true" outlineLevel="0" collapsed="false">
      <c r="A725" s="4" t="n">
        <v>724</v>
      </c>
      <c r="B725" s="5" t="n">
        <f aca="false">IF(OR(C725="სხვა მოდელი წერია",I725&gt;=განმარტება!$B$4),1,IF(OR(C725="ცარიელი",I725&gt;=1),2,IF(H725&gt;=განმარტება!$B$5,3,4)))</f>
        <v>4</v>
      </c>
      <c r="C725" s="6" t="s">
        <v>15</v>
      </c>
      <c r="D725" s="6" t="s">
        <v>3674</v>
      </c>
      <c r="E725" s="7" t="s">
        <v>3675</v>
      </c>
      <c r="F725" s="7" t="n">
        <v>3092</v>
      </c>
      <c r="G725" s="6" t="s">
        <v>402</v>
      </c>
      <c r="H725" s="8" t="n">
        <v>739</v>
      </c>
      <c r="I725" s="8" t="n">
        <v>0</v>
      </c>
      <c r="J725" s="7" t="n">
        <v>0</v>
      </c>
      <c r="K725" s="9" t="s">
        <v>3676</v>
      </c>
      <c r="L725" s="6" t="s">
        <v>3677</v>
      </c>
      <c r="M725" s="6" t="s">
        <v>3678</v>
      </c>
      <c r="N725" s="10"/>
      <c r="O725" s="4" t="str">
        <f aca="false">IF(N725="","",LEN(N725))</f>
        <v/>
      </c>
    </row>
    <row r="726" customFormat="false" ht="39" hidden="false" customHeight="true" outlineLevel="0" collapsed="false">
      <c r="A726" s="4" t="n">
        <v>725</v>
      </c>
      <c r="B726" s="5" t="n">
        <f aca="false">IF(OR(C726="სხვა მოდელი წერია",I726&gt;=განმარტება!$B$4),1,IF(OR(C726="ცარიელი",I726&gt;=1),2,IF(H726&gt;=განმარტება!$B$5,3,4)))</f>
        <v>4</v>
      </c>
      <c r="C726" s="6" t="s">
        <v>15</v>
      </c>
      <c r="D726" s="6" t="s">
        <v>3679</v>
      </c>
      <c r="E726" s="7" t="s">
        <v>3680</v>
      </c>
      <c r="F726" s="7" t="n">
        <v>1846</v>
      </c>
      <c r="G726" s="6" t="s">
        <v>205</v>
      </c>
      <c r="H726" s="8" t="n">
        <v>739</v>
      </c>
      <c r="I726" s="8" t="n">
        <v>0</v>
      </c>
      <c r="J726" s="7" t="n">
        <v>0</v>
      </c>
      <c r="K726" s="9" t="s">
        <v>3681</v>
      </c>
      <c r="L726" s="6" t="s">
        <v>3682</v>
      </c>
      <c r="M726" s="6" t="s">
        <v>3683</v>
      </c>
      <c r="N726" s="10"/>
      <c r="O726" s="4" t="str">
        <f aca="false">IF(N726="","",LEN(N726))</f>
        <v/>
      </c>
    </row>
    <row r="727" customFormat="false" ht="39" hidden="false" customHeight="true" outlineLevel="0" collapsed="false">
      <c r="A727" s="4" t="n">
        <v>726</v>
      </c>
      <c r="B727" s="5" t="n">
        <f aca="false">IF(OR(C727="სხვა მოდელი წერია",I727&gt;=განმარტება!$B$4),1,IF(OR(C727="ცარიელი",I727&gt;=1),2,IF(H727&gt;=განმარტება!$B$5,3,4)))</f>
        <v>4</v>
      </c>
      <c r="C727" s="6" t="s">
        <v>15</v>
      </c>
      <c r="D727" s="6" t="s">
        <v>3684</v>
      </c>
      <c r="E727" s="7" t="s">
        <v>3685</v>
      </c>
      <c r="F727" s="7" t="n">
        <v>3118</v>
      </c>
      <c r="G727" s="6" t="s">
        <v>18</v>
      </c>
      <c r="H727" s="8" t="n">
        <v>729</v>
      </c>
      <c r="I727" s="8" t="n">
        <v>0</v>
      </c>
      <c r="J727" s="7" t="n">
        <v>0</v>
      </c>
      <c r="K727" s="9" t="s">
        <v>3686</v>
      </c>
      <c r="L727" s="6" t="s">
        <v>3687</v>
      </c>
      <c r="M727" s="6" t="s">
        <v>3688</v>
      </c>
      <c r="N727" s="10"/>
      <c r="O727" s="4" t="str">
        <f aca="false">IF(N727="","",LEN(N727))</f>
        <v/>
      </c>
    </row>
    <row r="728" customFormat="false" ht="51.75" hidden="false" customHeight="true" outlineLevel="0" collapsed="false">
      <c r="A728" s="4" t="n">
        <v>727</v>
      </c>
      <c r="B728" s="5" t="n">
        <f aca="false">IF(OR(C728="სხვა მოდელი წერია",I728&gt;=განმარტება!$B$4),1,IF(OR(C728="ცარიელი",I728&gt;=1),2,IF(H728&gt;=განმარტება!$B$5,3,4)))</f>
        <v>4</v>
      </c>
      <c r="C728" s="6" t="s">
        <v>15</v>
      </c>
      <c r="D728" s="6" t="s">
        <v>3689</v>
      </c>
      <c r="E728" s="7" t="s">
        <v>3690</v>
      </c>
      <c r="F728" s="7" t="n">
        <v>6206</v>
      </c>
      <c r="G728" s="6" t="s">
        <v>211</v>
      </c>
      <c r="H728" s="8" t="n">
        <v>729</v>
      </c>
      <c r="I728" s="8" t="n">
        <v>0</v>
      </c>
      <c r="J728" s="7" t="n">
        <v>0</v>
      </c>
      <c r="K728" s="9" t="s">
        <v>3691</v>
      </c>
      <c r="L728" s="6" t="s">
        <v>3692</v>
      </c>
      <c r="M728" s="6" t="s">
        <v>3693</v>
      </c>
      <c r="N728" s="10"/>
      <c r="O728" s="4" t="str">
        <f aca="false">IF(N728="","",LEN(N728))</f>
        <v/>
      </c>
    </row>
    <row r="729" customFormat="false" ht="39" hidden="false" customHeight="true" outlineLevel="0" collapsed="false">
      <c r="A729" s="4" t="n">
        <v>728</v>
      </c>
      <c r="B729" s="5" t="n">
        <f aca="false">IF(OR(C729="სხვა მოდელი წერია",I729&gt;=განმარტება!$B$4),1,IF(OR(C729="ცარიელი",I729&gt;=1),2,IF(H729&gt;=განმარტება!$B$5,3,4)))</f>
        <v>4</v>
      </c>
      <c r="C729" s="6" t="s">
        <v>15</v>
      </c>
      <c r="D729" s="6" t="s">
        <v>3694</v>
      </c>
      <c r="E729" s="7" t="s">
        <v>3695</v>
      </c>
      <c r="F729" s="7" t="n">
        <v>3986</v>
      </c>
      <c r="G729" s="6" t="s">
        <v>42</v>
      </c>
      <c r="H729" s="8" t="n">
        <v>719</v>
      </c>
      <c r="I729" s="8" t="n">
        <v>0</v>
      </c>
      <c r="J729" s="7" t="n">
        <v>0</v>
      </c>
      <c r="K729" s="9" t="s">
        <v>3696</v>
      </c>
      <c r="L729" s="6" t="s">
        <v>3697</v>
      </c>
      <c r="M729" s="6" t="s">
        <v>3698</v>
      </c>
      <c r="N729" s="10"/>
      <c r="O729" s="4" t="str">
        <f aca="false">IF(N729="","",LEN(N729))</f>
        <v/>
      </c>
    </row>
    <row r="730" customFormat="false" ht="39" hidden="false" customHeight="true" outlineLevel="0" collapsed="false">
      <c r="A730" s="4" t="n">
        <v>729</v>
      </c>
      <c r="B730" s="5" t="n">
        <f aca="false">IF(OR(C730="სხვა მოდელი წერია",I730&gt;=განმარტება!$B$4),1,IF(OR(C730="ცარიელი",I730&gt;=1),2,IF(H730&gt;=განმარტება!$B$5,3,4)))</f>
        <v>4</v>
      </c>
      <c r="C730" s="6" t="s">
        <v>15</v>
      </c>
      <c r="D730" s="6" t="s">
        <v>3699</v>
      </c>
      <c r="E730" s="7" t="s">
        <v>3700</v>
      </c>
      <c r="F730" s="7" t="n">
        <v>3105</v>
      </c>
      <c r="G730" s="6" t="s">
        <v>18</v>
      </c>
      <c r="H730" s="8" t="n">
        <v>719</v>
      </c>
      <c r="I730" s="8" t="n">
        <v>0</v>
      </c>
      <c r="J730" s="7" t="n">
        <v>0</v>
      </c>
      <c r="K730" s="9" t="s">
        <v>3701</v>
      </c>
      <c r="L730" s="6" t="s">
        <v>3702</v>
      </c>
      <c r="M730" s="6" t="s">
        <v>3703</v>
      </c>
      <c r="N730" s="10"/>
      <c r="O730" s="4" t="str">
        <f aca="false">IF(N730="","",LEN(N730))</f>
        <v/>
      </c>
    </row>
    <row r="731" customFormat="false" ht="39" hidden="false" customHeight="true" outlineLevel="0" collapsed="false">
      <c r="A731" s="4" t="n">
        <v>730</v>
      </c>
      <c r="B731" s="5" t="n">
        <f aca="false">IF(OR(C731="სხვა მოდელი წერია",I731&gt;=განმარტება!$B$4),1,IF(OR(C731="ცარიელი",I731&gt;=1),2,IF(H731&gt;=განმარტება!$B$5,3,4)))</f>
        <v>4</v>
      </c>
      <c r="C731" s="6" t="s">
        <v>15</v>
      </c>
      <c r="D731" s="6" t="s">
        <v>3704</v>
      </c>
      <c r="E731" s="7" t="s">
        <v>3705</v>
      </c>
      <c r="F731" s="7" t="n">
        <v>571</v>
      </c>
      <c r="G731" s="6" t="s">
        <v>24</v>
      </c>
      <c r="H731" s="8" t="n">
        <v>715</v>
      </c>
      <c r="I731" s="8" t="n">
        <v>0</v>
      </c>
      <c r="J731" s="7" t="n">
        <v>0</v>
      </c>
      <c r="K731" s="9" t="s">
        <v>3706</v>
      </c>
      <c r="L731" s="6" t="s">
        <v>3707</v>
      </c>
      <c r="M731" s="6" t="s">
        <v>3708</v>
      </c>
      <c r="N731" s="10"/>
      <c r="O731" s="4" t="str">
        <f aca="false">IF(N731="","",LEN(N731))</f>
        <v/>
      </c>
    </row>
    <row r="732" customFormat="false" ht="39" hidden="false" customHeight="true" outlineLevel="0" collapsed="false">
      <c r="A732" s="4" t="n">
        <v>731</v>
      </c>
      <c r="B732" s="5" t="n">
        <f aca="false">IF(OR(C732="სხვა მოდელი წერია",I732&gt;=განმარტება!$B$4),1,IF(OR(C732="ცარიელი",I732&gt;=1),2,IF(H732&gt;=განმარტება!$B$5,3,4)))</f>
        <v>4</v>
      </c>
      <c r="C732" s="6" t="s">
        <v>15</v>
      </c>
      <c r="D732" s="6" t="s">
        <v>3709</v>
      </c>
      <c r="E732" s="7" t="s">
        <v>3710</v>
      </c>
      <c r="F732" s="7" t="n">
        <v>782</v>
      </c>
      <c r="G732" s="6" t="s">
        <v>302</v>
      </c>
      <c r="H732" s="8" t="n">
        <v>714</v>
      </c>
      <c r="I732" s="8" t="n">
        <v>0</v>
      </c>
      <c r="J732" s="7" t="n">
        <v>0</v>
      </c>
      <c r="K732" s="9" t="s">
        <v>3711</v>
      </c>
      <c r="L732" s="6" t="s">
        <v>3712</v>
      </c>
      <c r="M732" s="6" t="s">
        <v>3713</v>
      </c>
      <c r="N732" s="10"/>
      <c r="O732" s="4" t="str">
        <f aca="false">IF(N732="","",LEN(N732))</f>
        <v/>
      </c>
    </row>
    <row r="733" customFormat="false" ht="39" hidden="false" customHeight="true" outlineLevel="0" collapsed="false">
      <c r="A733" s="4" t="n">
        <v>732</v>
      </c>
      <c r="B733" s="5" t="n">
        <f aca="false">IF(OR(C733="სხვა მოდელი წერია",I733&gt;=განმარტება!$B$4),1,IF(OR(C733="ცარიელი",I733&gt;=1),2,IF(H733&gt;=განმარტება!$B$5,3,4)))</f>
        <v>4</v>
      </c>
      <c r="C733" s="6" t="s">
        <v>15</v>
      </c>
      <c r="D733" s="6" t="s">
        <v>3714</v>
      </c>
      <c r="E733" s="7" t="s">
        <v>3715</v>
      </c>
      <c r="F733" s="7" t="n">
        <v>2039</v>
      </c>
      <c r="G733" s="6" t="s">
        <v>1994</v>
      </c>
      <c r="H733" s="8" t="n">
        <v>702</v>
      </c>
      <c r="I733" s="8" t="n">
        <v>0</v>
      </c>
      <c r="J733" s="7" t="n">
        <v>0</v>
      </c>
      <c r="K733" s="9" t="s">
        <v>3716</v>
      </c>
      <c r="L733" s="6" t="s">
        <v>3717</v>
      </c>
      <c r="M733" s="6" t="s">
        <v>3718</v>
      </c>
      <c r="N733" s="10"/>
      <c r="O733" s="4" t="str">
        <f aca="false">IF(N733="","",LEN(N733))</f>
        <v/>
      </c>
    </row>
    <row r="734" customFormat="false" ht="51.75" hidden="false" customHeight="true" outlineLevel="0" collapsed="false">
      <c r="A734" s="4" t="n">
        <v>733</v>
      </c>
      <c r="B734" s="5" t="n">
        <f aca="false">IF(OR(C734="სხვა მოდელი წერია",I734&gt;=განმარტება!$B$4),1,IF(OR(C734="ცარიელი",I734&gt;=1),2,IF(H734&gt;=განმარტება!$B$5,3,4)))</f>
        <v>4</v>
      </c>
      <c r="C734" s="6" t="s">
        <v>15</v>
      </c>
      <c r="D734" s="6" t="s">
        <v>3719</v>
      </c>
      <c r="E734" s="7" t="s">
        <v>3720</v>
      </c>
      <c r="F734" s="7" t="n">
        <v>2964</v>
      </c>
      <c r="G734" s="6" t="s">
        <v>3253</v>
      </c>
      <c r="H734" s="8" t="n">
        <v>700</v>
      </c>
      <c r="I734" s="8" t="n">
        <v>0</v>
      </c>
      <c r="J734" s="7" t="n">
        <v>0</v>
      </c>
      <c r="K734" s="9" t="s">
        <v>3721</v>
      </c>
      <c r="L734" s="6" t="s">
        <v>3722</v>
      </c>
      <c r="M734" s="6" t="s">
        <v>3723</v>
      </c>
      <c r="N734" s="10"/>
      <c r="O734" s="4" t="str">
        <f aca="false">IF(N734="","",LEN(N734))</f>
        <v/>
      </c>
    </row>
    <row r="735" customFormat="false" ht="39" hidden="false" customHeight="true" outlineLevel="0" collapsed="false">
      <c r="A735" s="4" t="n">
        <v>734</v>
      </c>
      <c r="B735" s="5" t="n">
        <f aca="false">IF(OR(C735="სხვა მოდელი წერია",I735&gt;=განმარტება!$B$4),1,IF(OR(C735="ცარიელი",I735&gt;=1),2,IF(H735&gt;=განმარტება!$B$5,3,4)))</f>
        <v>4</v>
      </c>
      <c r="C735" s="6" t="s">
        <v>15</v>
      </c>
      <c r="D735" s="6" t="s">
        <v>3724</v>
      </c>
      <c r="E735" s="7" t="s">
        <v>3725</v>
      </c>
      <c r="F735" s="7" t="n">
        <v>3996</v>
      </c>
      <c r="G735" s="6" t="s">
        <v>285</v>
      </c>
      <c r="H735" s="8" t="n">
        <v>699</v>
      </c>
      <c r="I735" s="8" t="n">
        <v>0</v>
      </c>
      <c r="J735" s="7" t="n">
        <v>0</v>
      </c>
      <c r="K735" s="9" t="s">
        <v>3726</v>
      </c>
      <c r="L735" s="6" t="s">
        <v>3727</v>
      </c>
      <c r="M735" s="6" t="s">
        <v>3728</v>
      </c>
      <c r="N735" s="10"/>
      <c r="O735" s="4" t="str">
        <f aca="false">IF(N735="","",LEN(N735))</f>
        <v/>
      </c>
    </row>
    <row r="736" customFormat="false" ht="39" hidden="false" customHeight="true" outlineLevel="0" collapsed="false">
      <c r="A736" s="4" t="n">
        <v>735</v>
      </c>
      <c r="B736" s="5" t="n">
        <f aca="false">IF(OR(C736="სხვა მოდელი წერია",I736&gt;=განმარტება!$B$4),1,IF(OR(C736="ცარიელი",I736&gt;=1),2,IF(H736&gt;=განმარტება!$B$5,3,4)))</f>
        <v>4</v>
      </c>
      <c r="C736" s="6" t="s">
        <v>15</v>
      </c>
      <c r="D736" s="6" t="s">
        <v>3729</v>
      </c>
      <c r="E736" s="7" t="s">
        <v>3730</v>
      </c>
      <c r="F736" s="7" t="n">
        <v>12106</v>
      </c>
      <c r="G736" s="6" t="s">
        <v>3731</v>
      </c>
      <c r="H736" s="8" t="n">
        <v>699</v>
      </c>
      <c r="I736" s="8" t="n">
        <v>0</v>
      </c>
      <c r="J736" s="7" t="n">
        <v>0</v>
      </c>
      <c r="K736" s="9" t="s">
        <v>3732</v>
      </c>
      <c r="L736" s="6" t="s">
        <v>3733</v>
      </c>
      <c r="M736" s="6" t="s">
        <v>3734</v>
      </c>
      <c r="N736" s="10"/>
      <c r="O736" s="4" t="str">
        <f aca="false">IF(N736="","",LEN(N736))</f>
        <v/>
      </c>
    </row>
    <row r="737" customFormat="false" ht="39" hidden="false" customHeight="true" outlineLevel="0" collapsed="false">
      <c r="A737" s="4" t="n">
        <v>736</v>
      </c>
      <c r="B737" s="5" t="n">
        <f aca="false">IF(OR(C737="სხვა მოდელი წერია",I737&gt;=განმარტება!$B$4),1,IF(OR(C737="ცარიელი",I737&gt;=1),2,IF(H737&gt;=განმარტება!$B$5,3,4)))</f>
        <v>4</v>
      </c>
      <c r="C737" s="6" t="s">
        <v>15</v>
      </c>
      <c r="D737" s="6" t="s">
        <v>3735</v>
      </c>
      <c r="E737" s="7" t="s">
        <v>3736</v>
      </c>
      <c r="F737" s="7" t="n">
        <v>1997</v>
      </c>
      <c r="G737" s="6" t="s">
        <v>3011</v>
      </c>
      <c r="H737" s="8" t="n">
        <v>699</v>
      </c>
      <c r="I737" s="8" t="n">
        <v>0</v>
      </c>
      <c r="J737" s="7" t="n">
        <v>0</v>
      </c>
      <c r="K737" s="9" t="s">
        <v>3737</v>
      </c>
      <c r="L737" s="6" t="s">
        <v>3738</v>
      </c>
      <c r="M737" s="6" t="s">
        <v>3739</v>
      </c>
      <c r="N737" s="10"/>
      <c r="O737" s="4" t="str">
        <f aca="false">IF(N737="","",LEN(N737))</f>
        <v/>
      </c>
    </row>
    <row r="738" customFormat="false" ht="39" hidden="false" customHeight="true" outlineLevel="0" collapsed="false">
      <c r="A738" s="4" t="n">
        <v>737</v>
      </c>
      <c r="B738" s="5" t="n">
        <f aca="false">IF(OR(C738="სხვა მოდელი წერია",I738&gt;=განმარტება!$B$4),1,IF(OR(C738="ცარიელი",I738&gt;=1),2,IF(H738&gt;=განმარტება!$B$5,3,4)))</f>
        <v>4</v>
      </c>
      <c r="C738" s="6" t="s">
        <v>15</v>
      </c>
      <c r="D738" s="6" t="s">
        <v>3740</v>
      </c>
      <c r="E738" s="7" t="s">
        <v>3741</v>
      </c>
      <c r="F738" s="7" t="n">
        <v>1920</v>
      </c>
      <c r="G738" s="6" t="s">
        <v>749</v>
      </c>
      <c r="H738" s="8" t="n">
        <v>699</v>
      </c>
      <c r="I738" s="8" t="n">
        <v>0</v>
      </c>
      <c r="J738" s="7" t="n">
        <v>0</v>
      </c>
      <c r="K738" s="9" t="s">
        <v>3742</v>
      </c>
      <c r="L738" s="6" t="s">
        <v>3743</v>
      </c>
      <c r="M738" s="6" t="s">
        <v>3744</v>
      </c>
      <c r="N738" s="10"/>
      <c r="O738" s="4" t="str">
        <f aca="false">IF(N738="","",LEN(N738))</f>
        <v/>
      </c>
    </row>
    <row r="739" customFormat="false" ht="39" hidden="false" customHeight="true" outlineLevel="0" collapsed="false">
      <c r="A739" s="4" t="n">
        <v>738</v>
      </c>
      <c r="B739" s="5" t="n">
        <f aca="false">IF(OR(C739="სხვა მოდელი წერია",I739&gt;=განმარტება!$B$4),1,IF(OR(C739="ცარიელი",I739&gt;=1),2,IF(H739&gt;=განმარტება!$B$5,3,4)))</f>
        <v>4</v>
      </c>
      <c r="C739" s="6" t="s">
        <v>15</v>
      </c>
      <c r="D739" s="6" t="s">
        <v>3745</v>
      </c>
      <c r="E739" s="7" t="s">
        <v>3746</v>
      </c>
      <c r="F739" s="7" t="n">
        <v>2801</v>
      </c>
      <c r="G739" s="6" t="s">
        <v>112</v>
      </c>
      <c r="H739" s="8" t="n">
        <v>699</v>
      </c>
      <c r="I739" s="8" t="n">
        <v>0</v>
      </c>
      <c r="J739" s="7" t="n">
        <v>0</v>
      </c>
      <c r="K739" s="9" t="s">
        <v>3747</v>
      </c>
      <c r="L739" s="6" t="s">
        <v>3748</v>
      </c>
      <c r="M739" s="6" t="s">
        <v>3749</v>
      </c>
      <c r="N739" s="10"/>
      <c r="O739" s="4" t="str">
        <f aca="false">IF(N739="","",LEN(N739))</f>
        <v/>
      </c>
    </row>
    <row r="740" customFormat="false" ht="39" hidden="false" customHeight="true" outlineLevel="0" collapsed="false">
      <c r="A740" s="4" t="n">
        <v>739</v>
      </c>
      <c r="B740" s="5" t="n">
        <f aca="false">IF(OR(C740="სხვა მოდელი წერია",I740&gt;=განმარტება!$B$4),1,IF(OR(C740="ცარიელი",I740&gt;=1),2,IF(H740&gt;=განმარტება!$B$5,3,4)))</f>
        <v>4</v>
      </c>
      <c r="C740" s="6" t="s">
        <v>15</v>
      </c>
      <c r="D740" s="6" t="s">
        <v>3750</v>
      </c>
      <c r="E740" s="7" t="s">
        <v>3751</v>
      </c>
      <c r="F740" s="7" t="n">
        <v>2695</v>
      </c>
      <c r="G740" s="6" t="s">
        <v>112</v>
      </c>
      <c r="H740" s="8" t="n">
        <v>699</v>
      </c>
      <c r="I740" s="8" t="n">
        <v>0</v>
      </c>
      <c r="J740" s="7" t="n">
        <v>0</v>
      </c>
      <c r="K740" s="9" t="s">
        <v>3752</v>
      </c>
      <c r="L740" s="6" t="s">
        <v>3753</v>
      </c>
      <c r="M740" s="6" t="s">
        <v>3754</v>
      </c>
      <c r="N740" s="10"/>
      <c r="O740" s="4" t="str">
        <f aca="false">IF(N740="","",LEN(N740))</f>
        <v/>
      </c>
    </row>
    <row r="741" customFormat="false" ht="51.75" hidden="false" customHeight="true" outlineLevel="0" collapsed="false">
      <c r="A741" s="4" t="n">
        <v>740</v>
      </c>
      <c r="B741" s="5" t="n">
        <f aca="false">IF(OR(C741="სხვა მოდელი წერია",I741&gt;=განმარტება!$B$4),1,IF(OR(C741="ცარიელი",I741&gt;=1),2,IF(H741&gt;=განმარტება!$B$5,3,4)))</f>
        <v>4</v>
      </c>
      <c r="C741" s="6" t="s">
        <v>15</v>
      </c>
      <c r="D741" s="6" t="s">
        <v>3755</v>
      </c>
      <c r="E741" s="7" t="s">
        <v>3756</v>
      </c>
      <c r="F741" s="7" t="n">
        <v>3901</v>
      </c>
      <c r="G741" s="6" t="s">
        <v>693</v>
      </c>
      <c r="H741" s="8" t="n">
        <v>699</v>
      </c>
      <c r="I741" s="8" t="n">
        <v>0</v>
      </c>
      <c r="J741" s="7" t="n">
        <v>0</v>
      </c>
      <c r="K741" s="9" t="s">
        <v>3757</v>
      </c>
      <c r="L741" s="6" t="s">
        <v>3758</v>
      </c>
      <c r="M741" s="6" t="s">
        <v>3759</v>
      </c>
      <c r="N741" s="10"/>
      <c r="O741" s="4" t="str">
        <f aca="false">IF(N741="","",LEN(N741))</f>
        <v/>
      </c>
    </row>
    <row r="742" customFormat="false" ht="51.75" hidden="false" customHeight="true" outlineLevel="0" collapsed="false">
      <c r="A742" s="4" t="n">
        <v>741</v>
      </c>
      <c r="B742" s="5" t="n">
        <f aca="false">IF(OR(C742="სხვა მოდელი წერია",I742&gt;=განმარტება!$B$4),1,IF(OR(C742="ცარიელი",I742&gt;=1),2,IF(H742&gt;=განმარტება!$B$5,3,4)))</f>
        <v>4</v>
      </c>
      <c r="C742" s="6" t="s">
        <v>15</v>
      </c>
      <c r="D742" s="6" t="s">
        <v>3760</v>
      </c>
      <c r="E742" s="7" t="s">
        <v>3761</v>
      </c>
      <c r="F742" s="7" t="n">
        <v>1478</v>
      </c>
      <c r="G742" s="6" t="s">
        <v>30</v>
      </c>
      <c r="H742" s="8" t="n">
        <v>699</v>
      </c>
      <c r="I742" s="8" t="n">
        <v>0</v>
      </c>
      <c r="J742" s="7" t="n">
        <v>0</v>
      </c>
      <c r="K742" s="9" t="s">
        <v>3762</v>
      </c>
      <c r="L742" s="6" t="s">
        <v>3763</v>
      </c>
      <c r="M742" s="6" t="s">
        <v>3764</v>
      </c>
      <c r="N742" s="10"/>
      <c r="O742" s="4" t="str">
        <f aca="false">IF(N742="","",LEN(N742))</f>
        <v/>
      </c>
    </row>
    <row r="743" customFormat="false" ht="51.75" hidden="false" customHeight="true" outlineLevel="0" collapsed="false">
      <c r="A743" s="4" t="n">
        <v>742</v>
      </c>
      <c r="B743" s="5" t="n">
        <f aca="false">IF(OR(C743="სხვა მოდელი წერია",I743&gt;=განმარტება!$B$4),1,IF(OR(C743="ცარიელი",I743&gt;=1),2,IF(H743&gt;=განმარტება!$B$5,3,4)))</f>
        <v>4</v>
      </c>
      <c r="C743" s="6" t="s">
        <v>15</v>
      </c>
      <c r="D743" s="6" t="s">
        <v>3765</v>
      </c>
      <c r="E743" s="7" t="s">
        <v>3766</v>
      </c>
      <c r="F743" s="7" t="n">
        <v>11988</v>
      </c>
      <c r="G743" s="6" t="s">
        <v>211</v>
      </c>
      <c r="H743" s="8" t="n">
        <v>699</v>
      </c>
      <c r="I743" s="8" t="n">
        <v>0</v>
      </c>
      <c r="J743" s="7" t="n">
        <v>0</v>
      </c>
      <c r="K743" s="9" t="s">
        <v>3767</v>
      </c>
      <c r="L743" s="6" t="s">
        <v>3768</v>
      </c>
      <c r="M743" s="6" t="s">
        <v>3769</v>
      </c>
      <c r="N743" s="10"/>
      <c r="O743" s="4" t="str">
        <f aca="false">IF(N743="","",LEN(N743))</f>
        <v/>
      </c>
    </row>
    <row r="744" customFormat="false" ht="51.75" hidden="false" customHeight="true" outlineLevel="0" collapsed="false">
      <c r="A744" s="4" t="n">
        <v>743</v>
      </c>
      <c r="B744" s="5" t="n">
        <f aca="false">IF(OR(C744="სხვა მოდელი წერია",I744&gt;=განმარტება!$B$4),1,IF(OR(C744="ცარიელი",I744&gt;=1),2,IF(H744&gt;=განმარტება!$B$5,3,4)))</f>
        <v>4</v>
      </c>
      <c r="C744" s="6" t="s">
        <v>15</v>
      </c>
      <c r="D744" s="6" t="s">
        <v>3770</v>
      </c>
      <c r="E744" s="7" t="s">
        <v>3771</v>
      </c>
      <c r="F744" s="7" t="n">
        <v>2670</v>
      </c>
      <c r="G744" s="6" t="s">
        <v>211</v>
      </c>
      <c r="H744" s="8" t="n">
        <v>699</v>
      </c>
      <c r="I744" s="8" t="n">
        <v>0</v>
      </c>
      <c r="J744" s="7" t="n">
        <v>0</v>
      </c>
      <c r="K744" s="9" t="s">
        <v>3772</v>
      </c>
      <c r="L744" s="6" t="s">
        <v>3773</v>
      </c>
      <c r="M744" s="6" t="s">
        <v>3774</v>
      </c>
      <c r="N744" s="10"/>
      <c r="O744" s="4" t="str">
        <f aca="false">IF(N744="","",LEN(N744))</f>
        <v/>
      </c>
    </row>
    <row r="745" customFormat="false" ht="51.75" hidden="false" customHeight="true" outlineLevel="0" collapsed="false">
      <c r="A745" s="4" t="n">
        <v>744</v>
      </c>
      <c r="B745" s="5" t="n">
        <f aca="false">IF(OR(C745="სხვა მოდელი წერია",I745&gt;=განმარტება!$B$4),1,IF(OR(C745="ცარიელი",I745&gt;=1),2,IF(H745&gt;=განმარტება!$B$5,3,4)))</f>
        <v>4</v>
      </c>
      <c r="C745" s="6" t="s">
        <v>15</v>
      </c>
      <c r="D745" s="6" t="s">
        <v>3775</v>
      </c>
      <c r="E745" s="7" t="s">
        <v>3776</v>
      </c>
      <c r="F745" s="7" t="n">
        <v>3907</v>
      </c>
      <c r="G745" s="6" t="s">
        <v>211</v>
      </c>
      <c r="H745" s="8" t="n">
        <v>699</v>
      </c>
      <c r="I745" s="8" t="n">
        <v>0</v>
      </c>
      <c r="J745" s="7" t="n">
        <v>0</v>
      </c>
      <c r="K745" s="9" t="s">
        <v>3777</v>
      </c>
      <c r="L745" s="6" t="s">
        <v>3778</v>
      </c>
      <c r="M745" s="6" t="s">
        <v>3779</v>
      </c>
      <c r="N745" s="10"/>
      <c r="O745" s="4" t="str">
        <f aca="false">IF(N745="","",LEN(N745))</f>
        <v/>
      </c>
    </row>
    <row r="746" customFormat="false" ht="51.75" hidden="false" customHeight="true" outlineLevel="0" collapsed="false">
      <c r="A746" s="4" t="n">
        <v>745</v>
      </c>
      <c r="B746" s="5" t="n">
        <f aca="false">IF(OR(C746="სხვა მოდელი წერია",I746&gt;=განმარტება!$B$4),1,IF(OR(C746="ცარიელი",I746&gt;=1),2,IF(H746&gt;=განმარტება!$B$5,3,4)))</f>
        <v>4</v>
      </c>
      <c r="C746" s="6" t="s">
        <v>15</v>
      </c>
      <c r="D746" s="6" t="s">
        <v>3780</v>
      </c>
      <c r="E746" s="7" t="s">
        <v>3781</v>
      </c>
      <c r="F746" s="7" t="n">
        <v>102</v>
      </c>
      <c r="G746" s="6" t="s">
        <v>211</v>
      </c>
      <c r="H746" s="8" t="n">
        <v>699</v>
      </c>
      <c r="I746" s="8" t="n">
        <v>0</v>
      </c>
      <c r="J746" s="7" t="n">
        <v>0</v>
      </c>
      <c r="K746" s="9" t="s">
        <v>3782</v>
      </c>
      <c r="L746" s="6" t="s">
        <v>3783</v>
      </c>
      <c r="M746" s="6" t="s">
        <v>3784</v>
      </c>
      <c r="N746" s="10"/>
      <c r="O746" s="4" t="str">
        <f aca="false">IF(N746="","",LEN(N746))</f>
        <v/>
      </c>
    </row>
    <row r="747" customFormat="false" ht="39" hidden="false" customHeight="true" outlineLevel="0" collapsed="false">
      <c r="A747" s="4" t="n">
        <v>746</v>
      </c>
      <c r="B747" s="5" t="n">
        <f aca="false">IF(OR(C747="სხვა მოდელი წერია",I747&gt;=განმარტება!$B$4),1,IF(OR(C747="ცარიელი",I747&gt;=1),2,IF(H747&gt;=განმარტება!$B$5,3,4)))</f>
        <v>4</v>
      </c>
      <c r="C747" s="6" t="s">
        <v>15</v>
      </c>
      <c r="D747" s="6" t="s">
        <v>3785</v>
      </c>
      <c r="E747" s="7" t="s">
        <v>3786</v>
      </c>
      <c r="F747" s="7" t="n">
        <v>1959</v>
      </c>
      <c r="G747" s="6" t="s">
        <v>402</v>
      </c>
      <c r="H747" s="8" t="n">
        <v>699</v>
      </c>
      <c r="I747" s="8" t="n">
        <v>0</v>
      </c>
      <c r="J747" s="7" t="n">
        <v>0</v>
      </c>
      <c r="K747" s="9" t="s">
        <v>3787</v>
      </c>
      <c r="L747" s="6" t="s">
        <v>3788</v>
      </c>
      <c r="M747" s="6" t="s">
        <v>3789</v>
      </c>
      <c r="N747" s="10"/>
      <c r="O747" s="4" t="str">
        <f aca="false">IF(N747="","",LEN(N747))</f>
        <v/>
      </c>
    </row>
    <row r="748" customFormat="false" ht="64.5" hidden="false" customHeight="true" outlineLevel="0" collapsed="false">
      <c r="A748" s="4" t="n">
        <v>747</v>
      </c>
      <c r="B748" s="5" t="n">
        <f aca="false">IF(OR(C748="სხვა მოდელი წერია",I748&gt;=განმარტება!$B$4),1,IF(OR(C748="ცარიელი",I748&gt;=1),2,IF(H748&gt;=განმარტება!$B$5,3,4)))</f>
        <v>4</v>
      </c>
      <c r="C748" s="6" t="s">
        <v>15</v>
      </c>
      <c r="D748" s="6" t="s">
        <v>3790</v>
      </c>
      <c r="E748" s="7" t="s">
        <v>3791</v>
      </c>
      <c r="F748" s="7" t="n">
        <v>817</v>
      </c>
      <c r="G748" s="6" t="s">
        <v>95</v>
      </c>
      <c r="H748" s="8" t="n">
        <v>699</v>
      </c>
      <c r="I748" s="8" t="n">
        <v>0</v>
      </c>
      <c r="J748" s="7" t="n">
        <v>0</v>
      </c>
      <c r="K748" s="9" t="s">
        <v>3792</v>
      </c>
      <c r="L748" s="6" t="s">
        <v>3793</v>
      </c>
      <c r="M748" s="6" t="s">
        <v>3794</v>
      </c>
      <c r="N748" s="10"/>
      <c r="O748" s="4" t="str">
        <f aca="false">IF(N748="","",LEN(N748))</f>
        <v/>
      </c>
    </row>
    <row r="749" customFormat="false" ht="39" hidden="false" customHeight="true" outlineLevel="0" collapsed="false">
      <c r="A749" s="4" t="n">
        <v>748</v>
      </c>
      <c r="B749" s="5" t="n">
        <f aca="false">IF(OR(C749="სხვა მოდელი წერია",I749&gt;=განმარტება!$B$4),1,IF(OR(C749="ცარიელი",I749&gt;=1),2,IF(H749&gt;=განმარტება!$B$5,3,4)))</f>
        <v>4</v>
      </c>
      <c r="C749" s="6" t="s">
        <v>316</v>
      </c>
      <c r="D749" s="6" t="s">
        <v>3795</v>
      </c>
      <c r="E749" s="7" t="s">
        <v>3796</v>
      </c>
      <c r="F749" s="7" t="n">
        <v>828</v>
      </c>
      <c r="G749" s="6" t="s">
        <v>118</v>
      </c>
      <c r="H749" s="8" t="n">
        <v>696</v>
      </c>
      <c r="I749" s="8" t="n">
        <v>0</v>
      </c>
      <c r="J749" s="7" t="n">
        <v>0</v>
      </c>
      <c r="K749" s="9" t="s">
        <v>3797</v>
      </c>
      <c r="L749" s="6" t="s">
        <v>3798</v>
      </c>
      <c r="M749" s="6" t="s">
        <v>3799</v>
      </c>
      <c r="N749" s="10"/>
      <c r="O749" s="4" t="str">
        <f aca="false">IF(N749="","",LEN(N749))</f>
        <v/>
      </c>
    </row>
    <row r="750" customFormat="false" ht="39" hidden="false" customHeight="true" outlineLevel="0" collapsed="false">
      <c r="A750" s="4" t="n">
        <v>749</v>
      </c>
      <c r="B750" s="5" t="n">
        <f aca="false">IF(OR(C750="სხვა მოდელი წერია",I750&gt;=განმარტება!$B$4),1,IF(OR(C750="ცარიელი",I750&gt;=1),2,IF(H750&gt;=განმარტება!$B$5,3,4)))</f>
        <v>4</v>
      </c>
      <c r="C750" s="6" t="s">
        <v>15</v>
      </c>
      <c r="D750" s="6" t="s">
        <v>3800</v>
      </c>
      <c r="E750" s="7" t="s">
        <v>3801</v>
      </c>
      <c r="F750" s="7" t="n">
        <v>2032</v>
      </c>
      <c r="G750" s="6" t="s">
        <v>1994</v>
      </c>
      <c r="H750" s="8" t="n">
        <v>690</v>
      </c>
      <c r="I750" s="8" t="n">
        <v>0</v>
      </c>
      <c r="J750" s="7" t="n">
        <v>0</v>
      </c>
      <c r="K750" s="9" t="s">
        <v>3802</v>
      </c>
      <c r="L750" s="6" t="s">
        <v>3803</v>
      </c>
      <c r="M750" s="6" t="s">
        <v>3804</v>
      </c>
      <c r="N750" s="10"/>
      <c r="O750" s="4" t="str">
        <f aca="false">IF(N750="","",LEN(N750))</f>
        <v/>
      </c>
    </row>
    <row r="751" customFormat="false" ht="64.5" hidden="false" customHeight="true" outlineLevel="0" collapsed="false">
      <c r="A751" s="4" t="n">
        <v>750</v>
      </c>
      <c r="B751" s="5" t="n">
        <f aca="false">IF(OR(C751="სხვა მოდელი წერია",I751&gt;=განმარტება!$B$4),1,IF(OR(C751="ცარიელი",I751&gt;=1),2,IF(H751&gt;=განმარტება!$B$5,3,4)))</f>
        <v>4</v>
      </c>
      <c r="C751" s="6" t="s">
        <v>15</v>
      </c>
      <c r="D751" s="6" t="s">
        <v>3805</v>
      </c>
      <c r="E751" s="7" t="s">
        <v>3806</v>
      </c>
      <c r="F751" s="7" t="n">
        <v>3733</v>
      </c>
      <c r="G751" s="6" t="s">
        <v>95</v>
      </c>
      <c r="H751" s="8" t="n">
        <v>690</v>
      </c>
      <c r="I751" s="8" t="n">
        <v>0</v>
      </c>
      <c r="J751" s="7" t="n">
        <v>0</v>
      </c>
      <c r="K751" s="9" t="s">
        <v>3807</v>
      </c>
      <c r="L751" s="6" t="s">
        <v>3808</v>
      </c>
      <c r="M751" s="6" t="s">
        <v>3809</v>
      </c>
      <c r="N751" s="10"/>
      <c r="O751" s="4" t="str">
        <f aca="false">IF(N751="","",LEN(N751))</f>
        <v/>
      </c>
    </row>
    <row r="752" customFormat="false" ht="64.5" hidden="false" customHeight="true" outlineLevel="0" collapsed="false">
      <c r="A752" s="4" t="n">
        <v>751</v>
      </c>
      <c r="B752" s="5" t="n">
        <f aca="false">IF(OR(C752="სხვა მოდელი წერია",I752&gt;=განმარტება!$B$4),1,IF(OR(C752="ცარიელი",I752&gt;=1),2,IF(H752&gt;=განმარტება!$B$5,3,4)))</f>
        <v>4</v>
      </c>
      <c r="C752" s="6" t="s">
        <v>15</v>
      </c>
      <c r="D752" s="6" t="s">
        <v>3810</v>
      </c>
      <c r="E752" s="7" t="s">
        <v>3811</v>
      </c>
      <c r="F752" s="7" t="n">
        <v>13675</v>
      </c>
      <c r="G752" s="6" t="s">
        <v>3812</v>
      </c>
      <c r="H752" s="8" t="n">
        <v>679</v>
      </c>
      <c r="I752" s="8" t="n">
        <v>0</v>
      </c>
      <c r="J752" s="7" t="n">
        <v>0</v>
      </c>
      <c r="K752" s="9" t="s">
        <v>3813</v>
      </c>
      <c r="L752" s="6" t="s">
        <v>3814</v>
      </c>
      <c r="M752" s="6" t="s">
        <v>3815</v>
      </c>
      <c r="N752" s="10"/>
      <c r="O752" s="4" t="str">
        <f aca="false">IF(N752="","",LEN(N752))</f>
        <v/>
      </c>
    </row>
    <row r="753" customFormat="false" ht="39" hidden="false" customHeight="true" outlineLevel="0" collapsed="false">
      <c r="A753" s="4" t="n">
        <v>752</v>
      </c>
      <c r="B753" s="5" t="n">
        <f aca="false">IF(OR(C753="სხვა მოდელი წერია",I753&gt;=განმარტება!$B$4),1,IF(OR(C753="ცარიელი",I753&gt;=1),2,IF(H753&gt;=განმარტება!$B$5,3,4)))</f>
        <v>4</v>
      </c>
      <c r="C753" s="6" t="s">
        <v>15</v>
      </c>
      <c r="D753" s="6" t="s">
        <v>3816</v>
      </c>
      <c r="E753" s="7" t="s">
        <v>3817</v>
      </c>
      <c r="F753" s="7" t="n">
        <v>8896</v>
      </c>
      <c r="G753" s="6" t="s">
        <v>1267</v>
      </c>
      <c r="H753" s="8" t="n">
        <v>679</v>
      </c>
      <c r="I753" s="8" t="n">
        <v>0</v>
      </c>
      <c r="J753" s="7" t="n">
        <v>0</v>
      </c>
      <c r="K753" s="9" t="s">
        <v>3818</v>
      </c>
      <c r="L753" s="6" t="s">
        <v>3819</v>
      </c>
      <c r="M753" s="6" t="s">
        <v>3820</v>
      </c>
      <c r="N753" s="10"/>
      <c r="O753" s="4" t="str">
        <f aca="false">IF(N753="","",LEN(N753))</f>
        <v/>
      </c>
    </row>
    <row r="754" customFormat="false" ht="51.75" hidden="false" customHeight="true" outlineLevel="0" collapsed="false">
      <c r="A754" s="4" t="n">
        <v>753</v>
      </c>
      <c r="B754" s="5" t="n">
        <f aca="false">IF(OR(C754="სხვა მოდელი წერია",I754&gt;=განმარტება!$B$4),1,IF(OR(C754="ცარიელი",I754&gt;=1),2,IF(H754&gt;=განმარტება!$B$5,3,4)))</f>
        <v>4</v>
      </c>
      <c r="C754" s="6" t="s">
        <v>15</v>
      </c>
      <c r="D754" s="6" t="s">
        <v>3821</v>
      </c>
      <c r="E754" s="7" t="s">
        <v>3822</v>
      </c>
      <c r="F754" s="7" t="n">
        <v>931</v>
      </c>
      <c r="G754" s="6" t="s">
        <v>211</v>
      </c>
      <c r="H754" s="8" t="n">
        <v>679</v>
      </c>
      <c r="I754" s="8" t="n">
        <v>0</v>
      </c>
      <c r="J754" s="7" t="n">
        <v>0</v>
      </c>
      <c r="K754" s="9" t="s">
        <v>3823</v>
      </c>
      <c r="L754" s="6" t="s">
        <v>3824</v>
      </c>
      <c r="M754" s="6" t="s">
        <v>3825</v>
      </c>
      <c r="N754" s="10"/>
      <c r="O754" s="4" t="str">
        <f aca="false">IF(N754="","",LEN(N754))</f>
        <v/>
      </c>
    </row>
    <row r="755" customFormat="false" ht="39" hidden="false" customHeight="true" outlineLevel="0" collapsed="false">
      <c r="A755" s="4" t="n">
        <v>754</v>
      </c>
      <c r="B755" s="5" t="n">
        <f aca="false">IF(OR(C755="სხვა მოდელი წერია",I755&gt;=განმარტება!$B$4),1,IF(OR(C755="ცარიელი",I755&gt;=1),2,IF(H755&gt;=განმარტება!$B$5,3,4)))</f>
        <v>4</v>
      </c>
      <c r="C755" s="6" t="s">
        <v>15</v>
      </c>
      <c r="D755" s="6" t="s">
        <v>3826</v>
      </c>
      <c r="E755" s="7" t="s">
        <v>3827</v>
      </c>
      <c r="F755" s="7" t="n">
        <v>2221</v>
      </c>
      <c r="G755" s="6" t="s">
        <v>205</v>
      </c>
      <c r="H755" s="8" t="n">
        <v>679</v>
      </c>
      <c r="I755" s="8" t="n">
        <v>0</v>
      </c>
      <c r="J755" s="7" t="n">
        <v>0</v>
      </c>
      <c r="K755" s="9" t="s">
        <v>3828</v>
      </c>
      <c r="L755" s="6" t="s">
        <v>3829</v>
      </c>
      <c r="M755" s="6" t="s">
        <v>3830</v>
      </c>
      <c r="N755" s="10"/>
      <c r="O755" s="4" t="str">
        <f aca="false">IF(N755="","",LEN(N755))</f>
        <v/>
      </c>
    </row>
    <row r="756" customFormat="false" ht="39" hidden="false" customHeight="true" outlineLevel="0" collapsed="false">
      <c r="A756" s="4" t="n">
        <v>755</v>
      </c>
      <c r="B756" s="5" t="n">
        <f aca="false">IF(OR(C756="სხვა მოდელი წერია",I756&gt;=განმარტება!$B$4),1,IF(OR(C756="ცარიელი",I756&gt;=1),2,IF(H756&gt;=განმარტება!$B$5,3,4)))</f>
        <v>4</v>
      </c>
      <c r="C756" s="6" t="s">
        <v>15</v>
      </c>
      <c r="D756" s="6" t="s">
        <v>3831</v>
      </c>
      <c r="E756" s="7" t="s">
        <v>3832</v>
      </c>
      <c r="F756" s="7" t="n">
        <v>3006</v>
      </c>
      <c r="G756" s="6" t="s">
        <v>3833</v>
      </c>
      <c r="H756" s="8" t="n">
        <v>679</v>
      </c>
      <c r="I756" s="8" t="n">
        <v>0</v>
      </c>
      <c r="J756" s="7" t="n">
        <v>0</v>
      </c>
      <c r="K756" s="9" t="s">
        <v>3834</v>
      </c>
      <c r="L756" s="6" t="s">
        <v>3835</v>
      </c>
      <c r="M756" s="6" t="s">
        <v>3836</v>
      </c>
      <c r="N756" s="10"/>
      <c r="O756" s="4" t="str">
        <f aca="false">IF(N756="","",LEN(N756))</f>
        <v/>
      </c>
    </row>
    <row r="757" customFormat="false" ht="39" hidden="false" customHeight="true" outlineLevel="0" collapsed="false">
      <c r="A757" s="4" t="n">
        <v>756</v>
      </c>
      <c r="B757" s="5" t="n">
        <f aca="false">IF(OR(C757="სხვა მოდელი წერია",I757&gt;=განმარტება!$B$4),1,IF(OR(C757="ცარიელი",I757&gt;=1),2,IF(H757&gt;=განმარტება!$B$5,3,4)))</f>
        <v>4</v>
      </c>
      <c r="C757" s="6" t="s">
        <v>15</v>
      </c>
      <c r="D757" s="6" t="s">
        <v>3837</v>
      </c>
      <c r="E757" s="7" t="s">
        <v>3838</v>
      </c>
      <c r="F757" s="7" t="n">
        <v>1303</v>
      </c>
      <c r="G757" s="6" t="s">
        <v>340</v>
      </c>
      <c r="H757" s="8" t="n">
        <v>676</v>
      </c>
      <c r="I757" s="8" t="n">
        <v>0</v>
      </c>
      <c r="J757" s="7" t="n">
        <v>0</v>
      </c>
      <c r="K757" s="9" t="s">
        <v>3839</v>
      </c>
      <c r="L757" s="6" t="s">
        <v>3840</v>
      </c>
      <c r="M757" s="6" t="s">
        <v>3841</v>
      </c>
      <c r="N757" s="10"/>
      <c r="O757" s="4" t="str">
        <f aca="false">IF(N757="","",LEN(N757))</f>
        <v/>
      </c>
    </row>
    <row r="758" customFormat="false" ht="39" hidden="false" customHeight="true" outlineLevel="0" collapsed="false">
      <c r="A758" s="4" t="n">
        <v>757</v>
      </c>
      <c r="B758" s="5" t="n">
        <f aca="false">IF(OR(C758="სხვა მოდელი წერია",I758&gt;=განმარტება!$B$4),1,IF(OR(C758="ცარიელი",I758&gt;=1),2,IF(H758&gt;=განმარტება!$B$5,3,4)))</f>
        <v>4</v>
      </c>
      <c r="C758" s="6" t="s">
        <v>15</v>
      </c>
      <c r="D758" s="6" t="s">
        <v>3842</v>
      </c>
      <c r="E758" s="7" t="s">
        <v>3843</v>
      </c>
      <c r="F758" s="7" t="n">
        <v>1445</v>
      </c>
      <c r="G758" s="6" t="s">
        <v>24</v>
      </c>
      <c r="H758" s="8" t="n">
        <v>669</v>
      </c>
      <c r="I758" s="8" t="n">
        <v>0</v>
      </c>
      <c r="J758" s="7" t="n">
        <v>0</v>
      </c>
      <c r="K758" s="9" t="s">
        <v>3844</v>
      </c>
      <c r="L758" s="6" t="s">
        <v>3845</v>
      </c>
      <c r="M758" s="6" t="s">
        <v>3846</v>
      </c>
      <c r="N758" s="10"/>
      <c r="O758" s="4" t="str">
        <f aca="false">IF(N758="","",LEN(N758))</f>
        <v/>
      </c>
    </row>
    <row r="759" customFormat="false" ht="51.75" hidden="false" customHeight="true" outlineLevel="0" collapsed="false">
      <c r="A759" s="4" t="n">
        <v>758</v>
      </c>
      <c r="B759" s="5" t="n">
        <f aca="false">IF(OR(C759="სხვა მოდელი წერია",I759&gt;=განმარტება!$B$4),1,IF(OR(C759="ცარიელი",I759&gt;=1),2,IF(H759&gt;=განმარტება!$B$5,3,4)))</f>
        <v>4</v>
      </c>
      <c r="C759" s="6" t="s">
        <v>15</v>
      </c>
      <c r="D759" s="6" t="s">
        <v>3847</v>
      </c>
      <c r="E759" s="7" t="s">
        <v>3848</v>
      </c>
      <c r="F759" s="7" t="n">
        <v>944</v>
      </c>
      <c r="G759" s="6" t="s">
        <v>211</v>
      </c>
      <c r="H759" s="8" t="n">
        <v>669</v>
      </c>
      <c r="I759" s="8" t="n">
        <v>0</v>
      </c>
      <c r="J759" s="7" t="n">
        <v>0</v>
      </c>
      <c r="K759" s="9" t="s">
        <v>3849</v>
      </c>
      <c r="L759" s="6" t="s">
        <v>3850</v>
      </c>
      <c r="M759" s="6" t="s">
        <v>3851</v>
      </c>
      <c r="N759" s="10"/>
      <c r="O759" s="4" t="str">
        <f aca="false">IF(N759="","",LEN(N759))</f>
        <v/>
      </c>
    </row>
    <row r="760" customFormat="false" ht="39" hidden="false" customHeight="true" outlineLevel="0" collapsed="false">
      <c r="A760" s="4" t="n">
        <v>759</v>
      </c>
      <c r="B760" s="5" t="n">
        <f aca="false">IF(OR(C760="სხვა მოდელი წერია",I760&gt;=განმარტება!$B$4),1,IF(OR(C760="ცარიელი",I760&gt;=1),2,IF(H760&gt;=განმარტება!$B$5,3,4)))</f>
        <v>4</v>
      </c>
      <c r="C760" s="6" t="s">
        <v>15</v>
      </c>
      <c r="D760" s="6" t="s">
        <v>3852</v>
      </c>
      <c r="E760" s="7" t="s">
        <v>3853</v>
      </c>
      <c r="F760" s="7" t="n">
        <v>787</v>
      </c>
      <c r="G760" s="6" t="s">
        <v>302</v>
      </c>
      <c r="H760" s="8" t="n">
        <v>666</v>
      </c>
      <c r="I760" s="8" t="n">
        <v>0</v>
      </c>
      <c r="J760" s="7" t="n">
        <v>0</v>
      </c>
      <c r="K760" s="9" t="s">
        <v>3854</v>
      </c>
      <c r="L760" s="6" t="s">
        <v>3855</v>
      </c>
      <c r="M760" s="6" t="s">
        <v>3856</v>
      </c>
      <c r="N760" s="10"/>
      <c r="O760" s="4" t="str">
        <f aca="false">IF(N760="","",LEN(N760))</f>
        <v/>
      </c>
    </row>
    <row r="761" customFormat="false" ht="39" hidden="false" customHeight="true" outlineLevel="0" collapsed="false">
      <c r="A761" s="4" t="n">
        <v>760</v>
      </c>
      <c r="B761" s="5" t="n">
        <f aca="false">IF(OR(C761="სხვა მოდელი წერია",I761&gt;=განმარტება!$B$4),1,IF(OR(C761="ცარიელი",I761&gt;=1),2,IF(H761&gt;=განმარტება!$B$5,3,4)))</f>
        <v>4</v>
      </c>
      <c r="C761" s="6" t="s">
        <v>15</v>
      </c>
      <c r="D761" s="6" t="s">
        <v>3857</v>
      </c>
      <c r="E761" s="7" t="s">
        <v>3858</v>
      </c>
      <c r="F761" s="7" t="n">
        <v>752</v>
      </c>
      <c r="G761" s="6" t="s">
        <v>302</v>
      </c>
      <c r="H761" s="8" t="n">
        <v>666</v>
      </c>
      <c r="I761" s="8" t="n">
        <v>0</v>
      </c>
      <c r="J761" s="7" t="n">
        <v>0</v>
      </c>
      <c r="K761" s="9" t="s">
        <v>3859</v>
      </c>
      <c r="L761" s="6" t="s">
        <v>3860</v>
      </c>
      <c r="M761" s="6" t="s">
        <v>3861</v>
      </c>
      <c r="N761" s="10"/>
      <c r="O761" s="4" t="str">
        <f aca="false">IF(N761="","",LEN(N761))</f>
        <v/>
      </c>
    </row>
    <row r="762" customFormat="false" ht="39" hidden="false" customHeight="true" outlineLevel="0" collapsed="false">
      <c r="A762" s="4" t="n">
        <v>761</v>
      </c>
      <c r="B762" s="5" t="n">
        <f aca="false">IF(OR(C762="სხვა მოდელი წერია",I762&gt;=განმარტება!$B$4),1,IF(OR(C762="ცარიელი",I762&gt;=1),2,IF(H762&gt;=განმარტება!$B$5,3,4)))</f>
        <v>4</v>
      </c>
      <c r="C762" s="6" t="s">
        <v>15</v>
      </c>
      <c r="D762" s="6" t="s">
        <v>3862</v>
      </c>
      <c r="E762" s="7" t="s">
        <v>3863</v>
      </c>
      <c r="F762" s="7" t="n">
        <v>1516</v>
      </c>
      <c r="G762" s="6" t="s">
        <v>858</v>
      </c>
      <c r="H762" s="8" t="n">
        <v>665</v>
      </c>
      <c r="I762" s="8" t="n">
        <v>0</v>
      </c>
      <c r="J762" s="7" t="n">
        <v>0</v>
      </c>
      <c r="K762" s="9" t="s">
        <v>3864</v>
      </c>
      <c r="L762" s="6" t="s">
        <v>3865</v>
      </c>
      <c r="M762" s="6" t="s">
        <v>3866</v>
      </c>
      <c r="N762" s="10"/>
      <c r="O762" s="4" t="str">
        <f aca="false">IF(N762="","",LEN(N762))</f>
        <v/>
      </c>
    </row>
    <row r="763" customFormat="false" ht="39" hidden="false" customHeight="true" outlineLevel="0" collapsed="false">
      <c r="A763" s="4" t="n">
        <v>762</v>
      </c>
      <c r="B763" s="5" t="n">
        <f aca="false">IF(OR(C763="სხვა მოდელი წერია",I763&gt;=განმარტება!$B$4),1,IF(OR(C763="ცარიელი",I763&gt;=1),2,IF(H763&gt;=განმარტება!$B$5,3,4)))</f>
        <v>4</v>
      </c>
      <c r="C763" s="6" t="s">
        <v>15</v>
      </c>
      <c r="D763" s="6" t="s">
        <v>3867</v>
      </c>
      <c r="E763" s="7" t="s">
        <v>3868</v>
      </c>
      <c r="F763" s="7" t="n">
        <v>2085</v>
      </c>
      <c r="G763" s="6" t="s">
        <v>18</v>
      </c>
      <c r="H763" s="8" t="n">
        <v>660</v>
      </c>
      <c r="I763" s="8" t="n">
        <v>0</v>
      </c>
      <c r="J763" s="7" t="n">
        <v>0</v>
      </c>
      <c r="K763" s="9" t="s">
        <v>3869</v>
      </c>
      <c r="L763" s="6" t="s">
        <v>3870</v>
      </c>
      <c r="M763" s="6" t="s">
        <v>3871</v>
      </c>
      <c r="N763" s="10"/>
      <c r="O763" s="4" t="str">
        <f aca="false">IF(N763="","",LEN(N763))</f>
        <v/>
      </c>
    </row>
    <row r="764" customFormat="false" ht="39" hidden="false" customHeight="true" outlineLevel="0" collapsed="false">
      <c r="A764" s="4" t="n">
        <v>763</v>
      </c>
      <c r="B764" s="5" t="n">
        <f aca="false">IF(OR(C764="სხვა მოდელი წერია",I764&gt;=განმარტება!$B$4),1,IF(OR(C764="ცარიელი",I764&gt;=1),2,IF(H764&gt;=განმარტება!$B$5,3,4)))</f>
        <v>4</v>
      </c>
      <c r="C764" s="6" t="s">
        <v>15</v>
      </c>
      <c r="D764" s="6" t="s">
        <v>3872</v>
      </c>
      <c r="E764" s="7" t="s">
        <v>3873</v>
      </c>
      <c r="F764" s="7" t="n">
        <v>8903</v>
      </c>
      <c r="G764" s="6" t="s">
        <v>1267</v>
      </c>
      <c r="H764" s="8" t="n">
        <v>659</v>
      </c>
      <c r="I764" s="8" t="n">
        <v>0</v>
      </c>
      <c r="J764" s="7" t="n">
        <v>0</v>
      </c>
      <c r="K764" s="9" t="s">
        <v>3874</v>
      </c>
      <c r="L764" s="6" t="s">
        <v>3875</v>
      </c>
      <c r="M764" s="6" t="s">
        <v>3876</v>
      </c>
      <c r="N764" s="10"/>
      <c r="O764" s="4" t="str">
        <f aca="false">IF(N764="","",LEN(N764))</f>
        <v/>
      </c>
    </row>
    <row r="765" customFormat="false" ht="39" hidden="false" customHeight="true" outlineLevel="0" collapsed="false">
      <c r="A765" s="4" t="n">
        <v>764</v>
      </c>
      <c r="B765" s="5" t="n">
        <f aca="false">IF(OR(C765="სხვა მოდელი წერია",I765&gt;=განმარტება!$B$4),1,IF(OR(C765="ცარიელი",I765&gt;=1),2,IF(H765&gt;=განმარტება!$B$5,3,4)))</f>
        <v>4</v>
      </c>
      <c r="C765" s="6" t="s">
        <v>15</v>
      </c>
      <c r="D765" s="6" t="s">
        <v>3877</v>
      </c>
      <c r="E765" s="7" t="s">
        <v>3878</v>
      </c>
      <c r="F765" s="7" t="n">
        <v>2086</v>
      </c>
      <c r="G765" s="6" t="s">
        <v>18</v>
      </c>
      <c r="H765" s="8" t="n">
        <v>659</v>
      </c>
      <c r="I765" s="8" t="n">
        <v>0</v>
      </c>
      <c r="J765" s="7" t="n">
        <v>0</v>
      </c>
      <c r="K765" s="9" t="s">
        <v>3879</v>
      </c>
      <c r="L765" s="6" t="s">
        <v>3880</v>
      </c>
      <c r="M765" s="6" t="s">
        <v>3881</v>
      </c>
      <c r="N765" s="10"/>
      <c r="O765" s="4" t="str">
        <f aca="false">IF(N765="","",LEN(N765))</f>
        <v/>
      </c>
    </row>
    <row r="766" customFormat="false" ht="39" hidden="false" customHeight="true" outlineLevel="0" collapsed="false">
      <c r="A766" s="4" t="n">
        <v>765</v>
      </c>
      <c r="B766" s="5" t="n">
        <f aca="false">IF(OR(C766="სხვა მოდელი წერია",I766&gt;=განმარტება!$B$4),1,IF(OR(C766="ცარიელი",I766&gt;=1),2,IF(H766&gt;=განმარტება!$B$5,3,4)))</f>
        <v>4</v>
      </c>
      <c r="C766" s="6" t="s">
        <v>15</v>
      </c>
      <c r="D766" s="6" t="s">
        <v>3882</v>
      </c>
      <c r="E766" s="7" t="s">
        <v>3883</v>
      </c>
      <c r="F766" s="7" t="n">
        <v>2140</v>
      </c>
      <c r="G766" s="6" t="s">
        <v>18</v>
      </c>
      <c r="H766" s="8" t="n">
        <v>659</v>
      </c>
      <c r="I766" s="8" t="n">
        <v>0</v>
      </c>
      <c r="J766" s="7" t="n">
        <v>0</v>
      </c>
      <c r="K766" s="9" t="s">
        <v>3884</v>
      </c>
      <c r="L766" s="6" t="s">
        <v>3885</v>
      </c>
      <c r="M766" s="6" t="s">
        <v>3886</v>
      </c>
      <c r="N766" s="10"/>
      <c r="O766" s="4" t="str">
        <f aca="false">IF(N766="","",LEN(N766))</f>
        <v/>
      </c>
    </row>
    <row r="767" customFormat="false" ht="39" hidden="false" customHeight="true" outlineLevel="0" collapsed="false">
      <c r="A767" s="4" t="n">
        <v>766</v>
      </c>
      <c r="B767" s="5" t="n">
        <f aca="false">IF(OR(C767="სხვა მოდელი წერია",I767&gt;=განმარტება!$B$4),1,IF(OR(C767="ცარიელი",I767&gt;=1),2,IF(H767&gt;=განმარტება!$B$5,3,4)))</f>
        <v>4</v>
      </c>
      <c r="C767" s="6" t="s">
        <v>15</v>
      </c>
      <c r="D767" s="6" t="s">
        <v>3887</v>
      </c>
      <c r="E767" s="7" t="s">
        <v>3888</v>
      </c>
      <c r="F767" s="7" t="n">
        <v>3109</v>
      </c>
      <c r="G767" s="6" t="s">
        <v>18</v>
      </c>
      <c r="H767" s="8" t="n">
        <v>659</v>
      </c>
      <c r="I767" s="8" t="n">
        <v>0</v>
      </c>
      <c r="J767" s="7" t="n">
        <v>0</v>
      </c>
      <c r="K767" s="9" t="s">
        <v>3889</v>
      </c>
      <c r="L767" s="6" t="s">
        <v>3890</v>
      </c>
      <c r="M767" s="6" t="s">
        <v>3891</v>
      </c>
      <c r="N767" s="10"/>
      <c r="O767" s="4" t="str">
        <f aca="false">IF(N767="","",LEN(N767))</f>
        <v/>
      </c>
    </row>
    <row r="768" customFormat="false" ht="39" hidden="false" customHeight="true" outlineLevel="0" collapsed="false">
      <c r="A768" s="4" t="n">
        <v>767</v>
      </c>
      <c r="B768" s="5" t="n">
        <f aca="false">IF(OR(C768="სხვა მოდელი წერია",I768&gt;=განმარტება!$B$4),1,IF(OR(C768="ცარიელი",I768&gt;=1),2,IF(H768&gt;=განმარტება!$B$5,3,4)))</f>
        <v>4</v>
      </c>
      <c r="C768" s="6" t="s">
        <v>316</v>
      </c>
      <c r="D768" s="6" t="s">
        <v>3892</v>
      </c>
      <c r="E768" s="7" t="s">
        <v>3893</v>
      </c>
      <c r="F768" s="7" t="n">
        <v>1239</v>
      </c>
      <c r="G768" s="6" t="s">
        <v>1994</v>
      </c>
      <c r="H768" s="8" t="n">
        <v>650</v>
      </c>
      <c r="I768" s="8" t="n">
        <v>0</v>
      </c>
      <c r="J768" s="7" t="n">
        <v>0</v>
      </c>
      <c r="K768" s="9" t="s">
        <v>3894</v>
      </c>
      <c r="L768" s="6" t="s">
        <v>3895</v>
      </c>
      <c r="M768" s="6" t="s">
        <v>3896</v>
      </c>
      <c r="N768" s="10"/>
      <c r="O768" s="4" t="str">
        <f aca="false">IF(N768="","",LEN(N768))</f>
        <v/>
      </c>
    </row>
    <row r="769" customFormat="false" ht="39" hidden="false" customHeight="true" outlineLevel="0" collapsed="false">
      <c r="A769" s="4" t="n">
        <v>768</v>
      </c>
      <c r="B769" s="5" t="n">
        <f aca="false">IF(OR(C769="სხვა მოდელი წერია",I769&gt;=განმარტება!$B$4),1,IF(OR(C769="ცარიელი",I769&gt;=1),2,IF(H769&gt;=განმარტება!$B$5,3,4)))</f>
        <v>4</v>
      </c>
      <c r="C769" s="6" t="s">
        <v>15</v>
      </c>
      <c r="D769" s="6" t="s">
        <v>3897</v>
      </c>
      <c r="E769" s="7" t="s">
        <v>3898</v>
      </c>
      <c r="F769" s="7" t="n">
        <v>2613</v>
      </c>
      <c r="G769" s="6" t="s">
        <v>858</v>
      </c>
      <c r="H769" s="8" t="n">
        <v>650</v>
      </c>
      <c r="I769" s="8" t="n">
        <v>0</v>
      </c>
      <c r="J769" s="7" t="n">
        <v>0</v>
      </c>
      <c r="K769" s="9" t="s">
        <v>3899</v>
      </c>
      <c r="L769" s="6" t="s">
        <v>3900</v>
      </c>
      <c r="M769" s="6" t="s">
        <v>3901</v>
      </c>
      <c r="N769" s="10"/>
      <c r="O769" s="4" t="str">
        <f aca="false">IF(N769="","",LEN(N769))</f>
        <v/>
      </c>
    </row>
    <row r="770" customFormat="false" ht="39" hidden="false" customHeight="true" outlineLevel="0" collapsed="false">
      <c r="A770" s="4" t="n">
        <v>769</v>
      </c>
      <c r="B770" s="5" t="n">
        <f aca="false">IF(OR(C770="სხვა მოდელი წერია",I770&gt;=განმარტება!$B$4),1,IF(OR(C770="ცარიელი",I770&gt;=1),2,IF(H770&gt;=განმარტება!$B$5,3,4)))</f>
        <v>4</v>
      </c>
      <c r="C770" s="6" t="s">
        <v>15</v>
      </c>
      <c r="D770" s="6" t="s">
        <v>3902</v>
      </c>
      <c r="E770" s="7" t="s">
        <v>3903</v>
      </c>
      <c r="F770" s="7" t="n">
        <v>2927</v>
      </c>
      <c r="G770" s="6" t="s">
        <v>112</v>
      </c>
      <c r="H770" s="8" t="n">
        <v>649</v>
      </c>
      <c r="I770" s="8" t="n">
        <v>0</v>
      </c>
      <c r="J770" s="7" t="n">
        <v>0</v>
      </c>
      <c r="K770" s="9" t="s">
        <v>3904</v>
      </c>
      <c r="L770" s="6" t="s">
        <v>3905</v>
      </c>
      <c r="M770" s="6" t="s">
        <v>3906</v>
      </c>
      <c r="N770" s="10"/>
      <c r="O770" s="4" t="str">
        <f aca="false">IF(N770="","",LEN(N770))</f>
        <v/>
      </c>
    </row>
    <row r="771" customFormat="false" ht="51.75" hidden="false" customHeight="true" outlineLevel="0" collapsed="false">
      <c r="A771" s="4" t="n">
        <v>770</v>
      </c>
      <c r="B771" s="5" t="n">
        <f aca="false">IF(OR(C771="სხვა მოდელი წერია",I771&gt;=განმარტება!$B$4),1,IF(OR(C771="ცარიელი",I771&gt;=1),2,IF(H771&gt;=განმარტება!$B$5,3,4)))</f>
        <v>4</v>
      </c>
      <c r="C771" s="6" t="s">
        <v>15</v>
      </c>
      <c r="D771" s="6" t="s">
        <v>3907</v>
      </c>
      <c r="E771" s="7" t="s">
        <v>3908</v>
      </c>
      <c r="F771" s="7" t="n">
        <v>2488</v>
      </c>
      <c r="G771" s="6" t="s">
        <v>693</v>
      </c>
      <c r="H771" s="8" t="n">
        <v>649</v>
      </c>
      <c r="I771" s="8" t="n">
        <v>0</v>
      </c>
      <c r="J771" s="7" t="n">
        <v>0</v>
      </c>
      <c r="K771" s="9" t="s">
        <v>3909</v>
      </c>
      <c r="L771" s="6" t="s">
        <v>3910</v>
      </c>
      <c r="M771" s="6" t="s">
        <v>3911</v>
      </c>
      <c r="N771" s="10"/>
      <c r="O771" s="4" t="str">
        <f aca="false">IF(N771="","",LEN(N771))</f>
        <v/>
      </c>
    </row>
    <row r="772" customFormat="false" ht="39" hidden="false" customHeight="true" outlineLevel="0" collapsed="false">
      <c r="A772" s="4" t="n">
        <v>771</v>
      </c>
      <c r="B772" s="5" t="n">
        <f aca="false">IF(OR(C772="სხვა მოდელი წერია",I772&gt;=განმარტება!$B$4),1,IF(OR(C772="ცარიელი",I772&gt;=1),2,IF(H772&gt;=განმარტება!$B$5,3,4)))</f>
        <v>4</v>
      </c>
      <c r="C772" s="6" t="s">
        <v>15</v>
      </c>
      <c r="D772" s="6" t="s">
        <v>3912</v>
      </c>
      <c r="E772" s="7" t="s">
        <v>3913</v>
      </c>
      <c r="F772" s="7" t="n">
        <v>2288</v>
      </c>
      <c r="G772" s="6" t="s">
        <v>1712</v>
      </c>
      <c r="H772" s="8" t="n">
        <v>649</v>
      </c>
      <c r="I772" s="8" t="n">
        <v>0</v>
      </c>
      <c r="J772" s="7" t="n">
        <v>0</v>
      </c>
      <c r="K772" s="9" t="s">
        <v>3914</v>
      </c>
      <c r="L772" s="6" t="s">
        <v>3915</v>
      </c>
      <c r="M772" s="6" t="s">
        <v>3916</v>
      </c>
      <c r="N772" s="10"/>
      <c r="O772" s="4" t="str">
        <f aca="false">IF(N772="","",LEN(N772))</f>
        <v/>
      </c>
    </row>
    <row r="773" customFormat="false" ht="51.75" hidden="false" customHeight="true" outlineLevel="0" collapsed="false">
      <c r="A773" s="4" t="n">
        <v>772</v>
      </c>
      <c r="B773" s="5" t="n">
        <f aca="false">IF(OR(C773="სხვა მოდელი წერია",I773&gt;=განმარტება!$B$4),1,IF(OR(C773="ცარიელი",I773&gt;=1),2,IF(H773&gt;=განმარტება!$B$5,3,4)))</f>
        <v>4</v>
      </c>
      <c r="C773" s="6" t="s">
        <v>15</v>
      </c>
      <c r="D773" s="6" t="s">
        <v>3917</v>
      </c>
      <c r="E773" s="7" t="s">
        <v>3918</v>
      </c>
      <c r="F773" s="7" t="n">
        <v>3041</v>
      </c>
      <c r="G773" s="6" t="s">
        <v>211</v>
      </c>
      <c r="H773" s="8" t="n">
        <v>649</v>
      </c>
      <c r="I773" s="8" t="n">
        <v>0</v>
      </c>
      <c r="J773" s="7" t="n">
        <v>0</v>
      </c>
      <c r="K773" s="9" t="s">
        <v>3919</v>
      </c>
      <c r="L773" s="6" t="s">
        <v>3920</v>
      </c>
      <c r="M773" s="6" t="s">
        <v>3921</v>
      </c>
      <c r="N773" s="10"/>
      <c r="O773" s="4" t="str">
        <f aca="false">IF(N773="","",LEN(N773))</f>
        <v/>
      </c>
    </row>
    <row r="774" customFormat="false" ht="51.75" hidden="false" customHeight="true" outlineLevel="0" collapsed="false">
      <c r="A774" s="4" t="n">
        <v>773</v>
      </c>
      <c r="B774" s="5" t="n">
        <f aca="false">IF(OR(C774="სხვა მოდელი წერია",I774&gt;=განმარტება!$B$4),1,IF(OR(C774="ცარიელი",I774&gt;=1),2,IF(H774&gt;=განმარტება!$B$5,3,4)))</f>
        <v>4</v>
      </c>
      <c r="C774" s="6" t="s">
        <v>15</v>
      </c>
      <c r="D774" s="6" t="s">
        <v>3922</v>
      </c>
      <c r="E774" s="7" t="s">
        <v>3923</v>
      </c>
      <c r="F774" s="7" t="n">
        <v>902</v>
      </c>
      <c r="G774" s="6" t="s">
        <v>211</v>
      </c>
      <c r="H774" s="8" t="n">
        <v>649</v>
      </c>
      <c r="I774" s="8" t="n">
        <v>0</v>
      </c>
      <c r="J774" s="7" t="n">
        <v>0</v>
      </c>
      <c r="K774" s="9" t="s">
        <v>3924</v>
      </c>
      <c r="L774" s="6" t="s">
        <v>3925</v>
      </c>
      <c r="M774" s="6" t="s">
        <v>3926</v>
      </c>
      <c r="N774" s="10"/>
      <c r="O774" s="4" t="str">
        <f aca="false">IF(N774="","",LEN(N774))</f>
        <v/>
      </c>
    </row>
    <row r="775" customFormat="false" ht="39" hidden="false" customHeight="true" outlineLevel="0" collapsed="false">
      <c r="A775" s="4" t="n">
        <v>774</v>
      </c>
      <c r="B775" s="5" t="n">
        <f aca="false">IF(OR(C775="სხვა მოდელი წერია",I775&gt;=განმარტება!$B$4),1,IF(OR(C775="ცარიელი",I775&gt;=1),2,IF(H775&gt;=განმარტება!$B$5,3,4)))</f>
        <v>4</v>
      </c>
      <c r="C775" s="6" t="s">
        <v>15</v>
      </c>
      <c r="D775" s="6" t="s">
        <v>3927</v>
      </c>
      <c r="E775" s="7" t="s">
        <v>3928</v>
      </c>
      <c r="F775" s="7" t="n">
        <v>1302</v>
      </c>
      <c r="G775" s="6" t="s">
        <v>340</v>
      </c>
      <c r="H775" s="8" t="n">
        <v>649</v>
      </c>
      <c r="I775" s="8" t="n">
        <v>0</v>
      </c>
      <c r="J775" s="7" t="n">
        <v>0</v>
      </c>
      <c r="K775" s="9" t="s">
        <v>3929</v>
      </c>
      <c r="L775" s="6" t="s">
        <v>3930</v>
      </c>
      <c r="M775" s="6" t="s">
        <v>3931</v>
      </c>
      <c r="N775" s="10"/>
      <c r="O775" s="4" t="str">
        <f aca="false">IF(N775="","",LEN(N775))</f>
        <v/>
      </c>
    </row>
    <row r="776" customFormat="false" ht="51.75" hidden="false" customHeight="true" outlineLevel="0" collapsed="false">
      <c r="A776" s="4" t="n">
        <v>775</v>
      </c>
      <c r="B776" s="5" t="n">
        <f aca="false">IF(OR(C776="სხვა მოდელი წერია",I776&gt;=განმარტება!$B$4),1,IF(OR(C776="ცარიელი",I776&gt;=1),2,IF(H776&gt;=განმარტება!$B$5,3,4)))</f>
        <v>4</v>
      </c>
      <c r="C776" s="6" t="s">
        <v>15</v>
      </c>
      <c r="D776" s="6" t="s">
        <v>3932</v>
      </c>
      <c r="E776" s="7" t="s">
        <v>3933</v>
      </c>
      <c r="F776" s="7" t="n">
        <v>2736</v>
      </c>
      <c r="G776" s="6" t="s">
        <v>134</v>
      </c>
      <c r="H776" s="8" t="n">
        <v>649</v>
      </c>
      <c r="I776" s="8" t="n">
        <v>0</v>
      </c>
      <c r="J776" s="7" t="n">
        <v>0</v>
      </c>
      <c r="K776" s="9" t="s">
        <v>3934</v>
      </c>
      <c r="L776" s="6" t="s">
        <v>3935</v>
      </c>
      <c r="M776" s="6" t="s">
        <v>3936</v>
      </c>
      <c r="N776" s="10"/>
      <c r="O776" s="4" t="str">
        <f aca="false">IF(N776="","",LEN(N776))</f>
        <v/>
      </c>
    </row>
    <row r="777" customFormat="false" ht="64.5" hidden="false" customHeight="true" outlineLevel="0" collapsed="false">
      <c r="A777" s="4" t="n">
        <v>776</v>
      </c>
      <c r="B777" s="5" t="n">
        <f aca="false">IF(OR(C777="სხვა მოდელი წერია",I777&gt;=განმარტება!$B$4),1,IF(OR(C777="ცარიელი",I777&gt;=1),2,IF(H777&gt;=განმარტება!$B$5,3,4)))</f>
        <v>4</v>
      </c>
      <c r="C777" s="6" t="s">
        <v>15</v>
      </c>
      <c r="D777" s="6" t="s">
        <v>3937</v>
      </c>
      <c r="E777" s="7" t="s">
        <v>3938</v>
      </c>
      <c r="F777" s="7" t="n">
        <v>1365</v>
      </c>
      <c r="G777" s="6" t="s">
        <v>95</v>
      </c>
      <c r="H777" s="8" t="n">
        <v>649</v>
      </c>
      <c r="I777" s="8" t="n">
        <v>0</v>
      </c>
      <c r="J777" s="7" t="n">
        <v>0</v>
      </c>
      <c r="K777" s="9" t="s">
        <v>3939</v>
      </c>
      <c r="L777" s="6" t="s">
        <v>3940</v>
      </c>
      <c r="M777" s="6" t="s">
        <v>3941</v>
      </c>
      <c r="N777" s="10"/>
      <c r="O777" s="4" t="str">
        <f aca="false">IF(N777="","",LEN(N777))</f>
        <v/>
      </c>
    </row>
    <row r="778" customFormat="false" ht="51.75" hidden="false" customHeight="true" outlineLevel="0" collapsed="false">
      <c r="A778" s="4" t="n">
        <v>777</v>
      </c>
      <c r="B778" s="5" t="n">
        <f aca="false">IF(OR(C778="სხვა მოდელი წერია",I778&gt;=განმარტება!$B$4),1,IF(OR(C778="ცარიელი",I778&gt;=1),2,IF(H778&gt;=განმარტება!$B$5,3,4)))</f>
        <v>4</v>
      </c>
      <c r="C778" s="6" t="s">
        <v>15</v>
      </c>
      <c r="D778" s="6" t="s">
        <v>3942</v>
      </c>
      <c r="E778" s="7" t="s">
        <v>3943</v>
      </c>
      <c r="F778" s="7" t="n">
        <v>943</v>
      </c>
      <c r="G778" s="6" t="s">
        <v>211</v>
      </c>
      <c r="H778" s="8" t="n">
        <v>631</v>
      </c>
      <c r="I778" s="8" t="n">
        <v>0</v>
      </c>
      <c r="J778" s="7" t="n">
        <v>0</v>
      </c>
      <c r="K778" s="9" t="s">
        <v>3944</v>
      </c>
      <c r="L778" s="6" t="s">
        <v>3945</v>
      </c>
      <c r="M778" s="6" t="s">
        <v>3946</v>
      </c>
      <c r="N778" s="10"/>
      <c r="O778" s="4" t="str">
        <f aca="false">IF(N778="","",LEN(N778))</f>
        <v/>
      </c>
    </row>
    <row r="779" customFormat="false" ht="39" hidden="false" customHeight="true" outlineLevel="0" collapsed="false">
      <c r="A779" s="4" t="n">
        <v>778</v>
      </c>
      <c r="B779" s="5" t="n">
        <f aca="false">IF(OR(C779="სხვა მოდელი წერია",I779&gt;=განმარტება!$B$4),1,IF(OR(C779="ცარიელი",I779&gt;=1),2,IF(H779&gt;=განმარტება!$B$5,3,4)))</f>
        <v>4</v>
      </c>
      <c r="C779" s="6" t="s">
        <v>15</v>
      </c>
      <c r="D779" s="6" t="s">
        <v>3947</v>
      </c>
      <c r="E779" s="7" t="s">
        <v>3948</v>
      </c>
      <c r="F779" s="7" t="n">
        <v>2137</v>
      </c>
      <c r="G779" s="6" t="s">
        <v>18</v>
      </c>
      <c r="H779" s="8" t="n">
        <v>629</v>
      </c>
      <c r="I779" s="8" t="n">
        <v>0</v>
      </c>
      <c r="J779" s="7" t="n">
        <v>0</v>
      </c>
      <c r="K779" s="9" t="s">
        <v>3949</v>
      </c>
      <c r="L779" s="6" t="s">
        <v>3950</v>
      </c>
      <c r="M779" s="6" t="s">
        <v>3951</v>
      </c>
      <c r="N779" s="10"/>
      <c r="O779" s="4" t="str">
        <f aca="false">IF(N779="","",LEN(N779))</f>
        <v/>
      </c>
    </row>
    <row r="780" customFormat="false" ht="39" hidden="false" customHeight="true" outlineLevel="0" collapsed="false">
      <c r="A780" s="4" t="n">
        <v>779</v>
      </c>
      <c r="B780" s="5" t="n">
        <f aca="false">IF(OR(C780="სხვა მოდელი წერია",I780&gt;=განმარტება!$B$4),1,IF(OR(C780="ცარიელი",I780&gt;=1),2,IF(H780&gt;=განმარტება!$B$5,3,4)))</f>
        <v>4</v>
      </c>
      <c r="C780" s="6" t="s">
        <v>15</v>
      </c>
      <c r="D780" s="6" t="s">
        <v>3952</v>
      </c>
      <c r="E780" s="7" t="s">
        <v>3953</v>
      </c>
      <c r="F780" s="7" t="n">
        <v>1622</v>
      </c>
      <c r="G780" s="6" t="s">
        <v>285</v>
      </c>
      <c r="H780" s="8" t="n">
        <v>629</v>
      </c>
      <c r="I780" s="8" t="n">
        <v>0</v>
      </c>
      <c r="J780" s="7" t="n">
        <v>0</v>
      </c>
      <c r="K780" s="9" t="s">
        <v>3954</v>
      </c>
      <c r="L780" s="6" t="s">
        <v>3955</v>
      </c>
      <c r="M780" s="6" t="s">
        <v>3956</v>
      </c>
      <c r="N780" s="10"/>
      <c r="O780" s="4" t="str">
        <f aca="false">IF(N780="","",LEN(N780))</f>
        <v/>
      </c>
    </row>
    <row r="781" customFormat="false" ht="39" hidden="false" customHeight="true" outlineLevel="0" collapsed="false">
      <c r="A781" s="4" t="n">
        <v>780</v>
      </c>
      <c r="B781" s="5" t="n">
        <f aca="false">IF(OR(C781="სხვა მოდელი წერია",I781&gt;=განმარტება!$B$4),1,IF(OR(C781="ცარიელი",I781&gt;=1),2,IF(H781&gt;=განმარტება!$B$5,3,4)))</f>
        <v>4</v>
      </c>
      <c r="C781" s="6" t="s">
        <v>15</v>
      </c>
      <c r="D781" s="6" t="s">
        <v>3957</v>
      </c>
      <c r="E781" s="7" t="s">
        <v>3958</v>
      </c>
      <c r="F781" s="7" t="n">
        <v>3004</v>
      </c>
      <c r="G781" s="6" t="s">
        <v>238</v>
      </c>
      <c r="H781" s="8" t="n">
        <v>629</v>
      </c>
      <c r="I781" s="8" t="n">
        <v>0</v>
      </c>
      <c r="J781" s="7" t="n">
        <v>0</v>
      </c>
      <c r="K781" s="9" t="s">
        <v>3959</v>
      </c>
      <c r="L781" s="6" t="s">
        <v>3960</v>
      </c>
      <c r="M781" s="6" t="s">
        <v>3961</v>
      </c>
      <c r="N781" s="10"/>
      <c r="O781" s="4" t="str">
        <f aca="false">IF(N781="","",LEN(N781))</f>
        <v/>
      </c>
    </row>
    <row r="782" customFormat="false" ht="51.75" hidden="false" customHeight="true" outlineLevel="0" collapsed="false">
      <c r="A782" s="4" t="n">
        <v>781</v>
      </c>
      <c r="B782" s="5" t="n">
        <f aca="false">IF(OR(C782="სხვა მოდელი წერია",I782&gt;=განმარტება!$B$4),1,IF(OR(C782="ცარიელი",I782&gt;=1),2,IF(H782&gt;=განმარტება!$B$5,3,4)))</f>
        <v>4</v>
      </c>
      <c r="C782" s="6" t="s">
        <v>15</v>
      </c>
      <c r="D782" s="6" t="s">
        <v>3962</v>
      </c>
      <c r="E782" s="7" t="s">
        <v>3963</v>
      </c>
      <c r="F782" s="7" t="n">
        <v>3130</v>
      </c>
      <c r="G782" s="6" t="s">
        <v>30</v>
      </c>
      <c r="H782" s="8" t="n">
        <v>629</v>
      </c>
      <c r="I782" s="8" t="n">
        <v>0</v>
      </c>
      <c r="J782" s="7" t="n">
        <v>0</v>
      </c>
      <c r="K782" s="9" t="s">
        <v>3964</v>
      </c>
      <c r="L782" s="6" t="s">
        <v>3965</v>
      </c>
      <c r="M782" s="6" t="s">
        <v>3966</v>
      </c>
      <c r="N782" s="10"/>
      <c r="O782" s="4" t="str">
        <f aca="false">IF(N782="","",LEN(N782))</f>
        <v/>
      </c>
    </row>
    <row r="783" customFormat="false" ht="51.75" hidden="false" customHeight="true" outlineLevel="0" collapsed="false">
      <c r="A783" s="4" t="n">
        <v>782</v>
      </c>
      <c r="B783" s="5" t="n">
        <f aca="false">IF(OR(C783="სხვა მოდელი წერია",I783&gt;=განმარტება!$B$4),1,IF(OR(C783="ცარიელი",I783&gt;=1),2,IF(H783&gt;=განმარტება!$B$5,3,4)))</f>
        <v>4</v>
      </c>
      <c r="C783" s="6" t="s">
        <v>15</v>
      </c>
      <c r="D783" s="6" t="s">
        <v>3967</v>
      </c>
      <c r="E783" s="7" t="s">
        <v>3968</v>
      </c>
      <c r="F783" s="7" t="n">
        <v>8521</v>
      </c>
      <c r="G783" s="6" t="s">
        <v>211</v>
      </c>
      <c r="H783" s="8" t="n">
        <v>629</v>
      </c>
      <c r="I783" s="8" t="n">
        <v>0</v>
      </c>
      <c r="J783" s="7" t="n">
        <v>0</v>
      </c>
      <c r="K783" s="9" t="s">
        <v>3969</v>
      </c>
      <c r="L783" s="6" t="s">
        <v>3970</v>
      </c>
      <c r="M783" s="6" t="s">
        <v>3971</v>
      </c>
      <c r="N783" s="10"/>
      <c r="O783" s="4" t="str">
        <f aca="false">IF(N783="","",LEN(N783))</f>
        <v/>
      </c>
    </row>
    <row r="784" customFormat="false" ht="39" hidden="false" customHeight="true" outlineLevel="0" collapsed="false">
      <c r="A784" s="4" t="n">
        <v>783</v>
      </c>
      <c r="B784" s="5" t="n">
        <f aca="false">IF(OR(C784="სხვა მოდელი წერია",I784&gt;=განმარტება!$B$4),1,IF(OR(C784="ცარიელი",I784&gt;=1),2,IF(H784&gt;=განმარტება!$B$5,3,4)))</f>
        <v>4</v>
      </c>
      <c r="C784" s="6" t="s">
        <v>15</v>
      </c>
      <c r="D784" s="6" t="s">
        <v>3972</v>
      </c>
      <c r="E784" s="7" t="s">
        <v>3973</v>
      </c>
      <c r="F784" s="7" t="n">
        <v>2933</v>
      </c>
      <c r="G784" s="6" t="s">
        <v>402</v>
      </c>
      <c r="H784" s="8" t="n">
        <v>629</v>
      </c>
      <c r="I784" s="8" t="n">
        <v>0</v>
      </c>
      <c r="J784" s="7" t="n">
        <v>0</v>
      </c>
      <c r="K784" s="9" t="s">
        <v>3974</v>
      </c>
      <c r="L784" s="6" t="s">
        <v>3975</v>
      </c>
      <c r="M784" s="6" t="s">
        <v>3976</v>
      </c>
      <c r="N784" s="10"/>
      <c r="O784" s="4" t="str">
        <f aca="false">IF(N784="","",LEN(N784))</f>
        <v/>
      </c>
    </row>
    <row r="785" customFormat="false" ht="39" hidden="false" customHeight="true" outlineLevel="0" collapsed="false">
      <c r="A785" s="4" t="n">
        <v>784</v>
      </c>
      <c r="B785" s="5" t="n">
        <f aca="false">IF(OR(C785="სხვა მოდელი წერია",I785&gt;=განმარტება!$B$4),1,IF(OR(C785="ცარიელი",I785&gt;=1),2,IF(H785&gt;=განმარტება!$B$5,3,4)))</f>
        <v>4</v>
      </c>
      <c r="C785" s="6" t="s">
        <v>15</v>
      </c>
      <c r="D785" s="6" t="s">
        <v>3977</v>
      </c>
      <c r="E785" s="7" t="s">
        <v>3978</v>
      </c>
      <c r="F785" s="7" t="n">
        <v>3007</v>
      </c>
      <c r="G785" s="6" t="s">
        <v>3833</v>
      </c>
      <c r="H785" s="8" t="n">
        <v>629</v>
      </c>
      <c r="I785" s="8" t="n">
        <v>0</v>
      </c>
      <c r="J785" s="7" t="n">
        <v>0</v>
      </c>
      <c r="K785" s="9" t="s">
        <v>3979</v>
      </c>
      <c r="L785" s="6" t="s">
        <v>3980</v>
      </c>
      <c r="M785" s="6" t="s">
        <v>3981</v>
      </c>
      <c r="N785" s="10"/>
      <c r="O785" s="4" t="str">
        <f aca="false">IF(N785="","",LEN(N785))</f>
        <v/>
      </c>
    </row>
    <row r="786" customFormat="false" ht="51.75" hidden="false" customHeight="true" outlineLevel="0" collapsed="false">
      <c r="A786" s="4" t="n">
        <v>785</v>
      </c>
      <c r="B786" s="5" t="n">
        <f aca="false">IF(OR(C786="სხვა მოდელი წერია",I786&gt;=განმარტება!$B$4),1,IF(OR(C786="ცარიელი",I786&gt;=1),2,IF(H786&gt;=განმარტება!$B$5,3,4)))</f>
        <v>4</v>
      </c>
      <c r="C786" s="6" t="s">
        <v>15</v>
      </c>
      <c r="D786" s="6" t="s">
        <v>3982</v>
      </c>
      <c r="E786" s="7" t="s">
        <v>3983</v>
      </c>
      <c r="F786" s="7" t="n">
        <v>1814</v>
      </c>
      <c r="G786" s="6" t="s">
        <v>134</v>
      </c>
      <c r="H786" s="8" t="n">
        <v>629</v>
      </c>
      <c r="I786" s="8" t="n">
        <v>0</v>
      </c>
      <c r="J786" s="7" t="n">
        <v>0</v>
      </c>
      <c r="K786" s="9" t="s">
        <v>3984</v>
      </c>
      <c r="L786" s="6" t="s">
        <v>3985</v>
      </c>
      <c r="M786" s="6" t="s">
        <v>3986</v>
      </c>
      <c r="N786" s="10"/>
      <c r="O786" s="4" t="str">
        <f aca="false">IF(N786="","",LEN(N786))</f>
        <v/>
      </c>
    </row>
    <row r="787" customFormat="false" ht="39" hidden="false" customHeight="true" outlineLevel="0" collapsed="false">
      <c r="A787" s="4" t="n">
        <v>786</v>
      </c>
      <c r="B787" s="5" t="n">
        <f aca="false">IF(OR(C787="სხვა მოდელი წერია",I787&gt;=განმარტება!$B$4),1,IF(OR(C787="ცარიელი",I787&gt;=1),2,IF(H787&gt;=განმარტება!$B$5,3,4)))</f>
        <v>4</v>
      </c>
      <c r="C787" s="6" t="s">
        <v>15</v>
      </c>
      <c r="D787" s="6" t="s">
        <v>3987</v>
      </c>
      <c r="E787" s="7" t="s">
        <v>3988</v>
      </c>
      <c r="F787" s="7" t="n">
        <v>790</v>
      </c>
      <c r="G787" s="6" t="s">
        <v>749</v>
      </c>
      <c r="H787" s="8" t="n">
        <v>625</v>
      </c>
      <c r="I787" s="8" t="n">
        <v>0</v>
      </c>
      <c r="J787" s="7" t="n">
        <v>0</v>
      </c>
      <c r="K787" s="9" t="s">
        <v>3989</v>
      </c>
      <c r="L787" s="6" t="s">
        <v>3990</v>
      </c>
      <c r="M787" s="6" t="s">
        <v>3991</v>
      </c>
      <c r="N787" s="10"/>
      <c r="O787" s="4" t="str">
        <f aca="false">IF(N787="","",LEN(N787))</f>
        <v/>
      </c>
    </row>
    <row r="788" customFormat="false" ht="39" hidden="false" customHeight="true" outlineLevel="0" collapsed="false">
      <c r="A788" s="4" t="n">
        <v>787</v>
      </c>
      <c r="B788" s="5" t="n">
        <f aca="false">IF(OR(C788="სხვა მოდელი წერია",I788&gt;=განმარტება!$B$4),1,IF(OR(C788="ცარიელი",I788&gt;=1),2,IF(H788&gt;=განმარტება!$B$5,3,4)))</f>
        <v>4</v>
      </c>
      <c r="C788" s="6" t="s">
        <v>15</v>
      </c>
      <c r="D788" s="6" t="s">
        <v>3992</v>
      </c>
      <c r="E788" s="7" t="s">
        <v>3993</v>
      </c>
      <c r="F788" s="7" t="n">
        <v>770</v>
      </c>
      <c r="G788" s="6" t="s">
        <v>302</v>
      </c>
      <c r="H788" s="8" t="n">
        <v>620</v>
      </c>
      <c r="I788" s="8" t="n">
        <v>0</v>
      </c>
      <c r="J788" s="7" t="n">
        <v>0</v>
      </c>
      <c r="K788" s="9" t="s">
        <v>3994</v>
      </c>
      <c r="L788" s="6" t="s">
        <v>3995</v>
      </c>
      <c r="M788" s="6" t="s">
        <v>3996</v>
      </c>
      <c r="N788" s="10"/>
      <c r="O788" s="4" t="str">
        <f aca="false">IF(N788="","",LEN(N788))</f>
        <v/>
      </c>
    </row>
    <row r="789" customFormat="false" ht="39" hidden="false" customHeight="true" outlineLevel="0" collapsed="false">
      <c r="A789" s="4" t="n">
        <v>788</v>
      </c>
      <c r="B789" s="5" t="n">
        <f aca="false">IF(OR(C789="სხვა მოდელი წერია",I789&gt;=განმარტება!$B$4),1,IF(OR(C789="ცარიელი",I789&gt;=1),2,IF(H789&gt;=განმარტება!$B$5,3,4)))</f>
        <v>4</v>
      </c>
      <c r="C789" s="6" t="s">
        <v>15</v>
      </c>
      <c r="D789" s="6" t="s">
        <v>3997</v>
      </c>
      <c r="E789" s="7" t="s">
        <v>3998</v>
      </c>
      <c r="F789" s="7" t="n">
        <v>3096</v>
      </c>
      <c r="G789" s="6" t="s">
        <v>18</v>
      </c>
      <c r="H789" s="8" t="n">
        <v>619</v>
      </c>
      <c r="I789" s="8" t="n">
        <v>0</v>
      </c>
      <c r="J789" s="7" t="n">
        <v>0</v>
      </c>
      <c r="K789" s="9" t="s">
        <v>3999</v>
      </c>
      <c r="L789" s="6" t="s">
        <v>4000</v>
      </c>
      <c r="M789" s="6" t="s">
        <v>4001</v>
      </c>
      <c r="N789" s="10"/>
      <c r="O789" s="4" t="str">
        <f aca="false">IF(N789="","",LEN(N789))</f>
        <v/>
      </c>
    </row>
    <row r="790" customFormat="false" ht="39" hidden="false" customHeight="true" outlineLevel="0" collapsed="false">
      <c r="A790" s="4" t="n">
        <v>789</v>
      </c>
      <c r="B790" s="5" t="n">
        <f aca="false">IF(OR(C790="სხვა მოდელი წერია",I790&gt;=განმარტება!$B$4),1,IF(OR(C790="ცარიელი",I790&gt;=1),2,IF(H790&gt;=განმარტება!$B$5,3,4)))</f>
        <v>4</v>
      </c>
      <c r="C790" s="6" t="s">
        <v>15</v>
      </c>
      <c r="D790" s="6" t="s">
        <v>4002</v>
      </c>
      <c r="E790" s="7" t="s">
        <v>4003</v>
      </c>
      <c r="F790" s="7" t="n">
        <v>152</v>
      </c>
      <c r="G790" s="6" t="s">
        <v>18</v>
      </c>
      <c r="H790" s="8" t="n">
        <v>619</v>
      </c>
      <c r="I790" s="8" t="n">
        <v>0</v>
      </c>
      <c r="J790" s="7" t="n">
        <v>0</v>
      </c>
      <c r="K790" s="9" t="s">
        <v>4004</v>
      </c>
      <c r="L790" s="6" t="s">
        <v>4005</v>
      </c>
      <c r="M790" s="6" t="s">
        <v>4006</v>
      </c>
      <c r="N790" s="10"/>
      <c r="O790" s="4" t="str">
        <f aca="false">IF(N790="","",LEN(N790))</f>
        <v/>
      </c>
    </row>
    <row r="791" customFormat="false" ht="39" hidden="false" customHeight="true" outlineLevel="0" collapsed="false">
      <c r="A791" s="4" t="n">
        <v>790</v>
      </c>
      <c r="B791" s="5" t="n">
        <f aca="false">IF(OR(C791="სხვა მოდელი წერია",I791&gt;=განმარტება!$B$4),1,IF(OR(C791="ცარიელი",I791&gt;=1),2,IF(H791&gt;=განმარტება!$B$5,3,4)))</f>
        <v>4</v>
      </c>
      <c r="C791" s="6" t="s">
        <v>15</v>
      </c>
      <c r="D791" s="6" t="s">
        <v>4007</v>
      </c>
      <c r="E791" s="7" t="s">
        <v>4008</v>
      </c>
      <c r="F791" s="7" t="n">
        <v>4005</v>
      </c>
      <c r="G791" s="6" t="s">
        <v>61</v>
      </c>
      <c r="H791" s="8" t="n">
        <v>619</v>
      </c>
      <c r="I791" s="8" t="n">
        <v>0</v>
      </c>
      <c r="J791" s="7" t="n">
        <v>0</v>
      </c>
      <c r="K791" s="9" t="s">
        <v>4009</v>
      </c>
      <c r="L791" s="6" t="s">
        <v>4010</v>
      </c>
      <c r="M791" s="6" t="s">
        <v>4011</v>
      </c>
      <c r="N791" s="10"/>
      <c r="O791" s="4" t="str">
        <f aca="false">IF(N791="","",LEN(N791))</f>
        <v/>
      </c>
    </row>
    <row r="792" customFormat="false" ht="39" hidden="false" customHeight="true" outlineLevel="0" collapsed="false">
      <c r="A792" s="4" t="n">
        <v>791</v>
      </c>
      <c r="B792" s="5" t="n">
        <f aca="false">IF(OR(C792="სხვა მოდელი წერია",I792&gt;=განმარტება!$B$4),1,IF(OR(C792="ცარიელი",I792&gt;=1),2,IF(H792&gt;=განმარტება!$B$5,3,4)))</f>
        <v>4</v>
      </c>
      <c r="C792" s="6" t="s">
        <v>15</v>
      </c>
      <c r="D792" s="6" t="s">
        <v>4012</v>
      </c>
      <c r="E792" s="7" t="s">
        <v>4013</v>
      </c>
      <c r="F792" s="7" t="n">
        <v>3979</v>
      </c>
      <c r="G792" s="6" t="s">
        <v>61</v>
      </c>
      <c r="H792" s="8" t="n">
        <v>619</v>
      </c>
      <c r="I792" s="8" t="n">
        <v>0</v>
      </c>
      <c r="J792" s="7" t="n">
        <v>0</v>
      </c>
      <c r="K792" s="9" t="s">
        <v>4014</v>
      </c>
      <c r="L792" s="6" t="s">
        <v>4015</v>
      </c>
      <c r="M792" s="6" t="s">
        <v>4016</v>
      </c>
      <c r="N792" s="10"/>
      <c r="O792" s="4" t="str">
        <f aca="false">IF(N792="","",LEN(N792))</f>
        <v/>
      </c>
    </row>
    <row r="793" customFormat="false" ht="51.75" hidden="false" customHeight="true" outlineLevel="0" collapsed="false">
      <c r="A793" s="4" t="n">
        <v>792</v>
      </c>
      <c r="B793" s="5" t="n">
        <f aca="false">IF(OR(C793="სხვა მოდელი წერია",I793&gt;=განმარტება!$B$4),1,IF(OR(C793="ცარიელი",I793&gt;=1),2,IF(H793&gt;=განმარტება!$B$5,3,4)))</f>
        <v>4</v>
      </c>
      <c r="C793" s="6" t="s">
        <v>15</v>
      </c>
      <c r="D793" s="6" t="s">
        <v>4017</v>
      </c>
      <c r="E793" s="7" t="s">
        <v>4018</v>
      </c>
      <c r="F793" s="7" t="n">
        <v>3763</v>
      </c>
      <c r="G793" s="6" t="s">
        <v>134</v>
      </c>
      <c r="H793" s="8" t="n">
        <v>619</v>
      </c>
      <c r="I793" s="8" t="n">
        <v>0</v>
      </c>
      <c r="J793" s="7" t="n">
        <v>0</v>
      </c>
      <c r="K793" s="9" t="s">
        <v>4019</v>
      </c>
      <c r="L793" s="6" t="s">
        <v>4020</v>
      </c>
      <c r="M793" s="6" t="s">
        <v>4021</v>
      </c>
      <c r="N793" s="10"/>
      <c r="O793" s="4" t="str">
        <f aca="false">IF(N793="","",LEN(N793))</f>
        <v/>
      </c>
    </row>
    <row r="794" customFormat="false" ht="77.25" hidden="false" customHeight="true" outlineLevel="0" collapsed="false">
      <c r="A794" s="4" t="n">
        <v>793</v>
      </c>
      <c r="B794" s="5" t="n">
        <f aca="false">IF(OR(C794="სხვა მოდელი წერია",I794&gt;=განმარტება!$B$4),1,IF(OR(C794="ცარიელი",I794&gt;=1),2,IF(H794&gt;=განმარტება!$B$5,3,4)))</f>
        <v>4</v>
      </c>
      <c r="C794" s="6" t="s">
        <v>15</v>
      </c>
      <c r="D794" s="6" t="s">
        <v>4022</v>
      </c>
      <c r="E794" s="7" t="s">
        <v>4023</v>
      </c>
      <c r="F794" s="7" t="n">
        <v>3135</v>
      </c>
      <c r="G794" s="6" t="s">
        <v>1418</v>
      </c>
      <c r="H794" s="8" t="n">
        <v>605</v>
      </c>
      <c r="I794" s="8" t="n">
        <v>0</v>
      </c>
      <c r="J794" s="7" t="n">
        <v>0</v>
      </c>
      <c r="K794" s="9" t="s">
        <v>4024</v>
      </c>
      <c r="L794" s="6" t="s">
        <v>4025</v>
      </c>
      <c r="M794" s="6" t="s">
        <v>4026</v>
      </c>
      <c r="N794" s="10"/>
      <c r="O794" s="4" t="str">
        <f aca="false">IF(N794="","",LEN(N794))</f>
        <v/>
      </c>
    </row>
    <row r="795" customFormat="false" ht="39" hidden="false" customHeight="true" outlineLevel="0" collapsed="false">
      <c r="A795" s="4" t="n">
        <v>794</v>
      </c>
      <c r="B795" s="5" t="n">
        <f aca="false">IF(OR(C795="სხვა მოდელი წერია",I795&gt;=განმარტება!$B$4),1,IF(OR(C795="ცარიელი",I795&gt;=1),2,IF(H795&gt;=განმარტება!$B$5,3,4)))</f>
        <v>4</v>
      </c>
      <c r="C795" s="6" t="s">
        <v>15</v>
      </c>
      <c r="D795" s="6" t="s">
        <v>4027</v>
      </c>
      <c r="E795" s="7" t="s">
        <v>4028</v>
      </c>
      <c r="F795" s="7" t="n">
        <v>767</v>
      </c>
      <c r="G795" s="6" t="s">
        <v>302</v>
      </c>
      <c r="H795" s="8" t="n">
        <v>600</v>
      </c>
      <c r="I795" s="8" t="n">
        <v>0</v>
      </c>
      <c r="J795" s="7" t="n">
        <v>0</v>
      </c>
      <c r="K795" s="9" t="s">
        <v>4029</v>
      </c>
      <c r="L795" s="6" t="s">
        <v>4030</v>
      </c>
      <c r="M795" s="6" t="s">
        <v>4031</v>
      </c>
      <c r="N795" s="10"/>
      <c r="O795" s="4" t="str">
        <f aca="false">IF(N795="","",LEN(N795))</f>
        <v/>
      </c>
    </row>
    <row r="796" customFormat="false" ht="39" hidden="false" customHeight="true" outlineLevel="0" collapsed="false">
      <c r="A796" s="4" t="n">
        <v>795</v>
      </c>
      <c r="B796" s="5" t="n">
        <f aca="false">IF(OR(C796="სხვა მოდელი წერია",I796&gt;=განმარტება!$B$4),1,IF(OR(C796="ცარიელი",I796&gt;=1),2,IF(H796&gt;=განმარტება!$B$5,3,4)))</f>
        <v>4</v>
      </c>
      <c r="C796" s="6" t="s">
        <v>15</v>
      </c>
      <c r="D796" s="6" t="s">
        <v>4032</v>
      </c>
      <c r="E796" s="7" t="s">
        <v>4033</v>
      </c>
      <c r="F796" s="7" t="n">
        <v>2909</v>
      </c>
      <c r="G796" s="6" t="s">
        <v>42</v>
      </c>
      <c r="H796" s="8" t="n">
        <v>599</v>
      </c>
      <c r="I796" s="8" t="n">
        <v>0</v>
      </c>
      <c r="J796" s="7" t="n">
        <v>0</v>
      </c>
      <c r="K796" s="9" t="s">
        <v>4034</v>
      </c>
      <c r="L796" s="6" t="s">
        <v>4035</v>
      </c>
      <c r="M796" s="6" t="s">
        <v>4036</v>
      </c>
      <c r="N796" s="10"/>
      <c r="O796" s="4" t="str">
        <f aca="false">IF(N796="","",LEN(N796))</f>
        <v/>
      </c>
    </row>
    <row r="797" customFormat="false" ht="39" hidden="false" customHeight="true" outlineLevel="0" collapsed="false">
      <c r="A797" s="4" t="n">
        <v>796</v>
      </c>
      <c r="B797" s="5" t="n">
        <f aca="false">IF(OR(C797="სხვა მოდელი წერია",I797&gt;=განმარტება!$B$4),1,IF(OR(C797="ცარიელი",I797&gt;=1),2,IF(H797&gt;=განმარტება!$B$5,3,4)))</f>
        <v>4</v>
      </c>
      <c r="C797" s="6" t="s">
        <v>15</v>
      </c>
      <c r="D797" s="6" t="s">
        <v>4037</v>
      </c>
      <c r="E797" s="7" t="s">
        <v>4038</v>
      </c>
      <c r="F797" s="7" t="n">
        <v>4033</v>
      </c>
      <c r="G797" s="6" t="s">
        <v>42</v>
      </c>
      <c r="H797" s="8" t="n">
        <v>599</v>
      </c>
      <c r="I797" s="8" t="n">
        <v>0</v>
      </c>
      <c r="J797" s="7" t="n">
        <v>0</v>
      </c>
      <c r="K797" s="9" t="s">
        <v>4039</v>
      </c>
      <c r="L797" s="6" t="s">
        <v>4040</v>
      </c>
      <c r="M797" s="6" t="s">
        <v>4041</v>
      </c>
      <c r="N797" s="10"/>
      <c r="O797" s="4" t="str">
        <f aca="false">IF(N797="","",LEN(N797))</f>
        <v/>
      </c>
    </row>
    <row r="798" customFormat="false" ht="39" hidden="false" customHeight="true" outlineLevel="0" collapsed="false">
      <c r="A798" s="4" t="n">
        <v>797</v>
      </c>
      <c r="B798" s="5" t="n">
        <f aca="false">IF(OR(C798="სხვა მოდელი წერია",I798&gt;=განმარტება!$B$4),1,IF(OR(C798="ცარიელი",I798&gt;=1),2,IF(H798&gt;=განმარტება!$B$5,3,4)))</f>
        <v>4</v>
      </c>
      <c r="C798" s="6" t="s">
        <v>15</v>
      </c>
      <c r="D798" s="6" t="s">
        <v>4042</v>
      </c>
      <c r="E798" s="7" t="s">
        <v>4043</v>
      </c>
      <c r="F798" s="7" t="n">
        <v>3154</v>
      </c>
      <c r="G798" s="6" t="s">
        <v>42</v>
      </c>
      <c r="H798" s="8" t="n">
        <v>599</v>
      </c>
      <c r="I798" s="8" t="n">
        <v>0</v>
      </c>
      <c r="J798" s="7" t="n">
        <v>0</v>
      </c>
      <c r="K798" s="9" t="s">
        <v>4044</v>
      </c>
      <c r="L798" s="6" t="s">
        <v>4045</v>
      </c>
      <c r="M798" s="6" t="s">
        <v>4046</v>
      </c>
      <c r="N798" s="10"/>
      <c r="O798" s="4" t="str">
        <f aca="false">IF(N798="","",LEN(N798))</f>
        <v/>
      </c>
    </row>
    <row r="799" customFormat="false" ht="39" hidden="false" customHeight="true" outlineLevel="0" collapsed="false">
      <c r="A799" s="4" t="n">
        <v>798</v>
      </c>
      <c r="B799" s="5" t="n">
        <f aca="false">IF(OR(C799="სხვა მოდელი წერია",I799&gt;=განმარტება!$B$4),1,IF(OR(C799="ცარიელი",I799&gt;=1),2,IF(H799&gt;=განმარტება!$B$5,3,4)))</f>
        <v>4</v>
      </c>
      <c r="C799" s="6" t="s">
        <v>15</v>
      </c>
      <c r="D799" s="6" t="s">
        <v>4047</v>
      </c>
      <c r="E799" s="7" t="s">
        <v>4048</v>
      </c>
      <c r="F799" s="7" t="n">
        <v>1630</v>
      </c>
      <c r="G799" s="6" t="s">
        <v>285</v>
      </c>
      <c r="H799" s="8" t="n">
        <v>599</v>
      </c>
      <c r="I799" s="8" t="n">
        <v>0</v>
      </c>
      <c r="J799" s="7" t="n">
        <v>0</v>
      </c>
      <c r="K799" s="9" t="s">
        <v>4049</v>
      </c>
      <c r="L799" s="6" t="s">
        <v>4050</v>
      </c>
      <c r="M799" s="6" t="s">
        <v>4051</v>
      </c>
      <c r="N799" s="10"/>
      <c r="O799" s="4" t="str">
        <f aca="false">IF(N799="","",LEN(N799))</f>
        <v/>
      </c>
    </row>
    <row r="800" customFormat="false" ht="39" hidden="false" customHeight="true" outlineLevel="0" collapsed="false">
      <c r="A800" s="4" t="n">
        <v>799</v>
      </c>
      <c r="B800" s="5" t="n">
        <f aca="false">IF(OR(C800="სხვა მოდელი წერია",I800&gt;=განმარტება!$B$4),1,IF(OR(C800="ცარიელი",I800&gt;=1),2,IF(H800&gt;=განმარტება!$B$5,3,4)))</f>
        <v>4</v>
      </c>
      <c r="C800" s="6" t="s">
        <v>316</v>
      </c>
      <c r="D800" s="6" t="s">
        <v>4052</v>
      </c>
      <c r="E800" s="7" t="s">
        <v>4053</v>
      </c>
      <c r="F800" s="7" t="n">
        <v>3351</v>
      </c>
      <c r="G800" s="6" t="s">
        <v>285</v>
      </c>
      <c r="H800" s="8" t="n">
        <v>599</v>
      </c>
      <c r="I800" s="8" t="n">
        <v>0</v>
      </c>
      <c r="J800" s="7" t="n">
        <v>0</v>
      </c>
      <c r="K800" s="9" t="s">
        <v>4054</v>
      </c>
      <c r="L800" s="6" t="s">
        <v>4055</v>
      </c>
      <c r="M800" s="6" t="s">
        <v>4056</v>
      </c>
      <c r="N800" s="10"/>
      <c r="O800" s="4" t="str">
        <f aca="false">IF(N800="","",LEN(N800))</f>
        <v/>
      </c>
    </row>
    <row r="801" customFormat="false" ht="39" hidden="false" customHeight="true" outlineLevel="0" collapsed="false">
      <c r="A801" s="4" t="n">
        <v>800</v>
      </c>
      <c r="B801" s="5" t="n">
        <f aca="false">IF(OR(C801="სხვა მოდელი წერია",I801&gt;=განმარტება!$B$4),1,IF(OR(C801="ცარიელი",I801&gt;=1),2,IF(H801&gt;=განმარტება!$B$5,3,4)))</f>
        <v>4</v>
      </c>
      <c r="C801" s="6" t="s">
        <v>15</v>
      </c>
      <c r="D801" s="6" t="s">
        <v>4057</v>
      </c>
      <c r="E801" s="7" t="s">
        <v>4058</v>
      </c>
      <c r="F801" s="7" t="n">
        <v>2945</v>
      </c>
      <c r="G801" s="6" t="s">
        <v>112</v>
      </c>
      <c r="H801" s="8" t="n">
        <v>599</v>
      </c>
      <c r="I801" s="8" t="n">
        <v>0</v>
      </c>
      <c r="J801" s="7" t="n">
        <v>0</v>
      </c>
      <c r="K801" s="9" t="s">
        <v>4059</v>
      </c>
      <c r="L801" s="6" t="s">
        <v>4060</v>
      </c>
      <c r="M801" s="6" t="s">
        <v>4061</v>
      </c>
      <c r="N801" s="10"/>
      <c r="O801" s="4" t="str">
        <f aca="false">IF(N801="","",LEN(N801))</f>
        <v/>
      </c>
    </row>
    <row r="802" customFormat="false" ht="39" hidden="false" customHeight="true" outlineLevel="0" collapsed="false">
      <c r="A802" s="4" t="n">
        <v>801</v>
      </c>
      <c r="B802" s="5" t="n">
        <f aca="false">IF(OR(C802="სხვა მოდელი წერია",I802&gt;=განმარტება!$B$4),1,IF(OR(C802="ცარიელი",I802&gt;=1),2,IF(H802&gt;=განმარტება!$B$5,3,4)))</f>
        <v>4</v>
      </c>
      <c r="C802" s="6" t="s">
        <v>15</v>
      </c>
      <c r="D802" s="6" t="s">
        <v>4062</v>
      </c>
      <c r="E802" s="7" t="s">
        <v>4063</v>
      </c>
      <c r="F802" s="7" t="n">
        <v>576</v>
      </c>
      <c r="G802" s="6" t="s">
        <v>24</v>
      </c>
      <c r="H802" s="8" t="n">
        <v>599</v>
      </c>
      <c r="I802" s="8" t="n">
        <v>0</v>
      </c>
      <c r="J802" s="7" t="n">
        <v>0</v>
      </c>
      <c r="K802" s="9" t="s">
        <v>4064</v>
      </c>
      <c r="L802" s="6" t="s">
        <v>4065</v>
      </c>
      <c r="M802" s="6" t="s">
        <v>4066</v>
      </c>
      <c r="N802" s="10"/>
      <c r="O802" s="4" t="str">
        <f aca="false">IF(N802="","",LEN(N802))</f>
        <v/>
      </c>
    </row>
    <row r="803" customFormat="false" ht="39" hidden="false" customHeight="true" outlineLevel="0" collapsed="false">
      <c r="A803" s="4" t="n">
        <v>802</v>
      </c>
      <c r="B803" s="5" t="n">
        <f aca="false">IF(OR(C803="სხვა მოდელი წერია",I803&gt;=განმარტება!$B$4),1,IF(OR(C803="ცარიელი",I803&gt;=1),2,IF(H803&gt;=განმარტება!$B$5,3,4)))</f>
        <v>4</v>
      </c>
      <c r="C803" s="6" t="s">
        <v>15</v>
      </c>
      <c r="D803" s="6" t="s">
        <v>4067</v>
      </c>
      <c r="E803" s="7" t="s">
        <v>4068</v>
      </c>
      <c r="F803" s="7" t="n">
        <v>3777</v>
      </c>
      <c r="G803" s="6" t="s">
        <v>118</v>
      </c>
      <c r="H803" s="8" t="n">
        <v>599</v>
      </c>
      <c r="I803" s="8" t="n">
        <v>0</v>
      </c>
      <c r="J803" s="7" t="n">
        <v>0</v>
      </c>
      <c r="K803" s="9" t="s">
        <v>4069</v>
      </c>
      <c r="L803" s="6" t="s">
        <v>4070</v>
      </c>
      <c r="M803" s="6" t="s">
        <v>4071</v>
      </c>
      <c r="N803" s="10"/>
      <c r="O803" s="4" t="str">
        <f aca="false">IF(N803="","",LEN(N803))</f>
        <v/>
      </c>
    </row>
    <row r="804" customFormat="false" ht="39" hidden="false" customHeight="true" outlineLevel="0" collapsed="false">
      <c r="A804" s="4" t="n">
        <v>803</v>
      </c>
      <c r="B804" s="5" t="n">
        <f aca="false">IF(OR(C804="სხვა მოდელი წერია",I804&gt;=განმარტება!$B$4),1,IF(OR(C804="ცარიელი",I804&gt;=1),2,IF(H804&gt;=განმარტება!$B$5,3,4)))</f>
        <v>4</v>
      </c>
      <c r="C804" s="6" t="s">
        <v>15</v>
      </c>
      <c r="D804" s="6" t="s">
        <v>4072</v>
      </c>
      <c r="E804" s="7" t="s">
        <v>4073</v>
      </c>
      <c r="F804" s="7" t="n">
        <v>1456</v>
      </c>
      <c r="G804" s="6" t="s">
        <v>205</v>
      </c>
      <c r="H804" s="8" t="n">
        <v>599</v>
      </c>
      <c r="I804" s="8" t="n">
        <v>0</v>
      </c>
      <c r="J804" s="7" t="n">
        <v>0</v>
      </c>
      <c r="K804" s="9" t="s">
        <v>4074</v>
      </c>
      <c r="L804" s="6" t="s">
        <v>4075</v>
      </c>
      <c r="M804" s="6" t="s">
        <v>4076</v>
      </c>
      <c r="N804" s="10"/>
      <c r="O804" s="4" t="str">
        <f aca="false">IF(N804="","",LEN(N804))</f>
        <v/>
      </c>
    </row>
    <row r="805" customFormat="false" ht="51.75" hidden="false" customHeight="true" outlineLevel="0" collapsed="false">
      <c r="A805" s="4" t="n">
        <v>804</v>
      </c>
      <c r="B805" s="5" t="n">
        <f aca="false">IF(OR(C805="სხვა მოდელი წერია",I805&gt;=განმარტება!$B$4),1,IF(OR(C805="ცარიელი",I805&gt;=1),2,IF(H805&gt;=განმარტება!$B$5,3,4)))</f>
        <v>4</v>
      </c>
      <c r="C805" s="6" t="s">
        <v>15</v>
      </c>
      <c r="D805" s="6" t="s">
        <v>4077</v>
      </c>
      <c r="E805" s="7" t="s">
        <v>4078</v>
      </c>
      <c r="F805" s="7" t="n">
        <v>2734</v>
      </c>
      <c r="G805" s="6" t="s">
        <v>134</v>
      </c>
      <c r="H805" s="8" t="n">
        <v>599</v>
      </c>
      <c r="I805" s="8" t="n">
        <v>0</v>
      </c>
      <c r="J805" s="7" t="n">
        <v>0</v>
      </c>
      <c r="K805" s="9" t="s">
        <v>4079</v>
      </c>
      <c r="L805" s="6" t="s">
        <v>4080</v>
      </c>
      <c r="M805" s="6" t="s">
        <v>4081</v>
      </c>
      <c r="N805" s="10"/>
      <c r="O805" s="4" t="str">
        <f aca="false">IF(N805="","",LEN(N805))</f>
        <v/>
      </c>
    </row>
    <row r="806" customFormat="false" ht="51.75" hidden="false" customHeight="true" outlineLevel="0" collapsed="false">
      <c r="A806" s="4" t="n">
        <v>805</v>
      </c>
      <c r="B806" s="5" t="n">
        <f aca="false">IF(OR(C806="სხვა მოდელი წერია",I806&gt;=განმარტება!$B$4),1,IF(OR(C806="ცარიელი",I806&gt;=1),2,IF(H806&gt;=განმარტება!$B$5,3,4)))</f>
        <v>4</v>
      </c>
      <c r="C806" s="6" t="s">
        <v>15</v>
      </c>
      <c r="D806" s="6" t="s">
        <v>4082</v>
      </c>
      <c r="E806" s="7" t="s">
        <v>4083</v>
      </c>
      <c r="F806" s="7" t="n">
        <v>3890</v>
      </c>
      <c r="G806" s="6" t="s">
        <v>134</v>
      </c>
      <c r="H806" s="8" t="n">
        <v>599</v>
      </c>
      <c r="I806" s="8" t="n">
        <v>0</v>
      </c>
      <c r="J806" s="7" t="n">
        <v>0</v>
      </c>
      <c r="K806" s="9" t="s">
        <v>4084</v>
      </c>
      <c r="L806" s="6" t="s">
        <v>4085</v>
      </c>
      <c r="M806" s="6" t="s">
        <v>4086</v>
      </c>
      <c r="N806" s="10"/>
      <c r="O806" s="4" t="str">
        <f aca="false">IF(N806="","",LEN(N806))</f>
        <v/>
      </c>
    </row>
    <row r="807" customFormat="false" ht="39" hidden="false" customHeight="true" outlineLevel="0" collapsed="false">
      <c r="A807" s="4" t="n">
        <v>806</v>
      </c>
      <c r="B807" s="5" t="n">
        <f aca="false">IF(OR(C807="სხვა მოდელი წერია",I807&gt;=განმარტება!$B$4),1,IF(OR(C807="ცარიელი",I807&gt;=1),2,IF(H807&gt;=განმარტება!$B$5,3,4)))</f>
        <v>4</v>
      </c>
      <c r="C807" s="6" t="s">
        <v>15</v>
      </c>
      <c r="D807" s="6" t="s">
        <v>4087</v>
      </c>
      <c r="E807" s="7" t="s">
        <v>4088</v>
      </c>
      <c r="F807" s="7" t="n">
        <v>2932</v>
      </c>
      <c r="G807" s="6" t="s">
        <v>402</v>
      </c>
      <c r="H807" s="8" t="n">
        <v>595</v>
      </c>
      <c r="I807" s="8" t="n">
        <v>0</v>
      </c>
      <c r="J807" s="7" t="n">
        <v>0</v>
      </c>
      <c r="K807" s="9" t="s">
        <v>4089</v>
      </c>
      <c r="L807" s="6" t="s">
        <v>4090</v>
      </c>
      <c r="M807" s="6" t="s">
        <v>4091</v>
      </c>
      <c r="N807" s="10"/>
      <c r="O807" s="4" t="str">
        <f aca="false">IF(N807="","",LEN(N807))</f>
        <v/>
      </c>
    </row>
    <row r="808" customFormat="false" ht="39" hidden="false" customHeight="true" outlineLevel="0" collapsed="false">
      <c r="A808" s="4" t="n">
        <v>807</v>
      </c>
      <c r="B808" s="5" t="n">
        <f aca="false">IF(OR(C808="სხვა მოდელი წერია",I808&gt;=განმარტება!$B$4),1,IF(OR(C808="ცარიელი",I808&gt;=1),2,IF(H808&gt;=განმარტება!$B$5,3,4)))</f>
        <v>4</v>
      </c>
      <c r="C808" s="6" t="s">
        <v>15</v>
      </c>
      <c r="D808" s="6" t="s">
        <v>4092</v>
      </c>
      <c r="E808" s="7" t="s">
        <v>4093</v>
      </c>
      <c r="F808" s="7" t="n">
        <v>1907</v>
      </c>
      <c r="G808" s="6" t="s">
        <v>24</v>
      </c>
      <c r="H808" s="8" t="n">
        <v>589</v>
      </c>
      <c r="I808" s="8" t="n">
        <v>0</v>
      </c>
      <c r="J808" s="7" t="n">
        <v>0</v>
      </c>
      <c r="K808" s="9" t="s">
        <v>4094</v>
      </c>
      <c r="L808" s="6" t="s">
        <v>4095</v>
      </c>
      <c r="M808" s="6" t="s">
        <v>4096</v>
      </c>
      <c r="N808" s="10"/>
      <c r="O808" s="4" t="str">
        <f aca="false">IF(N808="","",LEN(N808))</f>
        <v/>
      </c>
    </row>
    <row r="809" customFormat="false" ht="39" hidden="false" customHeight="true" outlineLevel="0" collapsed="false">
      <c r="A809" s="4" t="n">
        <v>808</v>
      </c>
      <c r="B809" s="5" t="n">
        <f aca="false">IF(OR(C809="სხვა მოდელი წერია",I809&gt;=განმარტება!$B$4),1,IF(OR(C809="ცარიელი",I809&gt;=1),2,IF(H809&gt;=განმარტება!$B$5,3,4)))</f>
        <v>4</v>
      </c>
      <c r="C809" s="6" t="s">
        <v>15</v>
      </c>
      <c r="D809" s="6" t="s">
        <v>4097</v>
      </c>
      <c r="E809" s="7" t="s">
        <v>4098</v>
      </c>
      <c r="F809" s="7" t="n">
        <v>2133</v>
      </c>
      <c r="G809" s="6" t="s">
        <v>18</v>
      </c>
      <c r="H809" s="8" t="n">
        <v>579</v>
      </c>
      <c r="I809" s="8" t="n">
        <v>0</v>
      </c>
      <c r="J809" s="7" t="n">
        <v>0</v>
      </c>
      <c r="K809" s="9" t="s">
        <v>4099</v>
      </c>
      <c r="L809" s="6" t="s">
        <v>4100</v>
      </c>
      <c r="M809" s="6" t="s">
        <v>4101</v>
      </c>
      <c r="N809" s="10"/>
      <c r="O809" s="4" t="str">
        <f aca="false">IF(N809="","",LEN(N809))</f>
        <v/>
      </c>
    </row>
    <row r="810" customFormat="false" ht="39" hidden="false" customHeight="true" outlineLevel="0" collapsed="false">
      <c r="A810" s="4" t="n">
        <v>809</v>
      </c>
      <c r="B810" s="5" t="n">
        <f aca="false">IF(OR(C810="სხვა მოდელი წერია",I810&gt;=განმარტება!$B$4),1,IF(OR(C810="ცარიელი",I810&gt;=1),2,IF(H810&gt;=განმარტება!$B$5,3,4)))</f>
        <v>4</v>
      </c>
      <c r="C810" s="6" t="s">
        <v>15</v>
      </c>
      <c r="D810" s="6" t="s">
        <v>4102</v>
      </c>
      <c r="E810" s="7" t="s">
        <v>4103</v>
      </c>
      <c r="F810" s="7" t="n">
        <v>2005</v>
      </c>
      <c r="G810" s="6" t="s">
        <v>1994</v>
      </c>
      <c r="H810" s="8" t="n">
        <v>579</v>
      </c>
      <c r="I810" s="8" t="n">
        <v>0</v>
      </c>
      <c r="J810" s="7" t="n">
        <v>0</v>
      </c>
      <c r="K810" s="9" t="s">
        <v>4104</v>
      </c>
      <c r="L810" s="6" t="s">
        <v>4105</v>
      </c>
      <c r="M810" s="6" t="s">
        <v>4106</v>
      </c>
      <c r="N810" s="10"/>
      <c r="O810" s="4" t="str">
        <f aca="false">IF(N810="","",LEN(N810))</f>
        <v/>
      </c>
    </row>
    <row r="811" customFormat="false" ht="51.75" hidden="false" customHeight="true" outlineLevel="0" collapsed="false">
      <c r="A811" s="4" t="n">
        <v>810</v>
      </c>
      <c r="B811" s="5" t="n">
        <f aca="false">IF(OR(C811="სხვა მოდელი წერია",I811&gt;=განმარტება!$B$4),1,IF(OR(C811="ცარიელი",I811&gt;=1),2,IF(H811&gt;=განმარტება!$B$5,3,4)))</f>
        <v>4</v>
      </c>
      <c r="C811" s="6" t="s">
        <v>316</v>
      </c>
      <c r="D811" s="6" t="s">
        <v>4107</v>
      </c>
      <c r="E811" s="7" t="s">
        <v>4108</v>
      </c>
      <c r="F811" s="7" t="n">
        <v>2189</v>
      </c>
      <c r="G811" s="6" t="s">
        <v>4109</v>
      </c>
      <c r="H811" s="8" t="n">
        <v>579</v>
      </c>
      <c r="I811" s="8" t="n">
        <v>0</v>
      </c>
      <c r="J811" s="7" t="n">
        <v>0</v>
      </c>
      <c r="K811" s="9" t="s">
        <v>4110</v>
      </c>
      <c r="L811" s="6" t="s">
        <v>4111</v>
      </c>
      <c r="M811" s="6" t="s">
        <v>4112</v>
      </c>
      <c r="N811" s="10"/>
      <c r="O811" s="4" t="str">
        <f aca="false">IF(N811="","",LEN(N811))</f>
        <v/>
      </c>
    </row>
    <row r="812" customFormat="false" ht="39" hidden="false" customHeight="true" outlineLevel="0" collapsed="false">
      <c r="A812" s="4" t="n">
        <v>811</v>
      </c>
      <c r="B812" s="5" t="n">
        <f aca="false">IF(OR(C812="სხვა მოდელი წერია",I812&gt;=განმარტება!$B$4),1,IF(OR(C812="ცარიელი",I812&gt;=1),2,IF(H812&gt;=განმარტება!$B$5,3,4)))</f>
        <v>4</v>
      </c>
      <c r="C812" s="6" t="s">
        <v>15</v>
      </c>
      <c r="D812" s="6" t="s">
        <v>4113</v>
      </c>
      <c r="E812" s="7" t="s">
        <v>4114</v>
      </c>
      <c r="F812" s="7" t="n">
        <v>2147</v>
      </c>
      <c r="G812" s="6" t="s">
        <v>18</v>
      </c>
      <c r="H812" s="8" t="n">
        <v>578</v>
      </c>
      <c r="I812" s="8" t="n">
        <v>0</v>
      </c>
      <c r="J812" s="7" t="n">
        <v>0</v>
      </c>
      <c r="K812" s="9" t="s">
        <v>4115</v>
      </c>
      <c r="L812" s="6" t="s">
        <v>4116</v>
      </c>
      <c r="M812" s="6" t="s">
        <v>4117</v>
      </c>
      <c r="N812" s="10"/>
      <c r="O812" s="4" t="str">
        <f aca="false">IF(N812="","",LEN(N812))</f>
        <v/>
      </c>
    </row>
    <row r="813" customFormat="false" ht="51.75" hidden="false" customHeight="true" outlineLevel="0" collapsed="false">
      <c r="A813" s="4" t="n">
        <v>812</v>
      </c>
      <c r="B813" s="5" t="n">
        <f aca="false">IF(OR(C813="სხვა მოდელი წერია",I813&gt;=განმარტება!$B$4),1,IF(OR(C813="ცარიელი",I813&gt;=1),2,IF(H813&gt;=განმარტება!$B$5,3,4)))</f>
        <v>4</v>
      </c>
      <c r="C813" s="6" t="s">
        <v>15</v>
      </c>
      <c r="D813" s="6" t="s">
        <v>4118</v>
      </c>
      <c r="E813" s="7" t="s">
        <v>4119</v>
      </c>
      <c r="F813" s="7" t="n">
        <v>707</v>
      </c>
      <c r="G813" s="6" t="s">
        <v>30</v>
      </c>
      <c r="H813" s="8" t="n">
        <v>570</v>
      </c>
      <c r="I813" s="8" t="n">
        <v>0</v>
      </c>
      <c r="J813" s="7" t="n">
        <v>0</v>
      </c>
      <c r="K813" s="9" t="s">
        <v>4120</v>
      </c>
      <c r="L813" s="6" t="s">
        <v>4121</v>
      </c>
      <c r="M813" s="6" t="s">
        <v>4122</v>
      </c>
      <c r="N813" s="10"/>
      <c r="O813" s="4" t="str">
        <f aca="false">IF(N813="","",LEN(N813))</f>
        <v/>
      </c>
    </row>
    <row r="814" customFormat="false" ht="39" hidden="false" customHeight="true" outlineLevel="0" collapsed="false">
      <c r="A814" s="4" t="n">
        <v>813</v>
      </c>
      <c r="B814" s="5" t="n">
        <f aca="false">IF(OR(C814="სხვა მოდელი წერია",I814&gt;=განმარტება!$B$4),1,IF(OR(C814="ცარიელი",I814&gt;=1),2,IF(H814&gt;=განმარტება!$B$5,3,4)))</f>
        <v>4</v>
      </c>
      <c r="C814" s="6" t="s">
        <v>15</v>
      </c>
      <c r="D814" s="6" t="s">
        <v>4123</v>
      </c>
      <c r="E814" s="7" t="s">
        <v>4124</v>
      </c>
      <c r="F814" s="7" t="n">
        <v>756</v>
      </c>
      <c r="G814" s="6" t="s">
        <v>302</v>
      </c>
      <c r="H814" s="8" t="n">
        <v>570</v>
      </c>
      <c r="I814" s="8" t="n">
        <v>0</v>
      </c>
      <c r="J814" s="7" t="n">
        <v>0</v>
      </c>
      <c r="K814" s="9" t="s">
        <v>4125</v>
      </c>
      <c r="L814" s="6" t="s">
        <v>4126</v>
      </c>
      <c r="M814" s="6" t="s">
        <v>4127</v>
      </c>
      <c r="N814" s="10"/>
      <c r="O814" s="4" t="str">
        <f aca="false">IF(N814="","",LEN(N814))</f>
        <v/>
      </c>
    </row>
    <row r="815" customFormat="false" ht="51.75" hidden="false" customHeight="true" outlineLevel="0" collapsed="false">
      <c r="A815" s="4" t="n">
        <v>814</v>
      </c>
      <c r="B815" s="5" t="n">
        <f aca="false">IF(OR(C815="სხვა მოდელი წერია",I815&gt;=განმარტება!$B$4),1,IF(OR(C815="ცარიელი",I815&gt;=1),2,IF(H815&gt;=განმარტება!$B$5,3,4)))</f>
        <v>4</v>
      </c>
      <c r="C815" s="6" t="s">
        <v>15</v>
      </c>
      <c r="D815" s="6" t="s">
        <v>4128</v>
      </c>
      <c r="E815" s="7" t="s">
        <v>4129</v>
      </c>
      <c r="F815" s="7" t="n">
        <v>839</v>
      </c>
      <c r="G815" s="6" t="s">
        <v>134</v>
      </c>
      <c r="H815" s="8" t="n">
        <v>561</v>
      </c>
      <c r="I815" s="8" t="n">
        <v>0</v>
      </c>
      <c r="J815" s="7" t="n">
        <v>0</v>
      </c>
      <c r="K815" s="9" t="s">
        <v>4130</v>
      </c>
      <c r="L815" s="6" t="s">
        <v>4131</v>
      </c>
      <c r="M815" s="6" t="s">
        <v>4132</v>
      </c>
      <c r="N815" s="10"/>
      <c r="O815" s="4" t="str">
        <f aca="false">IF(N815="","",LEN(N815))</f>
        <v/>
      </c>
    </row>
    <row r="816" customFormat="false" ht="51.75" hidden="false" customHeight="true" outlineLevel="0" collapsed="false">
      <c r="A816" s="4" t="n">
        <v>815</v>
      </c>
      <c r="B816" s="5" t="n">
        <f aca="false">IF(OR(C816="სხვა მოდელი წერია",I816&gt;=განმარტება!$B$4),1,IF(OR(C816="ცარიელი",I816&gt;=1),2,IF(H816&gt;=განმარტება!$B$5,3,4)))</f>
        <v>4</v>
      </c>
      <c r="C816" s="6" t="s">
        <v>15</v>
      </c>
      <c r="D816" s="6" t="s">
        <v>4133</v>
      </c>
      <c r="E816" s="7" t="s">
        <v>4134</v>
      </c>
      <c r="F816" s="7" t="n">
        <v>3433</v>
      </c>
      <c r="G816" s="6" t="s">
        <v>574</v>
      </c>
      <c r="H816" s="8" t="n">
        <v>561</v>
      </c>
      <c r="I816" s="8" t="n">
        <v>0</v>
      </c>
      <c r="J816" s="7" t="n">
        <v>0</v>
      </c>
      <c r="K816" s="9" t="s">
        <v>4135</v>
      </c>
      <c r="L816" s="6" t="s">
        <v>4136</v>
      </c>
      <c r="M816" s="6" t="s">
        <v>4137</v>
      </c>
      <c r="N816" s="10"/>
      <c r="O816" s="4" t="str">
        <f aca="false">IF(N816="","",LEN(N816))</f>
        <v/>
      </c>
    </row>
    <row r="817" customFormat="false" ht="39" hidden="false" customHeight="true" outlineLevel="0" collapsed="false">
      <c r="A817" s="4" t="n">
        <v>816</v>
      </c>
      <c r="B817" s="5" t="n">
        <f aca="false">IF(OR(C817="სხვა მოდელი წერია",I817&gt;=განმარტება!$B$4),1,IF(OR(C817="ცარიელი",I817&gt;=1),2,IF(H817&gt;=განმარტება!$B$5,3,4)))</f>
        <v>4</v>
      </c>
      <c r="C817" s="6" t="s">
        <v>15</v>
      </c>
      <c r="D817" s="6" t="s">
        <v>4138</v>
      </c>
      <c r="E817" s="7" t="s">
        <v>4139</v>
      </c>
      <c r="F817" s="7" t="n">
        <v>1628</v>
      </c>
      <c r="G817" s="6" t="s">
        <v>285</v>
      </c>
      <c r="H817" s="8" t="n">
        <v>560</v>
      </c>
      <c r="I817" s="8" t="n">
        <v>0</v>
      </c>
      <c r="J817" s="7" t="n">
        <v>0</v>
      </c>
      <c r="K817" s="9" t="s">
        <v>4140</v>
      </c>
      <c r="L817" s="6" t="s">
        <v>4141</v>
      </c>
      <c r="M817" s="6" t="s">
        <v>4142</v>
      </c>
      <c r="N817" s="10"/>
      <c r="O817" s="4" t="str">
        <f aca="false">IF(N817="","",LEN(N817))</f>
        <v/>
      </c>
    </row>
    <row r="818" customFormat="false" ht="77.25" hidden="false" customHeight="true" outlineLevel="0" collapsed="false">
      <c r="A818" s="4" t="n">
        <v>817</v>
      </c>
      <c r="B818" s="5" t="n">
        <f aca="false">IF(OR(C818="სხვა მოდელი წერია",I818&gt;=განმარტება!$B$4),1,IF(OR(C818="ცარიელი",I818&gt;=1),2,IF(H818&gt;=განმარტება!$B$5,3,4)))</f>
        <v>4</v>
      </c>
      <c r="C818" s="6" t="s">
        <v>15</v>
      </c>
      <c r="D818" s="6" t="s">
        <v>4143</v>
      </c>
      <c r="E818" s="7" t="s">
        <v>4144</v>
      </c>
      <c r="F818" s="7" t="n">
        <v>5085</v>
      </c>
      <c r="G818" s="6" t="s">
        <v>4145</v>
      </c>
      <c r="H818" s="8" t="n">
        <v>560</v>
      </c>
      <c r="I818" s="8" t="n">
        <v>0</v>
      </c>
      <c r="J818" s="7" t="n">
        <v>0</v>
      </c>
      <c r="K818" s="9" t="s">
        <v>4146</v>
      </c>
      <c r="L818" s="6" t="s">
        <v>4147</v>
      </c>
      <c r="M818" s="6" t="s">
        <v>4148</v>
      </c>
      <c r="N818" s="10"/>
      <c r="O818" s="4" t="str">
        <f aca="false">IF(N818="","",LEN(N818))</f>
        <v/>
      </c>
    </row>
    <row r="819" customFormat="false" ht="51.75" hidden="false" customHeight="true" outlineLevel="0" collapsed="false">
      <c r="A819" s="4" t="n">
        <v>818</v>
      </c>
      <c r="B819" s="5" t="n">
        <f aca="false">IF(OR(C819="სხვა მოდელი წერია",I819&gt;=განმარტება!$B$4),1,IF(OR(C819="ცარიელი",I819&gt;=1),2,IF(H819&gt;=განმარტება!$B$5,3,4)))</f>
        <v>4</v>
      </c>
      <c r="C819" s="6" t="s">
        <v>15</v>
      </c>
      <c r="D819" s="6" t="s">
        <v>4149</v>
      </c>
      <c r="E819" s="7" t="s">
        <v>4150</v>
      </c>
      <c r="F819" s="7" t="n">
        <v>1890</v>
      </c>
      <c r="G819" s="6" t="s">
        <v>595</v>
      </c>
      <c r="H819" s="8" t="n">
        <v>559</v>
      </c>
      <c r="I819" s="8" t="n">
        <v>0</v>
      </c>
      <c r="J819" s="7" t="n">
        <v>0</v>
      </c>
      <c r="K819" s="9" t="s">
        <v>4151</v>
      </c>
      <c r="L819" s="6" t="s">
        <v>4152</v>
      </c>
      <c r="M819" s="6" t="s">
        <v>4153</v>
      </c>
      <c r="N819" s="10"/>
      <c r="O819" s="4" t="str">
        <f aca="false">IF(N819="","",LEN(N819))</f>
        <v/>
      </c>
    </row>
    <row r="820" customFormat="false" ht="39" hidden="false" customHeight="true" outlineLevel="0" collapsed="false">
      <c r="A820" s="4" t="n">
        <v>819</v>
      </c>
      <c r="B820" s="5" t="n">
        <f aca="false">IF(OR(C820="სხვა მოდელი წერია",I820&gt;=განმარტება!$B$4),1,IF(OR(C820="ცარიელი",I820&gt;=1),2,IF(H820&gt;=განმარტება!$B$5,3,4)))</f>
        <v>4</v>
      </c>
      <c r="C820" s="6" t="s">
        <v>15</v>
      </c>
      <c r="D820" s="6" t="s">
        <v>4154</v>
      </c>
      <c r="E820" s="7" t="s">
        <v>4155</v>
      </c>
      <c r="F820" s="7" t="n">
        <v>2934</v>
      </c>
      <c r="G820" s="6" t="s">
        <v>402</v>
      </c>
      <c r="H820" s="8" t="n">
        <v>559</v>
      </c>
      <c r="I820" s="8" t="n">
        <v>0</v>
      </c>
      <c r="J820" s="7" t="n">
        <v>0</v>
      </c>
      <c r="K820" s="9" t="s">
        <v>4156</v>
      </c>
      <c r="L820" s="6" t="s">
        <v>4157</v>
      </c>
      <c r="M820" s="6" t="s">
        <v>4158</v>
      </c>
      <c r="N820" s="10"/>
      <c r="O820" s="4" t="str">
        <f aca="false">IF(N820="","",LEN(N820))</f>
        <v/>
      </c>
    </row>
    <row r="821" customFormat="false" ht="39" hidden="false" customHeight="true" outlineLevel="0" collapsed="false">
      <c r="A821" s="4" t="n">
        <v>820</v>
      </c>
      <c r="B821" s="5" t="n">
        <f aca="false">IF(OR(C821="სხვა მოდელი წერია",I821&gt;=განმარტება!$B$4),1,IF(OR(C821="ცარიელი",I821&gt;=1),2,IF(H821&gt;=განმარტება!$B$5,3,4)))</f>
        <v>4</v>
      </c>
      <c r="C821" s="6" t="s">
        <v>15</v>
      </c>
      <c r="D821" s="6" t="s">
        <v>4159</v>
      </c>
      <c r="E821" s="7" t="s">
        <v>4160</v>
      </c>
      <c r="F821" s="7" t="n">
        <v>8802</v>
      </c>
      <c r="G821" s="6" t="s">
        <v>1267</v>
      </c>
      <c r="H821" s="8" t="n">
        <v>558</v>
      </c>
      <c r="I821" s="8" t="n">
        <v>0</v>
      </c>
      <c r="J821" s="7" t="n">
        <v>0</v>
      </c>
      <c r="K821" s="9" t="s">
        <v>4161</v>
      </c>
      <c r="L821" s="6" t="s">
        <v>4162</v>
      </c>
      <c r="M821" s="6" t="s">
        <v>4163</v>
      </c>
      <c r="N821" s="10"/>
      <c r="O821" s="4" t="str">
        <f aca="false">IF(N821="","",LEN(N821))</f>
        <v/>
      </c>
    </row>
    <row r="822" customFormat="false" ht="39" hidden="false" customHeight="true" outlineLevel="0" collapsed="false">
      <c r="A822" s="4" t="n">
        <v>821</v>
      </c>
      <c r="B822" s="5" t="n">
        <f aca="false">IF(OR(C822="სხვა მოდელი წერია",I822&gt;=განმარტება!$B$4),1,IF(OR(C822="ცარიელი",I822&gt;=1),2,IF(H822&gt;=განმარტება!$B$5,3,4)))</f>
        <v>4</v>
      </c>
      <c r="C822" s="6" t="s">
        <v>15</v>
      </c>
      <c r="D822" s="6" t="s">
        <v>4164</v>
      </c>
      <c r="E822" s="7" t="s">
        <v>4165</v>
      </c>
      <c r="F822" s="7" t="n">
        <v>2717</v>
      </c>
      <c r="G822" s="6" t="s">
        <v>285</v>
      </c>
      <c r="H822" s="8" t="n">
        <v>549</v>
      </c>
      <c r="I822" s="8" t="n">
        <v>0</v>
      </c>
      <c r="J822" s="7" t="n">
        <v>0</v>
      </c>
      <c r="K822" s="9" t="s">
        <v>4166</v>
      </c>
      <c r="L822" s="6" t="s">
        <v>4167</v>
      </c>
      <c r="M822" s="6" t="s">
        <v>4168</v>
      </c>
      <c r="N822" s="10"/>
      <c r="O822" s="4" t="str">
        <f aca="false">IF(N822="","",LEN(N822))</f>
        <v/>
      </c>
    </row>
    <row r="823" customFormat="false" ht="51.75" hidden="false" customHeight="true" outlineLevel="0" collapsed="false">
      <c r="A823" s="4" t="n">
        <v>822</v>
      </c>
      <c r="B823" s="5" t="n">
        <f aca="false">IF(OR(C823="სხვა მოდელი წერია",I823&gt;=განმარტება!$B$4),1,IF(OR(C823="ცარიელი",I823&gt;=1),2,IF(H823&gt;=განმარტება!$B$5,3,4)))</f>
        <v>4</v>
      </c>
      <c r="C823" s="6" t="s">
        <v>15</v>
      </c>
      <c r="D823" s="6" t="s">
        <v>4169</v>
      </c>
      <c r="E823" s="7" t="s">
        <v>4170</v>
      </c>
      <c r="F823" s="7" t="n">
        <v>3003</v>
      </c>
      <c r="G823" s="6" t="s">
        <v>217</v>
      </c>
      <c r="H823" s="8" t="n">
        <v>549</v>
      </c>
      <c r="I823" s="8" t="n">
        <v>0</v>
      </c>
      <c r="J823" s="7" t="n">
        <v>0</v>
      </c>
      <c r="K823" s="9" t="s">
        <v>4171</v>
      </c>
      <c r="L823" s="6" t="s">
        <v>4172</v>
      </c>
      <c r="M823" s="6" t="s">
        <v>4173</v>
      </c>
      <c r="N823" s="10"/>
      <c r="O823" s="4" t="str">
        <f aca="false">IF(N823="","",LEN(N823))</f>
        <v/>
      </c>
    </row>
    <row r="824" customFormat="false" ht="39" hidden="false" customHeight="true" outlineLevel="0" collapsed="false">
      <c r="A824" s="4" t="n">
        <v>823</v>
      </c>
      <c r="B824" s="5" t="n">
        <f aca="false">IF(OR(C824="სხვა მოდელი წერია",I824&gt;=განმარტება!$B$4),1,IF(OR(C824="ცარიელი",I824&gt;=1),2,IF(H824&gt;=განმარტება!$B$5,3,4)))</f>
        <v>4</v>
      </c>
      <c r="C824" s="6" t="s">
        <v>15</v>
      </c>
      <c r="D824" s="6" t="s">
        <v>4174</v>
      </c>
      <c r="E824" s="7" t="s">
        <v>4175</v>
      </c>
      <c r="F824" s="7" t="n">
        <v>563</v>
      </c>
      <c r="G824" s="6" t="s">
        <v>24</v>
      </c>
      <c r="H824" s="8" t="n">
        <v>549</v>
      </c>
      <c r="I824" s="8" t="n">
        <v>0</v>
      </c>
      <c r="J824" s="7" t="n">
        <v>0</v>
      </c>
      <c r="K824" s="9" t="s">
        <v>4176</v>
      </c>
      <c r="L824" s="6" t="s">
        <v>4177</v>
      </c>
      <c r="M824" s="6" t="s">
        <v>4178</v>
      </c>
      <c r="N824" s="10"/>
      <c r="O824" s="4" t="str">
        <f aca="false">IF(N824="","",LEN(N824))</f>
        <v/>
      </c>
    </row>
    <row r="825" customFormat="false" ht="51.75" hidden="false" customHeight="true" outlineLevel="0" collapsed="false">
      <c r="A825" s="4" t="n">
        <v>824</v>
      </c>
      <c r="B825" s="5" t="n">
        <f aca="false">IF(OR(C825="სხვა მოდელი წერია",I825&gt;=განმარტება!$B$4),1,IF(OR(C825="ცარიელი",I825&gt;=1),2,IF(H825&gt;=განმარტება!$B$5,3,4)))</f>
        <v>4</v>
      </c>
      <c r="C825" s="6" t="s">
        <v>15</v>
      </c>
      <c r="D825" s="6" t="s">
        <v>4179</v>
      </c>
      <c r="E825" s="7" t="s">
        <v>4180</v>
      </c>
      <c r="F825" s="7" t="n">
        <v>3175</v>
      </c>
      <c r="G825" s="6" t="s">
        <v>30</v>
      </c>
      <c r="H825" s="8" t="n">
        <v>549</v>
      </c>
      <c r="I825" s="8" t="n">
        <v>0</v>
      </c>
      <c r="J825" s="7" t="n">
        <v>0</v>
      </c>
      <c r="K825" s="9" t="s">
        <v>4181</v>
      </c>
      <c r="L825" s="6" t="s">
        <v>4182</v>
      </c>
      <c r="M825" s="6" t="s">
        <v>4183</v>
      </c>
      <c r="N825" s="10"/>
      <c r="O825" s="4" t="str">
        <f aca="false">IF(N825="","",LEN(N825))</f>
        <v/>
      </c>
    </row>
    <row r="826" customFormat="false" ht="51.75" hidden="false" customHeight="true" outlineLevel="0" collapsed="false">
      <c r="A826" s="4" t="n">
        <v>825</v>
      </c>
      <c r="B826" s="5" t="n">
        <f aca="false">IF(OR(C826="სხვა მოდელი წერია",I826&gt;=განმარტება!$B$4),1,IF(OR(C826="ცარიელი",I826&gt;=1),2,IF(H826&gt;=განმარტება!$B$5,3,4)))</f>
        <v>4</v>
      </c>
      <c r="C826" s="6" t="s">
        <v>15</v>
      </c>
      <c r="D826" s="6" t="s">
        <v>4184</v>
      </c>
      <c r="E826" s="7" t="s">
        <v>4185</v>
      </c>
      <c r="F826" s="7" t="n">
        <v>2735</v>
      </c>
      <c r="G826" s="6" t="s">
        <v>134</v>
      </c>
      <c r="H826" s="8" t="n">
        <v>549</v>
      </c>
      <c r="I826" s="8" t="n">
        <v>0</v>
      </c>
      <c r="J826" s="7" t="n">
        <v>0</v>
      </c>
      <c r="K826" s="9" t="s">
        <v>4186</v>
      </c>
      <c r="L826" s="6" t="s">
        <v>4187</v>
      </c>
      <c r="M826" s="6" t="s">
        <v>4188</v>
      </c>
      <c r="N826" s="10"/>
      <c r="O826" s="4" t="str">
        <f aca="false">IF(N826="","",LEN(N826))</f>
        <v/>
      </c>
    </row>
    <row r="827" customFormat="false" ht="51.75" hidden="false" customHeight="true" outlineLevel="0" collapsed="false">
      <c r="A827" s="4" t="n">
        <v>826</v>
      </c>
      <c r="B827" s="5" t="n">
        <f aca="false">IF(OR(C827="სხვა მოდელი წერია",I827&gt;=განმარტება!$B$4),1,IF(OR(C827="ცარიელი",I827&gt;=1),2,IF(H827&gt;=განმარტება!$B$5,3,4)))</f>
        <v>4</v>
      </c>
      <c r="C827" s="6" t="s">
        <v>15</v>
      </c>
      <c r="D827" s="6" t="s">
        <v>4189</v>
      </c>
      <c r="E827" s="7" t="s">
        <v>4190</v>
      </c>
      <c r="F827" s="7" t="n">
        <v>3145</v>
      </c>
      <c r="G827" s="6" t="s">
        <v>30</v>
      </c>
      <c r="H827" s="8" t="n">
        <v>545</v>
      </c>
      <c r="I827" s="8" t="n">
        <v>0</v>
      </c>
      <c r="J827" s="7" t="n">
        <v>0</v>
      </c>
      <c r="K827" s="9" t="s">
        <v>4191</v>
      </c>
      <c r="L827" s="6" t="s">
        <v>4192</v>
      </c>
      <c r="M827" s="6" t="s">
        <v>4193</v>
      </c>
      <c r="N827" s="10"/>
      <c r="O827" s="4" t="str">
        <f aca="false">IF(N827="","",LEN(N827))</f>
        <v/>
      </c>
    </row>
    <row r="828" customFormat="false" ht="51.75" hidden="false" customHeight="true" outlineLevel="0" collapsed="false">
      <c r="A828" s="4" t="n">
        <v>827</v>
      </c>
      <c r="B828" s="5" t="n">
        <f aca="false">IF(OR(C828="სხვა მოდელი წერია",I828&gt;=განმარტება!$B$4),1,IF(OR(C828="ცარიელი",I828&gt;=1),2,IF(H828&gt;=განმარტება!$B$5,3,4)))</f>
        <v>4</v>
      </c>
      <c r="C828" s="6" t="s">
        <v>15</v>
      </c>
      <c r="D828" s="6" t="s">
        <v>4194</v>
      </c>
      <c r="E828" s="7" t="s">
        <v>4195</v>
      </c>
      <c r="F828" s="7" t="n">
        <v>1822</v>
      </c>
      <c r="G828" s="6" t="s">
        <v>4196</v>
      </c>
      <c r="H828" s="8" t="n">
        <v>535</v>
      </c>
      <c r="I828" s="8" t="n">
        <v>0</v>
      </c>
      <c r="J828" s="7" t="n">
        <v>0</v>
      </c>
      <c r="K828" s="9" t="s">
        <v>4197</v>
      </c>
      <c r="L828" s="6" t="s">
        <v>4198</v>
      </c>
      <c r="M828" s="6" t="s">
        <v>4199</v>
      </c>
      <c r="N828" s="10"/>
      <c r="O828" s="4" t="str">
        <f aca="false">IF(N828="","",LEN(N828))</f>
        <v/>
      </c>
    </row>
    <row r="829" customFormat="false" ht="39" hidden="false" customHeight="true" outlineLevel="0" collapsed="false">
      <c r="A829" s="4" t="n">
        <v>828</v>
      </c>
      <c r="B829" s="5" t="n">
        <f aca="false">IF(OR(C829="სხვა მოდელი წერია",I829&gt;=განმარტება!$B$4),1,IF(OR(C829="ცარიელი",I829&gt;=1),2,IF(H829&gt;=განმარტება!$B$5,3,4)))</f>
        <v>4</v>
      </c>
      <c r="C829" s="6" t="s">
        <v>15</v>
      </c>
      <c r="D829" s="6" t="s">
        <v>4200</v>
      </c>
      <c r="E829" s="7" t="s">
        <v>4201</v>
      </c>
      <c r="F829" s="7" t="n">
        <v>3099</v>
      </c>
      <c r="G829" s="6" t="s">
        <v>18</v>
      </c>
      <c r="H829" s="8" t="n">
        <v>529</v>
      </c>
      <c r="I829" s="8" t="n">
        <v>0</v>
      </c>
      <c r="J829" s="7" t="n">
        <v>0</v>
      </c>
      <c r="K829" s="9" t="s">
        <v>4202</v>
      </c>
      <c r="L829" s="6" t="s">
        <v>3885</v>
      </c>
      <c r="M829" s="6" t="s">
        <v>4203</v>
      </c>
      <c r="N829" s="10"/>
      <c r="O829" s="4" t="str">
        <f aca="false">IF(N829="","",LEN(N829))</f>
        <v/>
      </c>
    </row>
    <row r="830" customFormat="false" ht="39" hidden="false" customHeight="true" outlineLevel="0" collapsed="false">
      <c r="A830" s="4" t="n">
        <v>829</v>
      </c>
      <c r="B830" s="5" t="n">
        <f aca="false">IF(OR(C830="სხვა მოდელი წერია",I830&gt;=განმარტება!$B$4),1,IF(OR(C830="ცარიელი",I830&gt;=1),2,IF(H830&gt;=განმარტება!$B$5,3,4)))</f>
        <v>4</v>
      </c>
      <c r="C830" s="6" t="s">
        <v>15</v>
      </c>
      <c r="D830" s="6" t="s">
        <v>4204</v>
      </c>
      <c r="E830" s="7" t="s">
        <v>4205</v>
      </c>
      <c r="F830" s="7" t="n">
        <v>63</v>
      </c>
      <c r="G830" s="6" t="s">
        <v>205</v>
      </c>
      <c r="H830" s="8" t="n">
        <v>529</v>
      </c>
      <c r="I830" s="8" t="n">
        <v>0</v>
      </c>
      <c r="J830" s="7" t="n">
        <v>0</v>
      </c>
      <c r="K830" s="9" t="s">
        <v>4206</v>
      </c>
      <c r="L830" s="6" t="s">
        <v>4207</v>
      </c>
      <c r="M830" s="6" t="s">
        <v>4208</v>
      </c>
      <c r="N830" s="10"/>
      <c r="O830" s="4" t="str">
        <f aca="false">IF(N830="","",LEN(N830))</f>
        <v/>
      </c>
    </row>
    <row r="831" customFormat="false" ht="51.75" hidden="false" customHeight="true" outlineLevel="0" collapsed="false">
      <c r="A831" s="4" t="n">
        <v>830</v>
      </c>
      <c r="B831" s="5" t="n">
        <f aca="false">IF(OR(C831="სხვა მოდელი წერია",I831&gt;=განმარტება!$B$4),1,IF(OR(C831="ცარიელი",I831&gt;=1),2,IF(H831&gt;=განმარტება!$B$5,3,4)))</f>
        <v>4</v>
      </c>
      <c r="C831" s="6" t="s">
        <v>15</v>
      </c>
      <c r="D831" s="6" t="s">
        <v>4209</v>
      </c>
      <c r="E831" s="7" t="s">
        <v>4210</v>
      </c>
      <c r="F831" s="7" t="n">
        <v>13324</v>
      </c>
      <c r="G831" s="6" t="s">
        <v>574</v>
      </c>
      <c r="H831" s="8" t="n">
        <v>529</v>
      </c>
      <c r="I831" s="8" t="n">
        <v>0</v>
      </c>
      <c r="J831" s="7" t="n">
        <v>0</v>
      </c>
      <c r="K831" s="9" t="s">
        <v>4211</v>
      </c>
      <c r="L831" s="6" t="s">
        <v>4212</v>
      </c>
      <c r="M831" s="6" t="s">
        <v>4213</v>
      </c>
      <c r="N831" s="10"/>
      <c r="O831" s="4" t="str">
        <f aca="false">IF(N831="","",LEN(N831))</f>
        <v/>
      </c>
    </row>
    <row r="832" customFormat="false" ht="39" hidden="false" customHeight="true" outlineLevel="0" collapsed="false">
      <c r="A832" s="4" t="n">
        <v>831</v>
      </c>
      <c r="B832" s="5" t="n">
        <f aca="false">IF(OR(C832="სხვა მოდელი წერია",I832&gt;=განმარტება!$B$4),1,IF(OR(C832="ცარიელი",I832&gt;=1),2,IF(H832&gt;=განმარტება!$B$5,3,4)))</f>
        <v>4</v>
      </c>
      <c r="C832" s="6" t="s">
        <v>15</v>
      </c>
      <c r="D832" s="6" t="s">
        <v>4214</v>
      </c>
      <c r="E832" s="7" t="s">
        <v>4215</v>
      </c>
      <c r="F832" s="7" t="n">
        <v>600</v>
      </c>
      <c r="G832" s="6" t="s">
        <v>4216</v>
      </c>
      <c r="H832" s="8" t="n">
        <v>529</v>
      </c>
      <c r="I832" s="8" t="n">
        <v>0</v>
      </c>
      <c r="J832" s="7" t="n">
        <v>0</v>
      </c>
      <c r="K832" s="9" t="s">
        <v>4217</v>
      </c>
      <c r="L832" s="6" t="s">
        <v>4218</v>
      </c>
      <c r="M832" s="6" t="s">
        <v>4219</v>
      </c>
      <c r="N832" s="10"/>
      <c r="O832" s="4" t="str">
        <f aca="false">IF(N832="","",LEN(N832))</f>
        <v/>
      </c>
    </row>
    <row r="833" customFormat="false" ht="39" hidden="false" customHeight="true" outlineLevel="0" collapsed="false">
      <c r="A833" s="4" t="n">
        <v>832</v>
      </c>
      <c r="B833" s="5" t="n">
        <f aca="false">IF(OR(C833="სხვა მოდელი წერია",I833&gt;=განმარტება!$B$4),1,IF(OR(C833="ცარიელი",I833&gt;=1),2,IF(H833&gt;=განმარტება!$B$5,3,4)))</f>
        <v>4</v>
      </c>
      <c r="C833" s="6" t="s">
        <v>15</v>
      </c>
      <c r="D833" s="6" t="s">
        <v>4220</v>
      </c>
      <c r="E833" s="7" t="s">
        <v>4221</v>
      </c>
      <c r="F833" s="7" t="n">
        <v>2390</v>
      </c>
      <c r="G833" s="6" t="s">
        <v>1712</v>
      </c>
      <c r="H833" s="8" t="n">
        <v>528</v>
      </c>
      <c r="I833" s="8" t="n">
        <v>0</v>
      </c>
      <c r="J833" s="7" t="n">
        <v>0</v>
      </c>
      <c r="K833" s="9" t="s">
        <v>4222</v>
      </c>
      <c r="L833" s="6" t="s">
        <v>4223</v>
      </c>
      <c r="M833" s="6" t="s">
        <v>4224</v>
      </c>
      <c r="N833" s="10"/>
      <c r="O833" s="4" t="str">
        <f aca="false">IF(N833="","",LEN(N833))</f>
        <v/>
      </c>
    </row>
    <row r="834" customFormat="false" ht="77.25" hidden="false" customHeight="true" outlineLevel="0" collapsed="false">
      <c r="A834" s="4" t="n">
        <v>833</v>
      </c>
      <c r="B834" s="5" t="n">
        <f aca="false">IF(OR(C834="სხვა მოდელი წერია",I834&gt;=განმარტება!$B$4),1,IF(OR(C834="ცარიელი",I834&gt;=1),2,IF(H834&gt;=განმარტება!$B$5,3,4)))</f>
        <v>4</v>
      </c>
      <c r="C834" s="6" t="s">
        <v>15</v>
      </c>
      <c r="D834" s="6" t="s">
        <v>4225</v>
      </c>
      <c r="E834" s="7" t="s">
        <v>4226</v>
      </c>
      <c r="F834" s="7" t="n">
        <v>12058</v>
      </c>
      <c r="G834" s="6" t="s">
        <v>4227</v>
      </c>
      <c r="H834" s="8" t="n">
        <v>520</v>
      </c>
      <c r="I834" s="8" t="n">
        <v>0</v>
      </c>
      <c r="J834" s="7" t="n">
        <v>0</v>
      </c>
      <c r="K834" s="9" t="s">
        <v>4228</v>
      </c>
      <c r="L834" s="6" t="s">
        <v>4229</v>
      </c>
      <c r="M834" s="6" t="s">
        <v>4230</v>
      </c>
      <c r="N834" s="10"/>
      <c r="O834" s="4" t="str">
        <f aca="false">IF(N834="","",LEN(N834))</f>
        <v/>
      </c>
    </row>
    <row r="835" customFormat="false" ht="77.25" hidden="false" customHeight="true" outlineLevel="0" collapsed="false">
      <c r="A835" s="4" t="n">
        <v>834</v>
      </c>
      <c r="B835" s="5" t="n">
        <f aca="false">IF(OR(C835="სხვა მოდელი წერია",I835&gt;=განმარტება!$B$4),1,IF(OR(C835="ცარიელი",I835&gt;=1),2,IF(H835&gt;=განმარტება!$B$5,3,4)))</f>
        <v>4</v>
      </c>
      <c r="C835" s="6" t="s">
        <v>316</v>
      </c>
      <c r="D835" s="6" t="s">
        <v>4231</v>
      </c>
      <c r="E835" s="7" t="s">
        <v>4232</v>
      </c>
      <c r="F835" s="7" t="n">
        <v>2970</v>
      </c>
      <c r="G835" s="6" t="s">
        <v>4227</v>
      </c>
      <c r="H835" s="8" t="n">
        <v>520</v>
      </c>
      <c r="I835" s="8" t="n">
        <v>0</v>
      </c>
      <c r="J835" s="7" t="n">
        <v>0</v>
      </c>
      <c r="K835" s="9" t="s">
        <v>4233</v>
      </c>
      <c r="L835" s="6" t="s">
        <v>4234</v>
      </c>
      <c r="M835" s="6" t="s">
        <v>4235</v>
      </c>
      <c r="N835" s="10"/>
      <c r="O835" s="4" t="str">
        <f aca="false">IF(N835="","",LEN(N835))</f>
        <v/>
      </c>
    </row>
    <row r="836" customFormat="false" ht="39" hidden="false" customHeight="true" outlineLevel="0" collapsed="false">
      <c r="A836" s="4" t="n">
        <v>835</v>
      </c>
      <c r="B836" s="5" t="n">
        <f aca="false">IF(OR(C836="სხვა მოდელი წერია",I836&gt;=განმარტება!$B$4),1,IF(OR(C836="ცარიელი",I836&gt;=1),2,IF(H836&gt;=განმარტება!$B$5,3,4)))</f>
        <v>4</v>
      </c>
      <c r="C836" s="6" t="s">
        <v>15</v>
      </c>
      <c r="D836" s="6" t="s">
        <v>4236</v>
      </c>
      <c r="E836" s="7" t="s">
        <v>4237</v>
      </c>
      <c r="F836" s="7" t="n">
        <v>2049</v>
      </c>
      <c r="G836" s="6" t="s">
        <v>1994</v>
      </c>
      <c r="H836" s="8" t="n">
        <v>516</v>
      </c>
      <c r="I836" s="8" t="n">
        <v>0</v>
      </c>
      <c r="J836" s="7" t="n">
        <v>0</v>
      </c>
      <c r="K836" s="9" t="s">
        <v>4238</v>
      </c>
      <c r="L836" s="6" t="s">
        <v>4239</v>
      </c>
      <c r="M836" s="6" t="s">
        <v>4240</v>
      </c>
      <c r="N836" s="10"/>
      <c r="O836" s="4" t="str">
        <f aca="false">IF(N836="","",LEN(N836))</f>
        <v/>
      </c>
    </row>
    <row r="837" customFormat="false" ht="39" hidden="false" customHeight="true" outlineLevel="0" collapsed="false">
      <c r="A837" s="4" t="n">
        <v>836</v>
      </c>
      <c r="B837" s="5" t="n">
        <f aca="false">IF(OR(C837="სხვა მოდელი წერია",I837&gt;=განმარტება!$B$4),1,IF(OR(C837="ცარიელი",I837&gt;=1),2,IF(H837&gt;=განმარტება!$B$5,3,4)))</f>
        <v>4</v>
      </c>
      <c r="C837" s="6" t="s">
        <v>15</v>
      </c>
      <c r="D837" s="6" t="s">
        <v>4241</v>
      </c>
      <c r="E837" s="7" t="s">
        <v>4242</v>
      </c>
      <c r="F837" s="7" t="n">
        <v>761</v>
      </c>
      <c r="G837" s="6" t="s">
        <v>302</v>
      </c>
      <c r="H837" s="8" t="n">
        <v>516</v>
      </c>
      <c r="I837" s="8" t="n">
        <v>0</v>
      </c>
      <c r="J837" s="7" t="n">
        <v>0</v>
      </c>
      <c r="K837" s="9" t="s">
        <v>4243</v>
      </c>
      <c r="L837" s="6" t="s">
        <v>4244</v>
      </c>
      <c r="M837" s="6" t="s">
        <v>4245</v>
      </c>
      <c r="N837" s="10"/>
      <c r="O837" s="4" t="str">
        <f aca="false">IF(N837="","",LEN(N837))</f>
        <v/>
      </c>
    </row>
    <row r="838" customFormat="false" ht="39" hidden="false" customHeight="true" outlineLevel="0" collapsed="false">
      <c r="A838" s="4" t="n">
        <v>837</v>
      </c>
      <c r="B838" s="5" t="n">
        <f aca="false">IF(OR(C838="სხვა მოდელი წერია",I838&gt;=განმარტება!$B$4),1,IF(OR(C838="ცარიელი",I838&gt;=1),2,IF(H838&gt;=განმარტება!$B$5,3,4)))</f>
        <v>4</v>
      </c>
      <c r="C838" s="6" t="s">
        <v>15</v>
      </c>
      <c r="D838" s="6" t="s">
        <v>4246</v>
      </c>
      <c r="E838" s="7" t="s">
        <v>4247</v>
      </c>
      <c r="F838" s="7" t="n">
        <v>749</v>
      </c>
      <c r="G838" s="6" t="s">
        <v>302</v>
      </c>
      <c r="H838" s="8" t="n">
        <v>516</v>
      </c>
      <c r="I838" s="8" t="n">
        <v>0</v>
      </c>
      <c r="J838" s="7" t="n">
        <v>0</v>
      </c>
      <c r="K838" s="9" t="s">
        <v>4248</v>
      </c>
      <c r="L838" s="6" t="s">
        <v>4249</v>
      </c>
      <c r="M838" s="6" t="s">
        <v>4250</v>
      </c>
      <c r="N838" s="10"/>
      <c r="O838" s="4" t="str">
        <f aca="false">IF(N838="","",LEN(N838))</f>
        <v/>
      </c>
    </row>
    <row r="839" customFormat="false" ht="39" hidden="false" customHeight="true" outlineLevel="0" collapsed="false">
      <c r="A839" s="4" t="n">
        <v>838</v>
      </c>
      <c r="B839" s="5" t="n">
        <f aca="false">IF(OR(C839="სხვა მოდელი წერია",I839&gt;=განმარტება!$B$4),1,IF(OR(C839="ცარიელი",I839&gt;=1),2,IF(H839&gt;=განმარტება!$B$5,3,4)))</f>
        <v>4</v>
      </c>
      <c r="C839" s="6" t="s">
        <v>316</v>
      </c>
      <c r="D839" s="6" t="s">
        <v>4251</v>
      </c>
      <c r="E839" s="7" t="s">
        <v>4252</v>
      </c>
      <c r="F839" s="7" t="n">
        <v>1519</v>
      </c>
      <c r="G839" s="6" t="s">
        <v>858</v>
      </c>
      <c r="H839" s="8" t="n">
        <v>515</v>
      </c>
      <c r="I839" s="8" t="n">
        <v>0</v>
      </c>
      <c r="J839" s="7" t="n">
        <v>0</v>
      </c>
      <c r="K839" s="9" t="s">
        <v>4253</v>
      </c>
      <c r="L839" s="6" t="s">
        <v>4254</v>
      </c>
      <c r="M839" s="6" t="s">
        <v>4255</v>
      </c>
      <c r="N839" s="10"/>
      <c r="O839" s="4" t="str">
        <f aca="false">IF(N839="","",LEN(N839))</f>
        <v/>
      </c>
    </row>
    <row r="840" customFormat="false" ht="51.75" hidden="false" customHeight="true" outlineLevel="0" collapsed="false">
      <c r="A840" s="4" t="n">
        <v>839</v>
      </c>
      <c r="B840" s="5" t="n">
        <f aca="false">IF(OR(C840="სხვა მოდელი წერია",I840&gt;=განმარტება!$B$4),1,IF(OR(C840="ცარიელი",I840&gt;=1),2,IF(H840&gt;=განმარტება!$B$5,3,4)))</f>
        <v>4</v>
      </c>
      <c r="C840" s="6" t="s">
        <v>15</v>
      </c>
      <c r="D840" s="6" t="s">
        <v>4256</v>
      </c>
      <c r="E840" s="7" t="s">
        <v>4257</v>
      </c>
      <c r="F840" s="7" t="n">
        <v>2002</v>
      </c>
      <c r="G840" s="6" t="s">
        <v>693</v>
      </c>
      <c r="H840" s="8" t="n">
        <v>509</v>
      </c>
      <c r="I840" s="8" t="n">
        <v>0</v>
      </c>
      <c r="J840" s="7" t="n">
        <v>0</v>
      </c>
      <c r="K840" s="9" t="s">
        <v>4258</v>
      </c>
      <c r="L840" s="6" t="s">
        <v>4259</v>
      </c>
      <c r="M840" s="6" t="s">
        <v>4260</v>
      </c>
      <c r="N840" s="10"/>
      <c r="O840" s="4" t="str">
        <f aca="false">IF(N840="","",LEN(N840))</f>
        <v/>
      </c>
    </row>
    <row r="841" customFormat="false" ht="39" hidden="false" customHeight="true" outlineLevel="0" collapsed="false">
      <c r="A841" s="4" t="n">
        <v>840</v>
      </c>
      <c r="B841" s="5" t="n">
        <f aca="false">IF(OR(C841="სხვა მოდელი წერია",I841&gt;=განმარტება!$B$4),1,IF(OR(C841="ცარიელი",I841&gt;=1),2,IF(H841&gt;=განმარტება!$B$5,3,4)))</f>
        <v>4</v>
      </c>
      <c r="C841" s="6" t="s">
        <v>15</v>
      </c>
      <c r="D841" s="6" t="s">
        <v>4261</v>
      </c>
      <c r="E841" s="7" t="s">
        <v>4262</v>
      </c>
      <c r="F841" s="7" t="n">
        <v>775</v>
      </c>
      <c r="G841" s="6" t="s">
        <v>302</v>
      </c>
      <c r="H841" s="8" t="n">
        <v>500</v>
      </c>
      <c r="I841" s="8" t="n">
        <v>0</v>
      </c>
      <c r="J841" s="7" t="n">
        <v>0</v>
      </c>
      <c r="K841" s="9" t="s">
        <v>4263</v>
      </c>
      <c r="L841" s="6" t="s">
        <v>4264</v>
      </c>
      <c r="M841" s="6" t="s">
        <v>4265</v>
      </c>
      <c r="N841" s="10"/>
      <c r="O841" s="4" t="str">
        <f aca="false">IF(N841="","",LEN(N841))</f>
        <v/>
      </c>
    </row>
    <row r="842" customFormat="false" ht="39" hidden="false" customHeight="true" outlineLevel="0" collapsed="false">
      <c r="A842" s="4" t="n">
        <v>841</v>
      </c>
      <c r="B842" s="5" t="n">
        <f aca="false">IF(OR(C842="სხვა მოდელი წერია",I842&gt;=განმარტება!$B$4),1,IF(OR(C842="ცარიელი",I842&gt;=1),2,IF(H842&gt;=განმარტება!$B$5,3,4)))</f>
        <v>4</v>
      </c>
      <c r="C842" s="6" t="s">
        <v>15</v>
      </c>
      <c r="D842" s="6" t="s">
        <v>4266</v>
      </c>
      <c r="E842" s="7" t="s">
        <v>4267</v>
      </c>
      <c r="F842" s="7" t="n">
        <v>751</v>
      </c>
      <c r="G842" s="6" t="s">
        <v>302</v>
      </c>
      <c r="H842" s="8" t="n">
        <v>500</v>
      </c>
      <c r="I842" s="8" t="n">
        <v>0</v>
      </c>
      <c r="J842" s="7" t="n">
        <v>0</v>
      </c>
      <c r="K842" s="9" t="s">
        <v>4268</v>
      </c>
      <c r="L842" s="6" t="s">
        <v>4269</v>
      </c>
      <c r="M842" s="6" t="s">
        <v>4270</v>
      </c>
      <c r="N842" s="10"/>
      <c r="O842" s="4" t="str">
        <f aca="false">IF(N842="","",LEN(N842))</f>
        <v/>
      </c>
    </row>
    <row r="843" customFormat="false" ht="39" hidden="false" customHeight="true" outlineLevel="0" collapsed="false">
      <c r="A843" s="4" t="n">
        <v>842</v>
      </c>
      <c r="B843" s="5" t="n">
        <f aca="false">IF(OR(C843="სხვა მოდელი წერია",I843&gt;=განმარტება!$B$4),1,IF(OR(C843="ცარიელი",I843&gt;=1),2,IF(H843&gt;=განმარტება!$B$5,3,4)))</f>
        <v>4</v>
      </c>
      <c r="C843" s="6" t="s">
        <v>15</v>
      </c>
      <c r="D843" s="6" t="s">
        <v>4271</v>
      </c>
      <c r="E843" s="7" t="s">
        <v>4272</v>
      </c>
      <c r="F843" s="7" t="n">
        <v>604</v>
      </c>
      <c r="G843" s="6" t="s">
        <v>4216</v>
      </c>
      <c r="H843" s="8" t="n">
        <v>500</v>
      </c>
      <c r="I843" s="8" t="n">
        <v>0</v>
      </c>
      <c r="J843" s="7" t="n">
        <v>0</v>
      </c>
      <c r="K843" s="9" t="s">
        <v>4273</v>
      </c>
      <c r="L843" s="6" t="s">
        <v>4274</v>
      </c>
      <c r="M843" s="6" t="s">
        <v>4275</v>
      </c>
      <c r="N843" s="10"/>
      <c r="O843" s="4" t="str">
        <f aca="false">IF(N843="","",LEN(N843))</f>
        <v/>
      </c>
    </row>
    <row r="844" customFormat="false" ht="39" hidden="false" customHeight="true" outlineLevel="0" collapsed="false">
      <c r="A844" s="4" t="n">
        <v>843</v>
      </c>
      <c r="B844" s="5" t="n">
        <f aca="false">IF(OR(C844="სხვა მოდელი წერია",I844&gt;=განმარტება!$B$4),1,IF(OR(C844="ცარიელი",I844&gt;=1),2,IF(H844&gt;=განმარტება!$B$5,3,4)))</f>
        <v>4</v>
      </c>
      <c r="C844" s="6" t="s">
        <v>15</v>
      </c>
      <c r="D844" s="6" t="s">
        <v>4276</v>
      </c>
      <c r="E844" s="7" t="s">
        <v>4277</v>
      </c>
      <c r="F844" s="7" t="n">
        <v>2880</v>
      </c>
      <c r="G844" s="6" t="s">
        <v>42</v>
      </c>
      <c r="H844" s="8" t="n">
        <v>499</v>
      </c>
      <c r="I844" s="8" t="n">
        <v>0</v>
      </c>
      <c r="J844" s="7" t="n">
        <v>0</v>
      </c>
      <c r="K844" s="9" t="s">
        <v>4278</v>
      </c>
      <c r="L844" s="6" t="s">
        <v>4279</v>
      </c>
      <c r="M844" s="6" t="s">
        <v>4280</v>
      </c>
      <c r="N844" s="10"/>
      <c r="O844" s="4" t="str">
        <f aca="false">IF(N844="","",LEN(N844))</f>
        <v/>
      </c>
    </row>
    <row r="845" customFormat="false" ht="39" hidden="false" customHeight="true" outlineLevel="0" collapsed="false">
      <c r="A845" s="4" t="n">
        <v>844</v>
      </c>
      <c r="B845" s="5" t="n">
        <f aca="false">IF(OR(C845="სხვა მოდელი წერია",I845&gt;=განმარტება!$B$4),1,IF(OR(C845="ცარიელი",I845&gt;=1),2,IF(H845&gt;=განმარტება!$B$5,3,4)))</f>
        <v>4</v>
      </c>
      <c r="C845" s="6" t="s">
        <v>15</v>
      </c>
      <c r="D845" s="6" t="s">
        <v>4281</v>
      </c>
      <c r="E845" s="7" t="s">
        <v>4282</v>
      </c>
      <c r="F845" s="7" t="n">
        <v>8898</v>
      </c>
      <c r="G845" s="6" t="s">
        <v>1267</v>
      </c>
      <c r="H845" s="8" t="n">
        <v>499</v>
      </c>
      <c r="I845" s="8" t="n">
        <v>0</v>
      </c>
      <c r="J845" s="7" t="n">
        <v>0</v>
      </c>
      <c r="K845" s="9" t="s">
        <v>4283</v>
      </c>
      <c r="L845" s="6" t="s">
        <v>4284</v>
      </c>
      <c r="M845" s="6" t="s">
        <v>4285</v>
      </c>
      <c r="N845" s="10"/>
      <c r="O845" s="4" t="str">
        <f aca="false">IF(N845="","",LEN(N845))</f>
        <v/>
      </c>
    </row>
    <row r="846" customFormat="false" ht="39" hidden="false" customHeight="true" outlineLevel="0" collapsed="false">
      <c r="A846" s="4" t="n">
        <v>845</v>
      </c>
      <c r="B846" s="5" t="n">
        <f aca="false">IF(OR(C846="სხვა მოდელი წერია",I846&gt;=განმარტება!$B$4),1,IF(OR(C846="ცარიელი",I846&gt;=1),2,IF(H846&gt;=განმარტება!$B$5,3,4)))</f>
        <v>4</v>
      </c>
      <c r="C846" s="6" t="s">
        <v>15</v>
      </c>
      <c r="D846" s="6" t="s">
        <v>4286</v>
      </c>
      <c r="E846" s="7" t="s">
        <v>4287</v>
      </c>
      <c r="F846" s="7" t="n">
        <v>1604</v>
      </c>
      <c r="G846" s="6" t="s">
        <v>285</v>
      </c>
      <c r="H846" s="8" t="n">
        <v>499</v>
      </c>
      <c r="I846" s="8" t="n">
        <v>0</v>
      </c>
      <c r="J846" s="7" t="n">
        <v>0</v>
      </c>
      <c r="K846" s="9" t="s">
        <v>4288</v>
      </c>
      <c r="L846" s="6" t="s">
        <v>4289</v>
      </c>
      <c r="M846" s="6" t="s">
        <v>4290</v>
      </c>
      <c r="N846" s="10"/>
      <c r="O846" s="4" t="str">
        <f aca="false">IF(N846="","",LEN(N846))</f>
        <v/>
      </c>
    </row>
    <row r="847" customFormat="false" ht="51.75" hidden="false" customHeight="true" outlineLevel="0" collapsed="false">
      <c r="A847" s="4" t="n">
        <v>846</v>
      </c>
      <c r="B847" s="5" t="n">
        <f aca="false">IF(OR(C847="სხვა მოდელი წერია",I847&gt;=განმარტება!$B$4),1,IF(OR(C847="ცარიელი",I847&gt;=1),2,IF(H847&gt;=განმარტება!$B$5,3,4)))</f>
        <v>4</v>
      </c>
      <c r="C847" s="6" t="s">
        <v>15</v>
      </c>
      <c r="D847" s="6" t="s">
        <v>4291</v>
      </c>
      <c r="E847" s="7" t="s">
        <v>4292</v>
      </c>
      <c r="F847" s="7" t="n">
        <v>2826</v>
      </c>
      <c r="G847" s="6" t="s">
        <v>693</v>
      </c>
      <c r="H847" s="8" t="n">
        <v>499</v>
      </c>
      <c r="I847" s="8" t="n">
        <v>0</v>
      </c>
      <c r="J847" s="7" t="n">
        <v>0</v>
      </c>
      <c r="K847" s="9" t="s">
        <v>4293</v>
      </c>
      <c r="L847" s="6" t="s">
        <v>4294</v>
      </c>
      <c r="M847" s="6" t="s">
        <v>4295</v>
      </c>
      <c r="N847" s="10"/>
      <c r="O847" s="4" t="str">
        <f aca="false">IF(N847="","",LEN(N847))</f>
        <v/>
      </c>
    </row>
    <row r="848" customFormat="false" ht="51.75" hidden="false" customHeight="true" outlineLevel="0" collapsed="false">
      <c r="A848" s="4" t="n">
        <v>847</v>
      </c>
      <c r="B848" s="5" t="n">
        <f aca="false">IF(OR(C848="სხვა მოდელი წერია",I848&gt;=განმარტება!$B$4),1,IF(OR(C848="ცარიელი",I848&gt;=1),2,IF(H848&gt;=განმარტება!$B$5,3,4)))</f>
        <v>4</v>
      </c>
      <c r="C848" s="6" t="s">
        <v>15</v>
      </c>
      <c r="D848" s="6" t="s">
        <v>4296</v>
      </c>
      <c r="E848" s="7" t="s">
        <v>4297</v>
      </c>
      <c r="F848" s="7" t="n">
        <v>1999</v>
      </c>
      <c r="G848" s="6" t="s">
        <v>693</v>
      </c>
      <c r="H848" s="8" t="n">
        <v>499</v>
      </c>
      <c r="I848" s="8" t="n">
        <v>0</v>
      </c>
      <c r="J848" s="7" t="n">
        <v>0</v>
      </c>
      <c r="K848" s="9" t="s">
        <v>4298</v>
      </c>
      <c r="L848" s="6" t="s">
        <v>4299</v>
      </c>
      <c r="M848" s="6" t="s">
        <v>4300</v>
      </c>
      <c r="N848" s="10"/>
      <c r="O848" s="4" t="str">
        <f aca="false">IF(N848="","",LEN(N848))</f>
        <v/>
      </c>
    </row>
    <row r="849" customFormat="false" ht="51.75" hidden="false" customHeight="true" outlineLevel="0" collapsed="false">
      <c r="A849" s="4" t="n">
        <v>848</v>
      </c>
      <c r="B849" s="5" t="n">
        <f aca="false">IF(OR(C849="სხვა მოდელი წერია",I849&gt;=განმარტება!$B$4),1,IF(OR(C849="ცარიელი",I849&gt;=1),2,IF(H849&gt;=განმარტება!$B$5,3,4)))</f>
        <v>4</v>
      </c>
      <c r="C849" s="6" t="s">
        <v>15</v>
      </c>
      <c r="D849" s="6" t="s">
        <v>4301</v>
      </c>
      <c r="E849" s="7" t="s">
        <v>4302</v>
      </c>
      <c r="F849" s="7" t="n">
        <v>3087</v>
      </c>
      <c r="G849" s="6" t="s">
        <v>30</v>
      </c>
      <c r="H849" s="8" t="n">
        <v>499</v>
      </c>
      <c r="I849" s="8" t="n">
        <v>0</v>
      </c>
      <c r="J849" s="7" t="n">
        <v>0</v>
      </c>
      <c r="K849" s="9" t="s">
        <v>4303</v>
      </c>
      <c r="L849" s="6" t="s">
        <v>4304</v>
      </c>
      <c r="M849" s="6" t="s">
        <v>4305</v>
      </c>
      <c r="N849" s="10"/>
      <c r="O849" s="4" t="str">
        <f aca="false">IF(N849="","",LEN(N849))</f>
        <v/>
      </c>
    </row>
    <row r="850" customFormat="false" ht="39" hidden="false" customHeight="true" outlineLevel="0" collapsed="false">
      <c r="A850" s="4" t="n">
        <v>849</v>
      </c>
      <c r="B850" s="5" t="n">
        <f aca="false">IF(OR(C850="სხვა მოდელი წერია",I850&gt;=განმარტება!$B$4),1,IF(OR(C850="ცარიელი",I850&gt;=1),2,IF(H850&gt;=განმარტება!$B$5,3,4)))</f>
        <v>4</v>
      </c>
      <c r="C850" s="6" t="s">
        <v>15</v>
      </c>
      <c r="D850" s="6" t="s">
        <v>4306</v>
      </c>
      <c r="E850" s="7" t="s">
        <v>4307</v>
      </c>
      <c r="F850" s="7" t="n">
        <v>3146</v>
      </c>
      <c r="G850" s="6" t="s">
        <v>205</v>
      </c>
      <c r="H850" s="8" t="n">
        <v>499</v>
      </c>
      <c r="I850" s="8" t="n">
        <v>0</v>
      </c>
      <c r="J850" s="7" t="n">
        <v>0</v>
      </c>
      <c r="K850" s="9" t="s">
        <v>4308</v>
      </c>
      <c r="L850" s="6" t="s">
        <v>4309</v>
      </c>
      <c r="M850" s="6" t="s">
        <v>4310</v>
      </c>
      <c r="N850" s="10"/>
      <c r="O850" s="4" t="str">
        <f aca="false">IF(N850="","",LEN(N850))</f>
        <v/>
      </c>
    </row>
    <row r="851" customFormat="false" ht="51.75" hidden="false" customHeight="true" outlineLevel="0" collapsed="false">
      <c r="A851" s="4" t="n">
        <v>850</v>
      </c>
      <c r="B851" s="5" t="n">
        <f aca="false">IF(OR(C851="სხვა მოდელი წერია",I851&gt;=განმარტება!$B$4),1,IF(OR(C851="ცარიელი",I851&gt;=1),2,IF(H851&gt;=განმარტება!$B$5,3,4)))</f>
        <v>4</v>
      </c>
      <c r="C851" s="6" t="s">
        <v>15</v>
      </c>
      <c r="D851" s="6" t="s">
        <v>4311</v>
      </c>
      <c r="E851" s="7" t="s">
        <v>4312</v>
      </c>
      <c r="F851" s="7" t="n">
        <v>2416</v>
      </c>
      <c r="G851" s="6" t="s">
        <v>134</v>
      </c>
      <c r="H851" s="8" t="n">
        <v>499</v>
      </c>
      <c r="I851" s="8" t="n">
        <v>0</v>
      </c>
      <c r="J851" s="7" t="n">
        <v>0</v>
      </c>
      <c r="K851" s="9" t="s">
        <v>4313</v>
      </c>
      <c r="L851" s="6" t="s">
        <v>4314</v>
      </c>
      <c r="M851" s="6" t="s">
        <v>4315</v>
      </c>
      <c r="N851" s="10"/>
      <c r="O851" s="4" t="str">
        <f aca="false">IF(N851="","",LEN(N851))</f>
        <v/>
      </c>
    </row>
    <row r="852" customFormat="false" ht="39" hidden="false" customHeight="true" outlineLevel="0" collapsed="false">
      <c r="A852" s="4" t="n">
        <v>851</v>
      </c>
      <c r="B852" s="5" t="n">
        <f aca="false">IF(OR(C852="სხვა მოდელი წერია",I852&gt;=განმარტება!$B$4),1,IF(OR(C852="ცარიელი",I852&gt;=1),2,IF(H852&gt;=განმარტება!$B$5,3,4)))</f>
        <v>4</v>
      </c>
      <c r="C852" s="6" t="s">
        <v>15</v>
      </c>
      <c r="D852" s="6" t="s">
        <v>4316</v>
      </c>
      <c r="E852" s="7" t="s">
        <v>4317</v>
      </c>
      <c r="F852" s="7" t="n">
        <v>2910</v>
      </c>
      <c r="G852" s="6" t="s">
        <v>3620</v>
      </c>
      <c r="H852" s="8" t="n">
        <v>495</v>
      </c>
      <c r="I852" s="8" t="n">
        <v>0</v>
      </c>
      <c r="J852" s="7" t="n">
        <v>0</v>
      </c>
      <c r="K852" s="9" t="s">
        <v>4318</v>
      </c>
      <c r="L852" s="6" t="s">
        <v>4319</v>
      </c>
      <c r="M852" s="6" t="s">
        <v>4320</v>
      </c>
      <c r="N852" s="10"/>
      <c r="O852" s="4" t="str">
        <f aca="false">IF(N852="","",LEN(N852))</f>
        <v/>
      </c>
    </row>
    <row r="853" customFormat="false" ht="39" hidden="false" customHeight="true" outlineLevel="0" collapsed="false">
      <c r="A853" s="4" t="n">
        <v>852</v>
      </c>
      <c r="B853" s="5" t="n">
        <f aca="false">IF(OR(C853="სხვა მოდელი წერია",I853&gt;=განმარტება!$B$4),1,IF(OR(C853="ცარიელი",I853&gt;=1),2,IF(H853&gt;=განმარტება!$B$5,3,4)))</f>
        <v>4</v>
      </c>
      <c r="C853" s="6" t="s">
        <v>15</v>
      </c>
      <c r="D853" s="6" t="s">
        <v>4321</v>
      </c>
      <c r="E853" s="7" t="s">
        <v>4322</v>
      </c>
      <c r="F853" s="7" t="n">
        <v>1498</v>
      </c>
      <c r="G853" s="6" t="s">
        <v>858</v>
      </c>
      <c r="H853" s="8" t="n">
        <v>489</v>
      </c>
      <c r="I853" s="8" t="n">
        <v>0</v>
      </c>
      <c r="J853" s="7" t="n">
        <v>0</v>
      </c>
      <c r="K853" s="9" t="s">
        <v>4323</v>
      </c>
      <c r="L853" s="6" t="s">
        <v>4324</v>
      </c>
      <c r="M853" s="6" t="s">
        <v>4325</v>
      </c>
      <c r="N853" s="10"/>
      <c r="O853" s="4" t="str">
        <f aca="false">IF(N853="","",LEN(N853))</f>
        <v/>
      </c>
    </row>
    <row r="854" customFormat="false" ht="51.75" hidden="false" customHeight="true" outlineLevel="0" collapsed="false">
      <c r="A854" s="4" t="n">
        <v>853</v>
      </c>
      <c r="B854" s="5" t="n">
        <f aca="false">IF(OR(C854="სხვა მოდელი წერია",I854&gt;=განმარტება!$B$4),1,IF(OR(C854="ცარიელი",I854&gt;=1),2,IF(H854&gt;=განმარტება!$B$5,3,4)))</f>
        <v>4</v>
      </c>
      <c r="C854" s="6" t="s">
        <v>15</v>
      </c>
      <c r="D854" s="6" t="s">
        <v>4326</v>
      </c>
      <c r="E854" s="7" t="s">
        <v>4327</v>
      </c>
      <c r="F854" s="7" t="n">
        <v>3015</v>
      </c>
      <c r="G854" s="6" t="s">
        <v>30</v>
      </c>
      <c r="H854" s="8" t="n">
        <v>489</v>
      </c>
      <c r="I854" s="8" t="n">
        <v>0</v>
      </c>
      <c r="J854" s="7" t="n">
        <v>0</v>
      </c>
      <c r="K854" s="9" t="s">
        <v>4328</v>
      </c>
      <c r="L854" s="6" t="s">
        <v>4329</v>
      </c>
      <c r="M854" s="6" t="s">
        <v>4330</v>
      </c>
      <c r="N854" s="10"/>
      <c r="O854" s="4" t="str">
        <f aca="false">IF(N854="","",LEN(N854))</f>
        <v/>
      </c>
    </row>
    <row r="855" customFormat="false" ht="39" hidden="false" customHeight="true" outlineLevel="0" collapsed="false">
      <c r="A855" s="4" t="n">
        <v>854</v>
      </c>
      <c r="B855" s="5" t="n">
        <f aca="false">IF(OR(C855="სხვა მოდელი წერია",I855&gt;=განმარტება!$B$4),1,IF(OR(C855="ცარიელი",I855&gt;=1),2,IF(H855&gt;=განმარტება!$B$5,3,4)))</f>
        <v>4</v>
      </c>
      <c r="C855" s="6" t="s">
        <v>15</v>
      </c>
      <c r="D855" s="6" t="s">
        <v>4331</v>
      </c>
      <c r="E855" s="7" t="s">
        <v>4332</v>
      </c>
      <c r="F855" s="7" t="n">
        <v>2976</v>
      </c>
      <c r="G855" s="6" t="s">
        <v>402</v>
      </c>
      <c r="H855" s="8" t="n">
        <v>489</v>
      </c>
      <c r="I855" s="8" t="n">
        <v>0</v>
      </c>
      <c r="J855" s="7" t="n">
        <v>0</v>
      </c>
      <c r="K855" s="9" t="s">
        <v>4333</v>
      </c>
      <c r="L855" s="6" t="s">
        <v>4334</v>
      </c>
      <c r="M855" s="6" t="s">
        <v>4335</v>
      </c>
      <c r="N855" s="10"/>
      <c r="O855" s="4" t="str">
        <f aca="false">IF(N855="","",LEN(N855))</f>
        <v/>
      </c>
    </row>
    <row r="856" customFormat="false" ht="51.75" hidden="false" customHeight="true" outlineLevel="0" collapsed="false">
      <c r="A856" s="4" t="n">
        <v>855</v>
      </c>
      <c r="B856" s="5" t="n">
        <f aca="false">IF(OR(C856="სხვა მოდელი წერია",I856&gt;=განმარტება!$B$4),1,IF(OR(C856="ცარიელი",I856&gt;=1),2,IF(H856&gt;=განმარტება!$B$5,3,4)))</f>
        <v>4</v>
      </c>
      <c r="C856" s="6" t="s">
        <v>15</v>
      </c>
      <c r="D856" s="6" t="s">
        <v>4336</v>
      </c>
      <c r="E856" s="7" t="s">
        <v>4337</v>
      </c>
      <c r="F856" s="7" t="n">
        <v>5095</v>
      </c>
      <c r="G856" s="6" t="s">
        <v>574</v>
      </c>
      <c r="H856" s="8" t="n">
        <v>489</v>
      </c>
      <c r="I856" s="8" t="n">
        <v>0</v>
      </c>
      <c r="J856" s="7" t="n">
        <v>0</v>
      </c>
      <c r="K856" s="9" t="s">
        <v>4338</v>
      </c>
      <c r="L856" s="6" t="s">
        <v>4339</v>
      </c>
      <c r="M856" s="6" t="s">
        <v>4340</v>
      </c>
      <c r="N856" s="10"/>
      <c r="O856" s="4" t="str">
        <f aca="false">IF(N856="","",LEN(N856))</f>
        <v/>
      </c>
    </row>
    <row r="857" customFormat="false" ht="51.75" hidden="false" customHeight="true" outlineLevel="0" collapsed="false">
      <c r="A857" s="4" t="n">
        <v>856</v>
      </c>
      <c r="B857" s="5" t="n">
        <f aca="false">IF(OR(C857="სხვა მოდელი წერია",I857&gt;=განმარტება!$B$4),1,IF(OR(C857="ცარიელი",I857&gt;=1),2,IF(H857&gt;=განმარტება!$B$5,3,4)))</f>
        <v>4</v>
      </c>
      <c r="C857" s="6" t="s">
        <v>15</v>
      </c>
      <c r="D857" s="6" t="s">
        <v>4341</v>
      </c>
      <c r="E857" s="7" t="s">
        <v>4342</v>
      </c>
      <c r="F857" s="7" t="n">
        <v>2870</v>
      </c>
      <c r="G857" s="6" t="s">
        <v>3253</v>
      </c>
      <c r="H857" s="8" t="n">
        <v>480</v>
      </c>
      <c r="I857" s="8" t="n">
        <v>0</v>
      </c>
      <c r="J857" s="7" t="n">
        <v>0</v>
      </c>
      <c r="K857" s="9" t="s">
        <v>4343</v>
      </c>
      <c r="L857" s="6" t="s">
        <v>4344</v>
      </c>
      <c r="M857" s="6" t="s">
        <v>4345</v>
      </c>
      <c r="N857" s="10"/>
      <c r="O857" s="4" t="str">
        <f aca="false">IF(N857="","",LEN(N857))</f>
        <v/>
      </c>
    </row>
    <row r="858" customFormat="false" ht="39" hidden="false" customHeight="true" outlineLevel="0" collapsed="false">
      <c r="A858" s="4" t="n">
        <v>857</v>
      </c>
      <c r="B858" s="5" t="n">
        <f aca="false">IF(OR(C858="სხვა მოდელი წერია",I858&gt;=განმარტება!$B$4),1,IF(OR(C858="ცარიელი",I858&gt;=1),2,IF(H858&gt;=განმარტება!$B$5,3,4)))</f>
        <v>4</v>
      </c>
      <c r="C858" s="6" t="s">
        <v>15</v>
      </c>
      <c r="D858" s="6" t="s">
        <v>4346</v>
      </c>
      <c r="E858" s="7" t="s">
        <v>4347</v>
      </c>
      <c r="F858" s="7" t="n">
        <v>745</v>
      </c>
      <c r="G858" s="6" t="s">
        <v>302</v>
      </c>
      <c r="H858" s="8" t="n">
        <v>480</v>
      </c>
      <c r="I858" s="8" t="n">
        <v>0</v>
      </c>
      <c r="J858" s="7" t="n">
        <v>0</v>
      </c>
      <c r="K858" s="9" t="s">
        <v>4348</v>
      </c>
      <c r="L858" s="6" t="s">
        <v>4349</v>
      </c>
      <c r="M858" s="6" t="s">
        <v>4350</v>
      </c>
      <c r="N858" s="10"/>
      <c r="O858" s="4" t="str">
        <f aca="false">IF(N858="","",LEN(N858))</f>
        <v/>
      </c>
    </row>
    <row r="859" customFormat="false" ht="51.75" hidden="false" customHeight="true" outlineLevel="0" collapsed="false">
      <c r="A859" s="4" t="n">
        <v>858</v>
      </c>
      <c r="B859" s="5" t="n">
        <f aca="false">IF(OR(C859="სხვა მოდელი წერია",I859&gt;=განმარტება!$B$4),1,IF(OR(C859="ცარიელი",I859&gt;=1),2,IF(H859&gt;=განმარტება!$B$5,3,4)))</f>
        <v>4</v>
      </c>
      <c r="C859" s="6" t="s">
        <v>15</v>
      </c>
      <c r="D859" s="6" t="s">
        <v>4351</v>
      </c>
      <c r="E859" s="7" t="s">
        <v>4352</v>
      </c>
      <c r="F859" s="7" t="n">
        <v>2872</v>
      </c>
      <c r="G859" s="6" t="s">
        <v>3253</v>
      </c>
      <c r="H859" s="8" t="n">
        <v>479</v>
      </c>
      <c r="I859" s="8" t="n">
        <v>0</v>
      </c>
      <c r="J859" s="7" t="n">
        <v>0</v>
      </c>
      <c r="K859" s="9" t="s">
        <v>4353</v>
      </c>
      <c r="L859" s="6" t="s">
        <v>4354</v>
      </c>
      <c r="M859" s="6" t="s">
        <v>4355</v>
      </c>
      <c r="N859" s="10"/>
      <c r="O859" s="4" t="str">
        <f aca="false">IF(N859="","",LEN(N859))</f>
        <v/>
      </c>
    </row>
    <row r="860" customFormat="false" ht="39" hidden="false" customHeight="true" outlineLevel="0" collapsed="false">
      <c r="A860" s="4" t="n">
        <v>859</v>
      </c>
      <c r="B860" s="5" t="n">
        <f aca="false">IF(OR(C860="სხვა მოდელი წერია",I860&gt;=განმარტება!$B$4),1,IF(OR(C860="ცარიელი",I860&gt;=1),2,IF(H860&gt;=განმარტება!$B$5,3,4)))</f>
        <v>4</v>
      </c>
      <c r="C860" s="6" t="s">
        <v>316</v>
      </c>
      <c r="D860" s="6" t="s">
        <v>4356</v>
      </c>
      <c r="E860" s="7" t="s">
        <v>4357</v>
      </c>
      <c r="F860" s="7" t="n">
        <v>668</v>
      </c>
      <c r="G860" s="6" t="s">
        <v>118</v>
      </c>
      <c r="H860" s="8" t="n">
        <v>479</v>
      </c>
      <c r="I860" s="8" t="n">
        <v>0</v>
      </c>
      <c r="J860" s="7" t="n">
        <v>0</v>
      </c>
      <c r="K860" s="9" t="s">
        <v>4358</v>
      </c>
      <c r="L860" s="6" t="s">
        <v>4359</v>
      </c>
      <c r="M860" s="6" t="s">
        <v>4360</v>
      </c>
      <c r="N860" s="10"/>
      <c r="O860" s="4" t="str">
        <f aca="false">IF(N860="","",LEN(N860))</f>
        <v/>
      </c>
    </row>
    <row r="861" customFormat="false" ht="51.75" hidden="false" customHeight="true" outlineLevel="0" collapsed="false">
      <c r="A861" s="4" t="n">
        <v>860</v>
      </c>
      <c r="B861" s="5" t="n">
        <f aca="false">IF(OR(C861="სხვა მოდელი წერია",I861&gt;=განმარტება!$B$4),1,IF(OR(C861="ცარიელი",I861&gt;=1),2,IF(H861&gt;=განმარტება!$B$5,3,4)))</f>
        <v>4</v>
      </c>
      <c r="C861" s="6" t="s">
        <v>15</v>
      </c>
      <c r="D861" s="6" t="s">
        <v>4361</v>
      </c>
      <c r="E861" s="7" t="s">
        <v>4362</v>
      </c>
      <c r="F861" s="7" t="n">
        <v>3085</v>
      </c>
      <c r="G861" s="6" t="s">
        <v>30</v>
      </c>
      <c r="H861" s="8" t="n">
        <v>474</v>
      </c>
      <c r="I861" s="8" t="n">
        <v>0</v>
      </c>
      <c r="J861" s="7" t="n">
        <v>0</v>
      </c>
      <c r="K861" s="9" t="s">
        <v>4363</v>
      </c>
      <c r="L861" s="6" t="s">
        <v>4364</v>
      </c>
      <c r="M861" s="6" t="s">
        <v>4365</v>
      </c>
      <c r="N861" s="10"/>
      <c r="O861" s="4" t="str">
        <f aca="false">IF(N861="","",LEN(N861))</f>
        <v/>
      </c>
    </row>
    <row r="862" customFormat="false" ht="51.75" hidden="false" customHeight="true" outlineLevel="0" collapsed="false">
      <c r="A862" s="4" t="n">
        <v>861</v>
      </c>
      <c r="B862" s="5" t="n">
        <f aca="false">IF(OR(C862="სხვა მოდელი წერია",I862&gt;=განმარტება!$B$4),1,IF(OR(C862="ცარიელი",I862&gt;=1),2,IF(H862&gt;=განმარტება!$B$5,3,4)))</f>
        <v>4</v>
      </c>
      <c r="C862" s="6" t="s">
        <v>15</v>
      </c>
      <c r="D862" s="6" t="s">
        <v>4366</v>
      </c>
      <c r="E862" s="7" t="s">
        <v>4367</v>
      </c>
      <c r="F862" s="7" t="n">
        <v>2252</v>
      </c>
      <c r="G862" s="6" t="s">
        <v>595</v>
      </c>
      <c r="H862" s="8" t="n">
        <v>469</v>
      </c>
      <c r="I862" s="8" t="n">
        <v>0</v>
      </c>
      <c r="J862" s="7" t="n">
        <v>0</v>
      </c>
      <c r="K862" s="9" t="s">
        <v>4368</v>
      </c>
      <c r="L862" s="6" t="s">
        <v>4369</v>
      </c>
      <c r="M862" s="6" t="s">
        <v>4370</v>
      </c>
      <c r="N862" s="10"/>
      <c r="O862" s="4" t="str">
        <f aca="false">IF(N862="","",LEN(N862))</f>
        <v/>
      </c>
    </row>
    <row r="863" customFormat="false" ht="39" hidden="false" customHeight="true" outlineLevel="0" collapsed="false">
      <c r="A863" s="4" t="n">
        <v>862</v>
      </c>
      <c r="B863" s="5" t="n">
        <f aca="false">IF(OR(C863="სხვა მოდელი წერია",I863&gt;=განმარტება!$B$4),1,IF(OR(C863="ცარიელი",I863&gt;=1),2,IF(H863&gt;=განმარტება!$B$5,3,4)))</f>
        <v>4</v>
      </c>
      <c r="C863" s="6" t="s">
        <v>15</v>
      </c>
      <c r="D863" s="6" t="s">
        <v>4371</v>
      </c>
      <c r="E863" s="7" t="s">
        <v>4372</v>
      </c>
      <c r="F863" s="7" t="n">
        <v>748</v>
      </c>
      <c r="G863" s="6" t="s">
        <v>302</v>
      </c>
      <c r="H863" s="8" t="n">
        <v>468</v>
      </c>
      <c r="I863" s="8" t="n">
        <v>0</v>
      </c>
      <c r="J863" s="7" t="n">
        <v>0</v>
      </c>
      <c r="K863" s="9" t="s">
        <v>4373</v>
      </c>
      <c r="L863" s="6" t="s">
        <v>4374</v>
      </c>
      <c r="M863" s="6" t="s">
        <v>4375</v>
      </c>
      <c r="N863" s="10"/>
      <c r="O863" s="4" t="str">
        <f aca="false">IF(N863="","",LEN(N863))</f>
        <v/>
      </c>
    </row>
    <row r="864" customFormat="false" ht="39" hidden="false" customHeight="true" outlineLevel="0" collapsed="false">
      <c r="A864" s="4" t="n">
        <v>863</v>
      </c>
      <c r="B864" s="5" t="n">
        <f aca="false">IF(OR(C864="სხვა მოდელი წერია",I864&gt;=განმარტება!$B$4),1,IF(OR(C864="ცარიელი",I864&gt;=1),2,IF(H864&gt;=განმარტება!$B$5,3,4)))</f>
        <v>4</v>
      </c>
      <c r="C864" s="6" t="s">
        <v>15</v>
      </c>
      <c r="D864" s="6" t="s">
        <v>4376</v>
      </c>
      <c r="E864" s="7" t="s">
        <v>4377</v>
      </c>
      <c r="F864" s="7" t="n">
        <v>1314</v>
      </c>
      <c r="G864" s="6" t="s">
        <v>1994</v>
      </c>
      <c r="H864" s="8" t="n">
        <v>460</v>
      </c>
      <c r="I864" s="8" t="n">
        <v>0</v>
      </c>
      <c r="J864" s="7" t="n">
        <v>0</v>
      </c>
      <c r="K864" s="9" t="s">
        <v>4378</v>
      </c>
      <c r="L864" s="6" t="s">
        <v>4379</v>
      </c>
      <c r="M864" s="6" t="s">
        <v>4380</v>
      </c>
      <c r="N864" s="10"/>
      <c r="O864" s="4" t="str">
        <f aca="false">IF(N864="","",LEN(N864))</f>
        <v/>
      </c>
    </row>
    <row r="865" customFormat="false" ht="51.75" hidden="false" customHeight="true" outlineLevel="0" collapsed="false">
      <c r="A865" s="4" t="n">
        <v>864</v>
      </c>
      <c r="B865" s="5" t="n">
        <f aca="false">IF(OR(C865="სხვა მოდელი წერია",I865&gt;=განმარტება!$B$4),1,IF(OR(C865="ცარიელი",I865&gt;=1),2,IF(H865&gt;=განმარტება!$B$5,3,4)))</f>
        <v>4</v>
      </c>
      <c r="C865" s="6" t="s">
        <v>15</v>
      </c>
      <c r="D865" s="6" t="s">
        <v>4381</v>
      </c>
      <c r="E865" s="7" t="s">
        <v>4382</v>
      </c>
      <c r="F865" s="7" t="n">
        <v>1896</v>
      </c>
      <c r="G865" s="6" t="s">
        <v>595</v>
      </c>
      <c r="H865" s="8" t="n">
        <v>459</v>
      </c>
      <c r="I865" s="8" t="n">
        <v>0</v>
      </c>
      <c r="J865" s="7" t="n">
        <v>0</v>
      </c>
      <c r="K865" s="9" t="s">
        <v>4383</v>
      </c>
      <c r="L865" s="6" t="s">
        <v>4384</v>
      </c>
      <c r="M865" s="6" t="s">
        <v>4385</v>
      </c>
      <c r="N865" s="10"/>
      <c r="O865" s="4" t="str">
        <f aca="false">IF(N865="","",LEN(N865))</f>
        <v/>
      </c>
    </row>
    <row r="866" customFormat="false" ht="39" hidden="false" customHeight="true" outlineLevel="0" collapsed="false">
      <c r="A866" s="4" t="n">
        <v>865</v>
      </c>
      <c r="B866" s="5" t="n">
        <f aca="false">IF(OR(C866="სხვა მოდელი წერია",I866&gt;=განმარტება!$B$4),1,IF(OR(C866="ცარიელი",I866&gt;=1),2,IF(H866&gt;=განმარტება!$B$5,3,4)))</f>
        <v>4</v>
      </c>
      <c r="C866" s="6" t="s">
        <v>15</v>
      </c>
      <c r="D866" s="6" t="s">
        <v>4386</v>
      </c>
      <c r="E866" s="7" t="s">
        <v>4387</v>
      </c>
      <c r="F866" s="7" t="n">
        <v>1321</v>
      </c>
      <c r="G866" s="6" t="s">
        <v>402</v>
      </c>
      <c r="H866" s="8" t="n">
        <v>459</v>
      </c>
      <c r="I866" s="8" t="n">
        <v>0</v>
      </c>
      <c r="J866" s="7" t="n">
        <v>0</v>
      </c>
      <c r="K866" s="9" t="s">
        <v>4388</v>
      </c>
      <c r="L866" s="6" t="s">
        <v>4389</v>
      </c>
      <c r="M866" s="6" t="s">
        <v>4390</v>
      </c>
      <c r="N866" s="10"/>
      <c r="O866" s="4" t="str">
        <f aca="false">IF(N866="","",LEN(N866))</f>
        <v/>
      </c>
    </row>
    <row r="867" customFormat="false" ht="51.75" hidden="false" customHeight="true" outlineLevel="0" collapsed="false">
      <c r="A867" s="4" t="n">
        <v>866</v>
      </c>
      <c r="B867" s="5" t="n">
        <f aca="false">IF(OR(C867="სხვა მოდელი წერია",I867&gt;=განმარტება!$B$4),1,IF(OR(C867="ცარიელი",I867&gt;=1),2,IF(H867&gt;=განმარტება!$B$5,3,4)))</f>
        <v>4</v>
      </c>
      <c r="C867" s="6" t="s">
        <v>15</v>
      </c>
      <c r="D867" s="6" t="s">
        <v>4391</v>
      </c>
      <c r="E867" s="7" t="s">
        <v>4392</v>
      </c>
      <c r="F867" s="7" t="n">
        <v>2037</v>
      </c>
      <c r="G867" s="6" t="s">
        <v>595</v>
      </c>
      <c r="H867" s="8" t="n">
        <v>459</v>
      </c>
      <c r="I867" s="8" t="n">
        <v>0</v>
      </c>
      <c r="J867" s="7" t="n">
        <v>0</v>
      </c>
      <c r="K867" s="9" t="s">
        <v>4393</v>
      </c>
      <c r="L867" s="6" t="s">
        <v>4394</v>
      </c>
      <c r="M867" s="6" t="s">
        <v>4395</v>
      </c>
      <c r="N867" s="10"/>
      <c r="O867" s="4" t="str">
        <f aca="false">IF(N867="","",LEN(N867))</f>
        <v/>
      </c>
    </row>
    <row r="868" customFormat="false" ht="39" hidden="false" customHeight="true" outlineLevel="0" collapsed="false">
      <c r="A868" s="4" t="n">
        <v>867</v>
      </c>
      <c r="B868" s="5" t="n">
        <f aca="false">IF(OR(C868="სხვა მოდელი წერია",I868&gt;=განმარტება!$B$4),1,IF(OR(C868="ცარიელი",I868&gt;=1),2,IF(H868&gt;=განმარტება!$B$5,3,4)))</f>
        <v>4</v>
      </c>
      <c r="C868" s="6" t="s">
        <v>15</v>
      </c>
      <c r="D868" s="6" t="s">
        <v>4396</v>
      </c>
      <c r="E868" s="7" t="s">
        <v>4397</v>
      </c>
      <c r="F868" s="7" t="n">
        <v>6310</v>
      </c>
      <c r="G868" s="6" t="s">
        <v>4398</v>
      </c>
      <c r="H868" s="8" t="n">
        <v>458</v>
      </c>
      <c r="I868" s="8" t="n">
        <v>0</v>
      </c>
      <c r="J868" s="7" t="n">
        <v>0</v>
      </c>
      <c r="K868" s="9" t="s">
        <v>4399</v>
      </c>
      <c r="L868" s="6" t="s">
        <v>4400</v>
      </c>
      <c r="M868" s="6" t="s">
        <v>4401</v>
      </c>
      <c r="N868" s="10"/>
      <c r="O868" s="4" t="str">
        <f aca="false">IF(N868="","",LEN(N868))</f>
        <v/>
      </c>
    </row>
    <row r="869" customFormat="false" ht="39" hidden="false" customHeight="true" outlineLevel="0" collapsed="false">
      <c r="A869" s="4" t="n">
        <v>868</v>
      </c>
      <c r="B869" s="5" t="n">
        <f aca="false">IF(OR(C869="სხვა მოდელი წერია",I869&gt;=განმარტება!$B$4),1,IF(OR(C869="ცარიელი",I869&gt;=1),2,IF(H869&gt;=განმარტება!$B$5,3,4)))</f>
        <v>4</v>
      </c>
      <c r="C869" s="6" t="s">
        <v>316</v>
      </c>
      <c r="D869" s="6" t="s">
        <v>4402</v>
      </c>
      <c r="E869" s="7" t="s">
        <v>4403</v>
      </c>
      <c r="F869" s="7" t="n">
        <v>1312</v>
      </c>
      <c r="G869" s="6" t="s">
        <v>1994</v>
      </c>
      <c r="H869" s="8" t="n">
        <v>450</v>
      </c>
      <c r="I869" s="8" t="n">
        <v>0</v>
      </c>
      <c r="J869" s="7" t="n">
        <v>0</v>
      </c>
      <c r="K869" s="9" t="s">
        <v>4404</v>
      </c>
      <c r="L869" s="6" t="s">
        <v>4405</v>
      </c>
      <c r="M869" s="6" t="s">
        <v>4406</v>
      </c>
      <c r="N869" s="10"/>
      <c r="O869" s="4" t="str">
        <f aca="false">IF(N869="","",LEN(N869))</f>
        <v/>
      </c>
    </row>
    <row r="870" customFormat="false" ht="51.75" hidden="false" customHeight="true" outlineLevel="0" collapsed="false">
      <c r="A870" s="4" t="n">
        <v>869</v>
      </c>
      <c r="B870" s="5" t="n">
        <f aca="false">IF(OR(C870="სხვა მოდელი წერია",I870&gt;=განმარტება!$B$4),1,IF(OR(C870="ცარიელი",I870&gt;=1),2,IF(H870&gt;=განმარტება!$B$5,3,4)))</f>
        <v>4</v>
      </c>
      <c r="C870" s="6" t="s">
        <v>15</v>
      </c>
      <c r="D870" s="6" t="s">
        <v>4407</v>
      </c>
      <c r="E870" s="7" t="s">
        <v>4408</v>
      </c>
      <c r="F870" s="7" t="n">
        <v>8920</v>
      </c>
      <c r="G870" s="6" t="s">
        <v>1267</v>
      </c>
      <c r="H870" s="8" t="n">
        <v>449</v>
      </c>
      <c r="I870" s="8" t="n">
        <v>0</v>
      </c>
      <c r="J870" s="7" t="n">
        <v>0</v>
      </c>
      <c r="K870" s="9" t="s">
        <v>4409</v>
      </c>
      <c r="L870" s="6" t="s">
        <v>4410</v>
      </c>
      <c r="M870" s="6" t="s">
        <v>4411</v>
      </c>
      <c r="N870" s="10"/>
      <c r="O870" s="4" t="str">
        <f aca="false">IF(N870="","",LEN(N870))</f>
        <v/>
      </c>
    </row>
    <row r="871" customFormat="false" ht="39" hidden="false" customHeight="true" outlineLevel="0" collapsed="false">
      <c r="A871" s="4" t="n">
        <v>870</v>
      </c>
      <c r="B871" s="5" t="n">
        <f aca="false">IF(OR(C871="სხვა მოდელი წერია",I871&gt;=განმარტება!$B$4),1,IF(OR(C871="ცარიელი",I871&gt;=1),2,IF(H871&gt;=განმარტება!$B$5,3,4)))</f>
        <v>4</v>
      </c>
      <c r="C871" s="6" t="s">
        <v>15</v>
      </c>
      <c r="D871" s="6" t="s">
        <v>4412</v>
      </c>
      <c r="E871" s="7" t="s">
        <v>4413</v>
      </c>
      <c r="F871" s="7" t="n">
        <v>2973</v>
      </c>
      <c r="G871" s="6" t="s">
        <v>177</v>
      </c>
      <c r="H871" s="8" t="n">
        <v>449</v>
      </c>
      <c r="I871" s="8" t="n">
        <v>0</v>
      </c>
      <c r="J871" s="7" t="n">
        <v>0</v>
      </c>
      <c r="K871" s="9" t="s">
        <v>4414</v>
      </c>
      <c r="L871" s="6" t="s">
        <v>4415</v>
      </c>
      <c r="M871" s="6" t="s">
        <v>4416</v>
      </c>
      <c r="N871" s="10"/>
      <c r="O871" s="4" t="str">
        <f aca="false">IF(N871="","",LEN(N871))</f>
        <v/>
      </c>
    </row>
    <row r="872" customFormat="false" ht="39" hidden="false" customHeight="true" outlineLevel="0" collapsed="false">
      <c r="A872" s="4" t="n">
        <v>871</v>
      </c>
      <c r="B872" s="5" t="n">
        <f aca="false">IF(OR(C872="სხვა მოდელი წერია",I872&gt;=განმარტება!$B$4),1,IF(OR(C872="ცარიელი",I872&gt;=1),2,IF(H872&gt;=განმარტება!$B$5,3,4)))</f>
        <v>4</v>
      </c>
      <c r="C872" s="6" t="s">
        <v>15</v>
      </c>
      <c r="D872" s="6" t="s">
        <v>4417</v>
      </c>
      <c r="E872" s="7" t="s">
        <v>4418</v>
      </c>
      <c r="F872" s="7" t="n">
        <v>2744</v>
      </c>
      <c r="G872" s="6" t="s">
        <v>285</v>
      </c>
      <c r="H872" s="8" t="n">
        <v>449</v>
      </c>
      <c r="I872" s="8" t="n">
        <v>0</v>
      </c>
      <c r="J872" s="7" t="n">
        <v>0</v>
      </c>
      <c r="K872" s="9" t="s">
        <v>4419</v>
      </c>
      <c r="L872" s="6" t="s">
        <v>4420</v>
      </c>
      <c r="M872" s="6" t="s">
        <v>4421</v>
      </c>
      <c r="N872" s="10"/>
      <c r="O872" s="4" t="str">
        <f aca="false">IF(N872="","",LEN(N872))</f>
        <v/>
      </c>
    </row>
    <row r="873" customFormat="false" ht="51.75" hidden="false" customHeight="true" outlineLevel="0" collapsed="false">
      <c r="A873" s="4" t="n">
        <v>872</v>
      </c>
      <c r="B873" s="5" t="n">
        <f aca="false">IF(OR(C873="სხვა მოდელი წერია",I873&gt;=განმარტება!$B$4),1,IF(OR(C873="ცარიელი",I873&gt;=1),2,IF(H873&gt;=განმარტება!$B$5,3,4)))</f>
        <v>4</v>
      </c>
      <c r="C873" s="6" t="s">
        <v>15</v>
      </c>
      <c r="D873" s="6" t="s">
        <v>4422</v>
      </c>
      <c r="E873" s="7" t="s">
        <v>4423</v>
      </c>
      <c r="F873" s="7" t="n">
        <v>1892</v>
      </c>
      <c r="G873" s="6" t="s">
        <v>595</v>
      </c>
      <c r="H873" s="8" t="n">
        <v>449</v>
      </c>
      <c r="I873" s="8" t="n">
        <v>0</v>
      </c>
      <c r="J873" s="7" t="n">
        <v>0</v>
      </c>
      <c r="K873" s="9" t="s">
        <v>4424</v>
      </c>
      <c r="L873" s="6" t="s">
        <v>4425</v>
      </c>
      <c r="M873" s="6" t="s">
        <v>4426</v>
      </c>
      <c r="N873" s="10"/>
      <c r="O873" s="4" t="str">
        <f aca="false">IF(N873="","",LEN(N873))</f>
        <v/>
      </c>
    </row>
    <row r="874" customFormat="false" ht="39" hidden="false" customHeight="true" outlineLevel="0" collapsed="false">
      <c r="A874" s="4" t="n">
        <v>873</v>
      </c>
      <c r="B874" s="5" t="n">
        <f aca="false">IF(OR(C874="სხვა მოდელი წერია",I874&gt;=განმარტება!$B$4),1,IF(OR(C874="ცარიელი",I874&gt;=1),2,IF(H874&gt;=განმარტება!$B$5,3,4)))</f>
        <v>4</v>
      </c>
      <c r="C874" s="6" t="s">
        <v>15</v>
      </c>
      <c r="D874" s="6" t="s">
        <v>4427</v>
      </c>
      <c r="E874" s="7" t="s">
        <v>4428</v>
      </c>
      <c r="F874" s="7" t="n">
        <v>1418</v>
      </c>
      <c r="G874" s="6" t="s">
        <v>24</v>
      </c>
      <c r="H874" s="8" t="n">
        <v>449</v>
      </c>
      <c r="I874" s="8" t="n">
        <v>0</v>
      </c>
      <c r="J874" s="7" t="n">
        <v>0</v>
      </c>
      <c r="K874" s="9" t="s">
        <v>4429</v>
      </c>
      <c r="L874" s="6" t="s">
        <v>4430</v>
      </c>
      <c r="M874" s="6" t="s">
        <v>4431</v>
      </c>
      <c r="N874" s="10"/>
      <c r="O874" s="4" t="str">
        <f aca="false">IF(N874="","",LEN(N874))</f>
        <v/>
      </c>
    </row>
    <row r="875" customFormat="false" ht="51.75" hidden="false" customHeight="true" outlineLevel="0" collapsed="false">
      <c r="A875" s="4" t="n">
        <v>874</v>
      </c>
      <c r="B875" s="5" t="n">
        <f aca="false">IF(OR(C875="სხვა მოდელი წერია",I875&gt;=განმარტება!$B$4),1,IF(OR(C875="ცარიელი",I875&gt;=1),2,IF(H875&gt;=განმარტება!$B$5,3,4)))</f>
        <v>4</v>
      </c>
      <c r="C875" s="6" t="s">
        <v>15</v>
      </c>
      <c r="D875" s="6" t="s">
        <v>4432</v>
      </c>
      <c r="E875" s="7" t="s">
        <v>4433</v>
      </c>
      <c r="F875" s="7" t="n">
        <v>3131</v>
      </c>
      <c r="G875" s="6" t="s">
        <v>30</v>
      </c>
      <c r="H875" s="8" t="n">
        <v>449</v>
      </c>
      <c r="I875" s="8" t="n">
        <v>0</v>
      </c>
      <c r="J875" s="7" t="n">
        <v>0</v>
      </c>
      <c r="K875" s="9" t="s">
        <v>4434</v>
      </c>
      <c r="L875" s="6" t="s">
        <v>4435</v>
      </c>
      <c r="M875" s="6" t="s">
        <v>4436</v>
      </c>
      <c r="N875" s="10"/>
      <c r="O875" s="4" t="str">
        <f aca="false">IF(N875="","",LEN(N875))</f>
        <v/>
      </c>
    </row>
    <row r="876" customFormat="false" ht="51.75" hidden="false" customHeight="true" outlineLevel="0" collapsed="false">
      <c r="A876" s="4" t="n">
        <v>875</v>
      </c>
      <c r="B876" s="5" t="n">
        <f aca="false">IF(OR(C876="სხვა მოდელი წერია",I876&gt;=განმარტება!$B$4),1,IF(OR(C876="ცარიელი",I876&gt;=1),2,IF(H876&gt;=განმარტება!$B$5,3,4)))</f>
        <v>4</v>
      </c>
      <c r="C876" s="6" t="s">
        <v>15</v>
      </c>
      <c r="D876" s="6" t="s">
        <v>4437</v>
      </c>
      <c r="E876" s="7" t="s">
        <v>4438</v>
      </c>
      <c r="F876" s="7" t="n">
        <v>2974</v>
      </c>
      <c r="G876" s="6" t="s">
        <v>30</v>
      </c>
      <c r="H876" s="8" t="n">
        <v>444</v>
      </c>
      <c r="I876" s="8" t="n">
        <v>0</v>
      </c>
      <c r="J876" s="7" t="n">
        <v>0</v>
      </c>
      <c r="K876" s="9" t="s">
        <v>4439</v>
      </c>
      <c r="L876" s="6" t="s">
        <v>4440</v>
      </c>
      <c r="M876" s="6" t="s">
        <v>4441</v>
      </c>
      <c r="N876" s="10"/>
      <c r="O876" s="4" t="str">
        <f aca="false">IF(N876="","",LEN(N876))</f>
        <v/>
      </c>
    </row>
    <row r="877" customFormat="false" ht="39" hidden="false" customHeight="true" outlineLevel="0" collapsed="false">
      <c r="A877" s="4" t="n">
        <v>876</v>
      </c>
      <c r="B877" s="5" t="n">
        <f aca="false">IF(OR(C877="სხვა მოდელი წერია",I877&gt;=განმარტება!$B$4),1,IF(OR(C877="ცარიელი",I877&gt;=1),2,IF(H877&gt;=განმარტება!$B$5,3,4)))</f>
        <v>4</v>
      </c>
      <c r="C877" s="6" t="s">
        <v>15</v>
      </c>
      <c r="D877" s="6" t="s">
        <v>4442</v>
      </c>
      <c r="E877" s="7" t="s">
        <v>4443</v>
      </c>
      <c r="F877" s="7" t="n">
        <v>6331</v>
      </c>
      <c r="G877" s="6" t="s">
        <v>4398</v>
      </c>
      <c r="H877" s="8" t="n">
        <v>443</v>
      </c>
      <c r="I877" s="8" t="n">
        <v>0</v>
      </c>
      <c r="J877" s="7" t="n">
        <v>0</v>
      </c>
      <c r="K877" s="9" t="s">
        <v>4444</v>
      </c>
      <c r="L877" s="6" t="s">
        <v>4445</v>
      </c>
      <c r="M877" s="6" t="s">
        <v>4446</v>
      </c>
      <c r="N877" s="10"/>
      <c r="O877" s="4" t="str">
        <f aca="false">IF(N877="","",LEN(N877))</f>
        <v/>
      </c>
    </row>
    <row r="878" customFormat="false" ht="39" hidden="false" customHeight="true" outlineLevel="0" collapsed="false">
      <c r="A878" s="4" t="n">
        <v>877</v>
      </c>
      <c r="B878" s="5" t="n">
        <f aca="false">IF(OR(C878="სხვა მოდელი წერია",I878&gt;=განმარტება!$B$4),1,IF(OR(C878="ცარიელი",I878&gt;=1),2,IF(H878&gt;=განმარტება!$B$5,3,4)))</f>
        <v>4</v>
      </c>
      <c r="C878" s="6" t="s">
        <v>15</v>
      </c>
      <c r="D878" s="6" t="s">
        <v>4447</v>
      </c>
      <c r="E878" s="7" t="s">
        <v>4448</v>
      </c>
      <c r="F878" s="7" t="n">
        <v>1721</v>
      </c>
      <c r="G878" s="6" t="s">
        <v>177</v>
      </c>
      <c r="H878" s="8" t="n">
        <v>442</v>
      </c>
      <c r="I878" s="8" t="n">
        <v>0</v>
      </c>
      <c r="J878" s="7" t="n">
        <v>0</v>
      </c>
      <c r="K878" s="9" t="s">
        <v>4449</v>
      </c>
      <c r="L878" s="6" t="s">
        <v>4450</v>
      </c>
      <c r="M878" s="6" t="s">
        <v>4451</v>
      </c>
      <c r="N878" s="10"/>
      <c r="O878" s="4" t="str">
        <f aca="false">IF(N878="","",LEN(N878))</f>
        <v/>
      </c>
    </row>
    <row r="879" customFormat="false" ht="51.75" hidden="false" customHeight="true" outlineLevel="0" collapsed="false">
      <c r="A879" s="4" t="n">
        <v>878</v>
      </c>
      <c r="B879" s="5" t="n">
        <f aca="false">IF(OR(C879="სხვა მოდელი წერია",I879&gt;=განმარტება!$B$4),1,IF(OR(C879="ცარიელი",I879&gt;=1),2,IF(H879&gt;=განმარტება!$B$5,3,4)))</f>
        <v>4</v>
      </c>
      <c r="C879" s="6" t="s">
        <v>15</v>
      </c>
      <c r="D879" s="6" t="s">
        <v>4452</v>
      </c>
      <c r="E879" s="7" t="s">
        <v>4453</v>
      </c>
      <c r="F879" s="7" t="n">
        <v>3178</v>
      </c>
      <c r="G879" s="6" t="s">
        <v>30</v>
      </c>
      <c r="H879" s="8" t="n">
        <v>440</v>
      </c>
      <c r="I879" s="8" t="n">
        <v>0</v>
      </c>
      <c r="J879" s="7" t="n">
        <v>0</v>
      </c>
      <c r="K879" s="9" t="s">
        <v>4454</v>
      </c>
      <c r="L879" s="6" t="s">
        <v>4455</v>
      </c>
      <c r="M879" s="6" t="s">
        <v>4456</v>
      </c>
      <c r="N879" s="10"/>
      <c r="O879" s="4" t="str">
        <f aca="false">IF(N879="","",LEN(N879))</f>
        <v/>
      </c>
    </row>
    <row r="880" customFormat="false" ht="39" hidden="false" customHeight="true" outlineLevel="0" collapsed="false">
      <c r="A880" s="4" t="n">
        <v>879</v>
      </c>
      <c r="B880" s="5" t="n">
        <f aca="false">IF(OR(C880="სხვა მოდელი წერია",I880&gt;=განმარტება!$B$4),1,IF(OR(C880="ცარიელი",I880&gt;=1),2,IF(H880&gt;=განმარტება!$B$5,3,4)))</f>
        <v>4</v>
      </c>
      <c r="C880" s="6" t="s">
        <v>15</v>
      </c>
      <c r="D880" s="6" t="s">
        <v>4457</v>
      </c>
      <c r="E880" s="7" t="s">
        <v>4458</v>
      </c>
      <c r="F880" s="7" t="n">
        <v>6332</v>
      </c>
      <c r="G880" s="6" t="s">
        <v>4398</v>
      </c>
      <c r="H880" s="8" t="n">
        <v>440</v>
      </c>
      <c r="I880" s="8" t="n">
        <v>0</v>
      </c>
      <c r="J880" s="7" t="n">
        <v>0</v>
      </c>
      <c r="K880" s="9" t="s">
        <v>4459</v>
      </c>
      <c r="L880" s="6" t="s">
        <v>4460</v>
      </c>
      <c r="M880" s="6" t="s">
        <v>4461</v>
      </c>
      <c r="N880" s="10"/>
      <c r="O880" s="4" t="str">
        <f aca="false">IF(N880="","",LEN(N880))</f>
        <v/>
      </c>
    </row>
    <row r="881" customFormat="false" ht="51.75" hidden="false" customHeight="true" outlineLevel="0" collapsed="false">
      <c r="A881" s="4" t="n">
        <v>880</v>
      </c>
      <c r="B881" s="5" t="n">
        <f aca="false">IF(OR(C881="სხვა მოდელი წერია",I881&gt;=განმარტება!$B$4),1,IF(OR(C881="ცარიელი",I881&gt;=1),2,IF(H881&gt;=განმარტება!$B$5,3,4)))</f>
        <v>4</v>
      </c>
      <c r="C881" s="6" t="s">
        <v>15</v>
      </c>
      <c r="D881" s="6" t="s">
        <v>4462</v>
      </c>
      <c r="E881" s="7" t="s">
        <v>4463</v>
      </c>
      <c r="F881" s="7" t="n">
        <v>1894</v>
      </c>
      <c r="G881" s="6" t="s">
        <v>595</v>
      </c>
      <c r="H881" s="8" t="n">
        <v>439</v>
      </c>
      <c r="I881" s="8" t="n">
        <v>0</v>
      </c>
      <c r="J881" s="7" t="n">
        <v>0</v>
      </c>
      <c r="K881" s="9" t="s">
        <v>4464</v>
      </c>
      <c r="L881" s="6" t="s">
        <v>4465</v>
      </c>
      <c r="M881" s="6" t="s">
        <v>4466</v>
      </c>
      <c r="N881" s="10"/>
      <c r="O881" s="4" t="str">
        <f aca="false">IF(N881="","",LEN(N881))</f>
        <v/>
      </c>
    </row>
    <row r="882" customFormat="false" ht="39" hidden="false" customHeight="true" outlineLevel="0" collapsed="false">
      <c r="A882" s="4" t="n">
        <v>881</v>
      </c>
      <c r="B882" s="5" t="n">
        <f aca="false">IF(OR(C882="სხვა მოდელი წერია",I882&gt;=განმარტება!$B$4),1,IF(OR(C882="ცარიელი",I882&gt;=1),2,IF(H882&gt;=განმარტება!$B$5,3,4)))</f>
        <v>4</v>
      </c>
      <c r="C882" s="6" t="s">
        <v>15</v>
      </c>
      <c r="D882" s="6" t="s">
        <v>4467</v>
      </c>
      <c r="E882" s="7" t="s">
        <v>4468</v>
      </c>
      <c r="F882" s="7" t="n">
        <v>3417</v>
      </c>
      <c r="G882" s="6" t="s">
        <v>24</v>
      </c>
      <c r="H882" s="8" t="n">
        <v>429</v>
      </c>
      <c r="I882" s="8" t="n">
        <v>0</v>
      </c>
      <c r="J882" s="7" t="n">
        <v>0</v>
      </c>
      <c r="K882" s="9" t="s">
        <v>4469</v>
      </c>
      <c r="L882" s="6" t="s">
        <v>4470</v>
      </c>
      <c r="M882" s="6" t="s">
        <v>4471</v>
      </c>
      <c r="N882" s="10"/>
      <c r="O882" s="4" t="str">
        <f aca="false">IF(N882="","",LEN(N882))</f>
        <v/>
      </c>
    </row>
    <row r="883" customFormat="false" ht="39" hidden="false" customHeight="true" outlineLevel="0" collapsed="false">
      <c r="A883" s="4" t="n">
        <v>882</v>
      </c>
      <c r="B883" s="5" t="n">
        <f aca="false">IF(OR(C883="სხვა მოდელი წერია",I883&gt;=განმარტება!$B$4),1,IF(OR(C883="ცარიელი",I883&gt;=1),2,IF(H883&gt;=განმარტება!$B$5,3,4)))</f>
        <v>4</v>
      </c>
      <c r="C883" s="6" t="s">
        <v>15</v>
      </c>
      <c r="D883" s="6" t="s">
        <v>4472</v>
      </c>
      <c r="E883" s="7" t="s">
        <v>4473</v>
      </c>
      <c r="F883" s="7" t="n">
        <v>1654</v>
      </c>
      <c r="G883" s="6" t="s">
        <v>285</v>
      </c>
      <c r="H883" s="8" t="n">
        <v>429</v>
      </c>
      <c r="I883" s="8" t="n">
        <v>0</v>
      </c>
      <c r="J883" s="7" t="n">
        <v>0</v>
      </c>
      <c r="K883" s="9" t="s">
        <v>4474</v>
      </c>
      <c r="L883" s="6" t="s">
        <v>4475</v>
      </c>
      <c r="M883" s="6" t="s">
        <v>4476</v>
      </c>
      <c r="N883" s="10"/>
      <c r="O883" s="4" t="str">
        <f aca="false">IF(N883="","",LEN(N883))</f>
        <v/>
      </c>
    </row>
    <row r="884" customFormat="false" ht="51.75" hidden="false" customHeight="true" outlineLevel="0" collapsed="false">
      <c r="A884" s="4" t="n">
        <v>883</v>
      </c>
      <c r="B884" s="5" t="n">
        <f aca="false">IF(OR(C884="სხვა მოდელი წერია",I884&gt;=განმარტება!$B$4),1,IF(OR(C884="ცარიელი",I884&gt;=1),2,IF(H884&gt;=განმარტება!$B$5,3,4)))</f>
        <v>4</v>
      </c>
      <c r="C884" s="6" t="s">
        <v>15</v>
      </c>
      <c r="D884" s="6" t="s">
        <v>4477</v>
      </c>
      <c r="E884" s="7" t="s">
        <v>4478</v>
      </c>
      <c r="F884" s="7" t="n">
        <v>148</v>
      </c>
      <c r="G884" s="6" t="s">
        <v>30</v>
      </c>
      <c r="H884" s="8" t="n">
        <v>429</v>
      </c>
      <c r="I884" s="8" t="n">
        <v>0</v>
      </c>
      <c r="J884" s="7" t="n">
        <v>0</v>
      </c>
      <c r="K884" s="9" t="s">
        <v>4479</v>
      </c>
      <c r="L884" s="6" t="s">
        <v>4480</v>
      </c>
      <c r="M884" s="6" t="s">
        <v>4481</v>
      </c>
      <c r="N884" s="10"/>
      <c r="O884" s="4" t="str">
        <f aca="false">IF(N884="","",LEN(N884))</f>
        <v/>
      </c>
    </row>
    <row r="885" customFormat="false" ht="39" hidden="false" customHeight="true" outlineLevel="0" collapsed="false">
      <c r="A885" s="4" t="n">
        <v>884</v>
      </c>
      <c r="B885" s="5" t="n">
        <f aca="false">IF(OR(C885="სხვა მოდელი წერია",I885&gt;=განმარტება!$B$4),1,IF(OR(C885="ცარიელი",I885&gt;=1),2,IF(H885&gt;=განმარტება!$B$5,3,4)))</f>
        <v>4</v>
      </c>
      <c r="C885" s="6" t="s">
        <v>15</v>
      </c>
      <c r="D885" s="6" t="s">
        <v>4482</v>
      </c>
      <c r="E885" s="7" t="s">
        <v>4483</v>
      </c>
      <c r="F885" s="7" t="n">
        <v>2009</v>
      </c>
      <c r="G885" s="6" t="s">
        <v>1994</v>
      </c>
      <c r="H885" s="8" t="n">
        <v>426</v>
      </c>
      <c r="I885" s="8" t="n">
        <v>0</v>
      </c>
      <c r="J885" s="7" t="n">
        <v>0</v>
      </c>
      <c r="K885" s="9" t="s">
        <v>4484</v>
      </c>
      <c r="L885" s="6" t="s">
        <v>4485</v>
      </c>
      <c r="M885" s="6" t="s">
        <v>4486</v>
      </c>
      <c r="N885" s="10"/>
      <c r="O885" s="4" t="str">
        <f aca="false">IF(N885="","",LEN(N885))</f>
        <v/>
      </c>
    </row>
    <row r="886" customFormat="false" ht="39" hidden="false" customHeight="true" outlineLevel="0" collapsed="false">
      <c r="A886" s="4" t="n">
        <v>885</v>
      </c>
      <c r="B886" s="5" t="n">
        <f aca="false">IF(OR(C886="სხვა მოდელი წერია",I886&gt;=განმარტება!$B$4),1,IF(OR(C886="ცარიელი",I886&gt;=1),2,IF(H886&gt;=განმარტება!$B$5,3,4)))</f>
        <v>4</v>
      </c>
      <c r="C886" s="6" t="s">
        <v>15</v>
      </c>
      <c r="D886" s="6" t="s">
        <v>4487</v>
      </c>
      <c r="E886" s="7" t="s">
        <v>4488</v>
      </c>
      <c r="F886" s="7" t="n">
        <v>2059</v>
      </c>
      <c r="G886" s="6" t="s">
        <v>1994</v>
      </c>
      <c r="H886" s="8" t="n">
        <v>419</v>
      </c>
      <c r="I886" s="8" t="n">
        <v>0</v>
      </c>
      <c r="J886" s="7" t="n">
        <v>0</v>
      </c>
      <c r="K886" s="9" t="s">
        <v>4489</v>
      </c>
      <c r="L886" s="6" t="s">
        <v>4490</v>
      </c>
      <c r="M886" s="6" t="s">
        <v>4491</v>
      </c>
      <c r="N886" s="10"/>
      <c r="O886" s="4" t="str">
        <f aca="false">IF(N886="","",LEN(N886))</f>
        <v/>
      </c>
    </row>
    <row r="887" customFormat="false" ht="64.5" hidden="false" customHeight="true" outlineLevel="0" collapsed="false">
      <c r="A887" s="4" t="n">
        <v>886</v>
      </c>
      <c r="B887" s="5" t="n">
        <f aca="false">IF(OR(C887="სხვა მოდელი წერია",I887&gt;=განმარტება!$B$4),1,IF(OR(C887="ცარიელი",I887&gt;=1),2,IF(H887&gt;=განმარტება!$B$5,3,4)))</f>
        <v>4</v>
      </c>
      <c r="C887" s="6" t="s">
        <v>15</v>
      </c>
      <c r="D887" s="6" t="s">
        <v>4492</v>
      </c>
      <c r="E887" s="7" t="s">
        <v>4493</v>
      </c>
      <c r="F887" s="7" t="n">
        <v>1773</v>
      </c>
      <c r="G887" s="6" t="s">
        <v>714</v>
      </c>
      <c r="H887" s="8" t="n">
        <v>416</v>
      </c>
      <c r="I887" s="8" t="n">
        <v>0</v>
      </c>
      <c r="J887" s="7" t="n">
        <v>0</v>
      </c>
      <c r="K887" s="9" t="s">
        <v>4494</v>
      </c>
      <c r="L887" s="6" t="s">
        <v>4495</v>
      </c>
      <c r="M887" s="6" t="s">
        <v>4496</v>
      </c>
      <c r="N887" s="10"/>
      <c r="O887" s="4" t="str">
        <f aca="false">IF(N887="","",LEN(N887))</f>
        <v/>
      </c>
    </row>
    <row r="888" customFormat="false" ht="64.5" hidden="false" customHeight="true" outlineLevel="0" collapsed="false">
      <c r="A888" s="4" t="n">
        <v>887</v>
      </c>
      <c r="B888" s="5" t="n">
        <f aca="false">IF(OR(C888="სხვა მოდელი წერია",I888&gt;=განმარტება!$B$4),1,IF(OR(C888="ცარიელი",I888&gt;=1),2,IF(H888&gt;=განმარტება!$B$5,3,4)))</f>
        <v>4</v>
      </c>
      <c r="C888" s="6" t="s">
        <v>15</v>
      </c>
      <c r="D888" s="6" t="s">
        <v>4497</v>
      </c>
      <c r="E888" s="7" t="s">
        <v>4498</v>
      </c>
      <c r="F888" s="7" t="n">
        <v>1771</v>
      </c>
      <c r="G888" s="6" t="s">
        <v>714</v>
      </c>
      <c r="H888" s="8" t="n">
        <v>416</v>
      </c>
      <c r="I888" s="8" t="n">
        <v>0</v>
      </c>
      <c r="J888" s="7" t="n">
        <v>0</v>
      </c>
      <c r="K888" s="9" t="s">
        <v>4499</v>
      </c>
      <c r="L888" s="6" t="s">
        <v>4500</v>
      </c>
      <c r="M888" s="6" t="s">
        <v>4501</v>
      </c>
      <c r="N888" s="10"/>
      <c r="O888" s="4" t="str">
        <f aca="false">IF(N888="","",LEN(N888))</f>
        <v/>
      </c>
    </row>
    <row r="889" customFormat="false" ht="64.5" hidden="false" customHeight="true" outlineLevel="0" collapsed="false">
      <c r="A889" s="4" t="n">
        <v>888</v>
      </c>
      <c r="B889" s="5" t="n">
        <f aca="false">IF(OR(C889="სხვა მოდელი წერია",I889&gt;=განმარტება!$B$4),1,IF(OR(C889="ცარიელი",I889&gt;=1),2,IF(H889&gt;=განმარტება!$B$5,3,4)))</f>
        <v>4</v>
      </c>
      <c r="C889" s="6" t="s">
        <v>15</v>
      </c>
      <c r="D889" s="6" t="s">
        <v>4502</v>
      </c>
      <c r="E889" s="7" t="s">
        <v>4503</v>
      </c>
      <c r="F889" s="7" t="n">
        <v>1772</v>
      </c>
      <c r="G889" s="6" t="s">
        <v>714</v>
      </c>
      <c r="H889" s="8" t="n">
        <v>416</v>
      </c>
      <c r="I889" s="8" t="n">
        <v>0</v>
      </c>
      <c r="J889" s="7" t="n">
        <v>0</v>
      </c>
      <c r="K889" s="9" t="s">
        <v>4504</v>
      </c>
      <c r="L889" s="6" t="s">
        <v>4505</v>
      </c>
      <c r="M889" s="6" t="s">
        <v>4506</v>
      </c>
      <c r="N889" s="10"/>
      <c r="O889" s="4" t="str">
        <f aca="false">IF(N889="","",LEN(N889))</f>
        <v/>
      </c>
    </row>
    <row r="890" customFormat="false" ht="51.75" hidden="false" customHeight="true" outlineLevel="0" collapsed="false">
      <c r="A890" s="4" t="n">
        <v>889</v>
      </c>
      <c r="B890" s="5" t="n">
        <f aca="false">IF(OR(C890="სხვა მოდელი წერია",I890&gt;=განმარტება!$B$4),1,IF(OR(C890="ცარიელი",I890&gt;=1),2,IF(H890&gt;=განმარტება!$B$5,3,4)))</f>
        <v>4</v>
      </c>
      <c r="C890" s="6" t="s">
        <v>15</v>
      </c>
      <c r="D890" s="6" t="s">
        <v>4507</v>
      </c>
      <c r="E890" s="7" t="s">
        <v>4508</v>
      </c>
      <c r="F890" s="7" t="n">
        <v>1022</v>
      </c>
      <c r="G890" s="6" t="s">
        <v>3212</v>
      </c>
      <c r="H890" s="8" t="n">
        <v>410</v>
      </c>
      <c r="I890" s="8" t="n">
        <v>0</v>
      </c>
      <c r="J890" s="7" t="n">
        <v>0</v>
      </c>
      <c r="K890" s="9" t="s">
        <v>4509</v>
      </c>
      <c r="L890" s="6" t="s">
        <v>4510</v>
      </c>
      <c r="M890" s="6" t="s">
        <v>4511</v>
      </c>
      <c r="N890" s="10"/>
      <c r="O890" s="4" t="str">
        <f aca="false">IF(N890="","",LEN(N890))</f>
        <v/>
      </c>
    </row>
    <row r="891" customFormat="false" ht="51.75" hidden="false" customHeight="true" outlineLevel="0" collapsed="false">
      <c r="A891" s="4" t="n">
        <v>890</v>
      </c>
      <c r="B891" s="5" t="n">
        <f aca="false">IF(OR(C891="სხვა მოდელი წერია",I891&gt;=განმარტება!$B$4),1,IF(OR(C891="ცარიელი",I891&gt;=1),2,IF(H891&gt;=განმარტება!$B$5,3,4)))</f>
        <v>4</v>
      </c>
      <c r="C891" s="6" t="s">
        <v>15</v>
      </c>
      <c r="D891" s="6" t="s">
        <v>4512</v>
      </c>
      <c r="E891" s="7" t="s">
        <v>4513</v>
      </c>
      <c r="F891" s="7" t="n">
        <v>2938</v>
      </c>
      <c r="G891" s="6" t="s">
        <v>595</v>
      </c>
      <c r="H891" s="8" t="n">
        <v>409</v>
      </c>
      <c r="I891" s="8" t="n">
        <v>0</v>
      </c>
      <c r="J891" s="7" t="n">
        <v>0</v>
      </c>
      <c r="K891" s="9" t="s">
        <v>4514</v>
      </c>
      <c r="L891" s="6" t="s">
        <v>4515</v>
      </c>
      <c r="M891" s="6" t="s">
        <v>4516</v>
      </c>
      <c r="N891" s="10"/>
      <c r="O891" s="4" t="str">
        <f aca="false">IF(N891="","",LEN(N891))</f>
        <v/>
      </c>
    </row>
    <row r="892" customFormat="false" ht="39" hidden="false" customHeight="true" outlineLevel="0" collapsed="false">
      <c r="A892" s="4" t="n">
        <v>891</v>
      </c>
      <c r="B892" s="5" t="n">
        <f aca="false">IF(OR(C892="სხვა მოდელი წერია",I892&gt;=განმარტება!$B$4),1,IF(OR(C892="ცარიელი",I892&gt;=1),2,IF(H892&gt;=განმარტება!$B$5,3,4)))</f>
        <v>4</v>
      </c>
      <c r="C892" s="6" t="s">
        <v>15</v>
      </c>
      <c r="D892" s="6" t="s">
        <v>4517</v>
      </c>
      <c r="E892" s="7" t="s">
        <v>4518</v>
      </c>
      <c r="F892" s="7" t="n">
        <v>2667</v>
      </c>
      <c r="G892" s="6" t="s">
        <v>1267</v>
      </c>
      <c r="H892" s="8" t="n">
        <v>399</v>
      </c>
      <c r="I892" s="8" t="n">
        <v>0</v>
      </c>
      <c r="J892" s="7" t="n">
        <v>0</v>
      </c>
      <c r="K892" s="9" t="s">
        <v>4519</v>
      </c>
      <c r="L892" s="6" t="s">
        <v>4520</v>
      </c>
      <c r="M892" s="6" t="s">
        <v>4521</v>
      </c>
      <c r="N892" s="10"/>
      <c r="O892" s="4" t="str">
        <f aca="false">IF(N892="","",LEN(N892))</f>
        <v/>
      </c>
    </row>
    <row r="893" customFormat="false" ht="39" hidden="false" customHeight="true" outlineLevel="0" collapsed="false">
      <c r="A893" s="4" t="n">
        <v>892</v>
      </c>
      <c r="B893" s="5" t="n">
        <f aca="false">IF(OR(C893="სხვა მოდელი წერია",I893&gt;=განმარტება!$B$4),1,IF(OR(C893="ცარიელი",I893&gt;=1),2,IF(H893&gt;=განმარტება!$B$5,3,4)))</f>
        <v>4</v>
      </c>
      <c r="C893" s="6" t="s">
        <v>15</v>
      </c>
      <c r="D893" s="6" t="s">
        <v>4522</v>
      </c>
      <c r="E893" s="7" t="s">
        <v>4523</v>
      </c>
      <c r="F893" s="7" t="n">
        <v>2606</v>
      </c>
      <c r="G893" s="6" t="s">
        <v>1267</v>
      </c>
      <c r="H893" s="8" t="n">
        <v>399</v>
      </c>
      <c r="I893" s="8" t="n">
        <v>0</v>
      </c>
      <c r="J893" s="7" t="n">
        <v>0</v>
      </c>
      <c r="K893" s="9" t="s">
        <v>4524</v>
      </c>
      <c r="L893" s="6" t="s">
        <v>4525</v>
      </c>
      <c r="M893" s="6" t="s">
        <v>4526</v>
      </c>
      <c r="N893" s="10"/>
      <c r="O893" s="4" t="str">
        <f aca="false">IF(N893="","",LEN(N893))</f>
        <v/>
      </c>
    </row>
    <row r="894" customFormat="false" ht="39" hidden="false" customHeight="true" outlineLevel="0" collapsed="false">
      <c r="A894" s="4" t="n">
        <v>893</v>
      </c>
      <c r="B894" s="5" t="n">
        <f aca="false">IF(OR(C894="სხვა მოდელი წერია",I894&gt;=განმარტება!$B$4),1,IF(OR(C894="ცარიელი",I894&gt;=1),2,IF(H894&gt;=განმარტება!$B$5,3,4)))</f>
        <v>4</v>
      </c>
      <c r="C894" s="6" t="s">
        <v>15</v>
      </c>
      <c r="D894" s="6" t="s">
        <v>4527</v>
      </c>
      <c r="E894" s="7" t="s">
        <v>4528</v>
      </c>
      <c r="F894" s="7" t="n">
        <v>1653</v>
      </c>
      <c r="G894" s="6" t="s">
        <v>285</v>
      </c>
      <c r="H894" s="8" t="n">
        <v>399</v>
      </c>
      <c r="I894" s="8" t="n">
        <v>0</v>
      </c>
      <c r="J894" s="7" t="n">
        <v>0</v>
      </c>
      <c r="K894" s="9" t="s">
        <v>4529</v>
      </c>
      <c r="L894" s="6" t="s">
        <v>4530</v>
      </c>
      <c r="M894" s="6" t="s">
        <v>4531</v>
      </c>
      <c r="N894" s="10"/>
      <c r="O894" s="4" t="str">
        <f aca="false">IF(N894="","",LEN(N894))</f>
        <v/>
      </c>
    </row>
    <row r="895" customFormat="false" ht="39" hidden="false" customHeight="true" outlineLevel="0" collapsed="false">
      <c r="A895" s="4" t="n">
        <v>894</v>
      </c>
      <c r="B895" s="5" t="n">
        <f aca="false">IF(OR(C895="სხვა მოდელი წერია",I895&gt;=განმარტება!$B$4),1,IF(OR(C895="ცარიელი",I895&gt;=1),2,IF(H895&gt;=განმარტება!$B$5,3,4)))</f>
        <v>4</v>
      </c>
      <c r="C895" s="6" t="s">
        <v>15</v>
      </c>
      <c r="D895" s="6" t="s">
        <v>4532</v>
      </c>
      <c r="E895" s="7" t="s">
        <v>4533</v>
      </c>
      <c r="F895" s="7" t="n">
        <v>1764</v>
      </c>
      <c r="G895" s="6" t="s">
        <v>285</v>
      </c>
      <c r="H895" s="8" t="n">
        <v>399</v>
      </c>
      <c r="I895" s="8" t="n">
        <v>0</v>
      </c>
      <c r="J895" s="7" t="n">
        <v>0</v>
      </c>
      <c r="K895" s="9" t="s">
        <v>4534</v>
      </c>
      <c r="L895" s="6" t="s">
        <v>4535</v>
      </c>
      <c r="M895" s="6" t="s">
        <v>4536</v>
      </c>
      <c r="N895" s="10"/>
      <c r="O895" s="4" t="str">
        <f aca="false">IF(N895="","",LEN(N895))</f>
        <v/>
      </c>
    </row>
    <row r="896" customFormat="false" ht="39" hidden="false" customHeight="true" outlineLevel="0" collapsed="false">
      <c r="A896" s="4" t="n">
        <v>895</v>
      </c>
      <c r="B896" s="5" t="n">
        <f aca="false">IF(OR(C896="სხვა მოდელი წერია",I896&gt;=განმარტება!$B$4),1,IF(OR(C896="ცარიელი",I896&gt;=1),2,IF(H896&gt;=განმარტება!$B$5,3,4)))</f>
        <v>4</v>
      </c>
      <c r="C896" s="6" t="s">
        <v>15</v>
      </c>
      <c r="D896" s="6" t="s">
        <v>4537</v>
      </c>
      <c r="E896" s="7" t="s">
        <v>4538</v>
      </c>
      <c r="F896" s="7" t="n">
        <v>1629</v>
      </c>
      <c r="G896" s="6" t="s">
        <v>285</v>
      </c>
      <c r="H896" s="8" t="n">
        <v>399</v>
      </c>
      <c r="I896" s="8" t="n">
        <v>0</v>
      </c>
      <c r="J896" s="7" t="n">
        <v>0</v>
      </c>
      <c r="K896" s="9" t="s">
        <v>4539</v>
      </c>
      <c r="L896" s="6" t="s">
        <v>4540</v>
      </c>
      <c r="M896" s="6" t="s">
        <v>4541</v>
      </c>
      <c r="N896" s="10"/>
      <c r="O896" s="4" t="str">
        <f aca="false">IF(N896="","",LEN(N896))</f>
        <v/>
      </c>
    </row>
    <row r="897" customFormat="false" ht="39" hidden="false" customHeight="true" outlineLevel="0" collapsed="false">
      <c r="A897" s="4" t="n">
        <v>896</v>
      </c>
      <c r="B897" s="5" t="n">
        <f aca="false">IF(OR(C897="სხვა მოდელი წერია",I897&gt;=განმარტება!$B$4),1,IF(OR(C897="ცარიელი",I897&gt;=1),2,IF(H897&gt;=განმარტება!$B$5,3,4)))</f>
        <v>4</v>
      </c>
      <c r="C897" s="6" t="s">
        <v>15</v>
      </c>
      <c r="D897" s="6" t="s">
        <v>4542</v>
      </c>
      <c r="E897" s="7" t="s">
        <v>4543</v>
      </c>
      <c r="F897" s="7" t="n">
        <v>2743</v>
      </c>
      <c r="G897" s="6" t="s">
        <v>285</v>
      </c>
      <c r="H897" s="8" t="n">
        <v>399</v>
      </c>
      <c r="I897" s="8" t="n">
        <v>0</v>
      </c>
      <c r="J897" s="7" t="n">
        <v>0</v>
      </c>
      <c r="K897" s="9" t="s">
        <v>4544</v>
      </c>
      <c r="L897" s="6" t="s">
        <v>4545</v>
      </c>
      <c r="M897" s="6" t="s">
        <v>4546</v>
      </c>
      <c r="N897" s="10"/>
      <c r="O897" s="4" t="str">
        <f aca="false">IF(N897="","",LEN(N897))</f>
        <v/>
      </c>
    </row>
    <row r="898" customFormat="false" ht="39" hidden="false" customHeight="true" outlineLevel="0" collapsed="false">
      <c r="A898" s="4" t="n">
        <v>897</v>
      </c>
      <c r="B898" s="5" t="n">
        <f aca="false">IF(OR(C898="სხვა მოდელი წერია",I898&gt;=განმარტება!$B$4),1,IF(OR(C898="ცარიელი",I898&gt;=1),2,IF(H898&gt;=განმარტება!$B$5,3,4)))</f>
        <v>4</v>
      </c>
      <c r="C898" s="6" t="s">
        <v>15</v>
      </c>
      <c r="D898" s="6" t="s">
        <v>4547</v>
      </c>
      <c r="E898" s="7" t="s">
        <v>4548</v>
      </c>
      <c r="F898" s="7" t="n">
        <v>2742</v>
      </c>
      <c r="G898" s="6" t="s">
        <v>285</v>
      </c>
      <c r="H898" s="8" t="n">
        <v>399</v>
      </c>
      <c r="I898" s="8" t="n">
        <v>0</v>
      </c>
      <c r="J898" s="7" t="n">
        <v>0</v>
      </c>
      <c r="K898" s="9" t="s">
        <v>4549</v>
      </c>
      <c r="L898" s="6" t="s">
        <v>4550</v>
      </c>
      <c r="M898" s="6" t="s">
        <v>4551</v>
      </c>
      <c r="N898" s="10"/>
      <c r="O898" s="4" t="str">
        <f aca="false">IF(N898="","",LEN(N898))</f>
        <v/>
      </c>
    </row>
    <row r="899" customFormat="false" ht="51.75" hidden="false" customHeight="true" outlineLevel="0" collapsed="false">
      <c r="A899" s="4" t="n">
        <v>898</v>
      </c>
      <c r="B899" s="5" t="n">
        <f aca="false">IF(OR(C899="სხვა მოდელი წერია",I899&gt;=განმარტება!$B$4),1,IF(OR(C899="ცარიელი",I899&gt;=1),2,IF(H899&gt;=განმარტება!$B$5,3,4)))</f>
        <v>4</v>
      </c>
      <c r="C899" s="6" t="s">
        <v>15</v>
      </c>
      <c r="D899" s="6" t="s">
        <v>4552</v>
      </c>
      <c r="E899" s="7" t="s">
        <v>4553</v>
      </c>
      <c r="F899" s="7" t="n">
        <v>3702</v>
      </c>
      <c r="G899" s="6" t="s">
        <v>217</v>
      </c>
      <c r="H899" s="8" t="n">
        <v>399</v>
      </c>
      <c r="I899" s="8" t="n">
        <v>0</v>
      </c>
      <c r="J899" s="7" t="n">
        <v>0</v>
      </c>
      <c r="K899" s="9" t="s">
        <v>4554</v>
      </c>
      <c r="L899" s="6" t="s">
        <v>4555</v>
      </c>
      <c r="M899" s="6" t="s">
        <v>4556</v>
      </c>
      <c r="N899" s="10"/>
      <c r="O899" s="4" t="str">
        <f aca="false">IF(N899="","",LEN(N899))</f>
        <v/>
      </c>
    </row>
    <row r="900" customFormat="false" ht="39" hidden="false" customHeight="true" outlineLevel="0" collapsed="false">
      <c r="A900" s="4" t="n">
        <v>899</v>
      </c>
      <c r="B900" s="5" t="n">
        <f aca="false">IF(OR(C900="სხვა მოდელი წერია",I900&gt;=განმარტება!$B$4),1,IF(OR(C900="ცარიელი",I900&gt;=1),2,IF(H900&gt;=განმარტება!$B$5,3,4)))</f>
        <v>4</v>
      </c>
      <c r="C900" s="6" t="s">
        <v>15</v>
      </c>
      <c r="D900" s="6" t="s">
        <v>4557</v>
      </c>
      <c r="E900" s="7" t="s">
        <v>4558</v>
      </c>
      <c r="F900" s="7" t="n">
        <v>6307</v>
      </c>
      <c r="G900" s="6" t="s">
        <v>4398</v>
      </c>
      <c r="H900" s="8" t="n">
        <v>399</v>
      </c>
      <c r="I900" s="8" t="n">
        <v>0</v>
      </c>
      <c r="J900" s="7" t="n">
        <v>0</v>
      </c>
      <c r="K900" s="9" t="s">
        <v>4559</v>
      </c>
      <c r="L900" s="6" t="s">
        <v>4560</v>
      </c>
      <c r="M900" s="6" t="s">
        <v>4561</v>
      </c>
      <c r="N900" s="10"/>
      <c r="O900" s="4" t="str">
        <f aca="false">IF(N900="","",LEN(N900))</f>
        <v/>
      </c>
    </row>
    <row r="901" customFormat="false" ht="39" hidden="false" customHeight="true" outlineLevel="0" collapsed="false">
      <c r="A901" s="4" t="n">
        <v>900</v>
      </c>
      <c r="B901" s="5" t="n">
        <f aca="false">IF(OR(C901="სხვა მოდელი წერია",I901&gt;=განმარტება!$B$4),1,IF(OR(C901="ცარიელი",I901&gt;=1),2,IF(H901&gt;=განმარტება!$B$5,3,4)))</f>
        <v>4</v>
      </c>
      <c r="C901" s="6" t="s">
        <v>15</v>
      </c>
      <c r="D901" s="6" t="s">
        <v>4562</v>
      </c>
      <c r="E901" s="7" t="s">
        <v>4563</v>
      </c>
      <c r="F901" s="7" t="n">
        <v>3031</v>
      </c>
      <c r="G901" s="6" t="s">
        <v>238</v>
      </c>
      <c r="H901" s="8" t="n">
        <v>399</v>
      </c>
      <c r="I901" s="8" t="n">
        <v>0</v>
      </c>
      <c r="J901" s="7" t="n">
        <v>0</v>
      </c>
      <c r="K901" s="9" t="s">
        <v>4564</v>
      </c>
      <c r="L901" s="6" t="s">
        <v>4565</v>
      </c>
      <c r="M901" s="6" t="s">
        <v>4566</v>
      </c>
      <c r="N901" s="10"/>
      <c r="O901" s="4" t="str">
        <f aca="false">IF(N901="","",LEN(N901))</f>
        <v/>
      </c>
    </row>
    <row r="902" customFormat="false" ht="39" hidden="false" customHeight="true" outlineLevel="0" collapsed="false">
      <c r="A902" s="4" t="n">
        <v>901</v>
      </c>
      <c r="B902" s="5" t="n">
        <f aca="false">IF(OR(C902="სხვა მოდელი წერია",I902&gt;=განმარტება!$B$4),1,IF(OR(C902="ცარიელი",I902&gt;=1),2,IF(H902&gt;=განმარტება!$B$5,3,4)))</f>
        <v>4</v>
      </c>
      <c r="C902" s="6" t="s">
        <v>15</v>
      </c>
      <c r="D902" s="6" t="s">
        <v>4567</v>
      </c>
      <c r="E902" s="7" t="s">
        <v>4568</v>
      </c>
      <c r="F902" s="7" t="n">
        <v>2007</v>
      </c>
      <c r="G902" s="6" t="s">
        <v>1994</v>
      </c>
      <c r="H902" s="8" t="n">
        <v>399</v>
      </c>
      <c r="I902" s="8" t="n">
        <v>0</v>
      </c>
      <c r="J902" s="7" t="n">
        <v>0</v>
      </c>
      <c r="K902" s="9" t="s">
        <v>4569</v>
      </c>
      <c r="L902" s="6" t="s">
        <v>4570</v>
      </c>
      <c r="M902" s="6" t="s">
        <v>4571</v>
      </c>
      <c r="N902" s="10"/>
      <c r="O902" s="4" t="str">
        <f aca="false">IF(N902="","",LEN(N902))</f>
        <v/>
      </c>
    </row>
    <row r="903" customFormat="false" ht="39" hidden="false" customHeight="true" outlineLevel="0" collapsed="false">
      <c r="A903" s="4" t="n">
        <v>902</v>
      </c>
      <c r="B903" s="5" t="n">
        <f aca="false">IF(OR(C903="სხვა მოდელი წერია",I903&gt;=განმარტება!$B$4),1,IF(OR(C903="ცარიელი",I903&gt;=1),2,IF(H903&gt;=განმარტება!$B$5,3,4)))</f>
        <v>4</v>
      </c>
      <c r="C903" s="6" t="s">
        <v>15</v>
      </c>
      <c r="D903" s="6" t="s">
        <v>4572</v>
      </c>
      <c r="E903" s="7" t="s">
        <v>4573</v>
      </c>
      <c r="F903" s="7" t="n">
        <v>1313</v>
      </c>
      <c r="G903" s="6" t="s">
        <v>1994</v>
      </c>
      <c r="H903" s="8" t="n">
        <v>399</v>
      </c>
      <c r="I903" s="8" t="n">
        <v>0</v>
      </c>
      <c r="J903" s="7" t="n">
        <v>0</v>
      </c>
      <c r="K903" s="9" t="s">
        <v>4574</v>
      </c>
      <c r="L903" s="6" t="s">
        <v>4575</v>
      </c>
      <c r="M903" s="6" t="s">
        <v>4576</v>
      </c>
      <c r="N903" s="10"/>
      <c r="O903" s="4" t="str">
        <f aca="false">IF(N903="","",LEN(N903))</f>
        <v/>
      </c>
    </row>
    <row r="904" customFormat="false" ht="39" hidden="false" customHeight="true" outlineLevel="0" collapsed="false">
      <c r="A904" s="4" t="n">
        <v>903</v>
      </c>
      <c r="B904" s="5" t="n">
        <f aca="false">IF(OR(C904="სხვა მოდელი წერია",I904&gt;=განმარტება!$B$4),1,IF(OR(C904="ცარიელი",I904&gt;=1),2,IF(H904&gt;=განმარტება!$B$5,3,4)))</f>
        <v>4</v>
      </c>
      <c r="C904" s="6" t="s">
        <v>15</v>
      </c>
      <c r="D904" s="6" t="s">
        <v>4577</v>
      </c>
      <c r="E904" s="7" t="s">
        <v>4578</v>
      </c>
      <c r="F904" s="7" t="n">
        <v>4020</v>
      </c>
      <c r="G904" s="6" t="s">
        <v>24</v>
      </c>
      <c r="H904" s="8" t="n">
        <v>399</v>
      </c>
      <c r="I904" s="8" t="n">
        <v>0</v>
      </c>
      <c r="J904" s="7" t="n">
        <v>0</v>
      </c>
      <c r="K904" s="9" t="s">
        <v>4579</v>
      </c>
      <c r="L904" s="6" t="s">
        <v>4580</v>
      </c>
      <c r="M904" s="6" t="s">
        <v>4581</v>
      </c>
      <c r="N904" s="10"/>
      <c r="O904" s="4" t="str">
        <f aca="false">IF(N904="","",LEN(N904))</f>
        <v/>
      </c>
    </row>
    <row r="905" customFormat="false" ht="51.75" hidden="false" customHeight="true" outlineLevel="0" collapsed="false">
      <c r="A905" s="4" t="n">
        <v>904</v>
      </c>
      <c r="B905" s="5" t="n">
        <f aca="false">IF(OR(C905="სხვა მოდელი წერია",I905&gt;=განმარტება!$B$4),1,IF(OR(C905="ცარიელი",I905&gt;=1),2,IF(H905&gt;=განმარტება!$B$5,3,4)))</f>
        <v>4</v>
      </c>
      <c r="C905" s="6" t="s">
        <v>15</v>
      </c>
      <c r="D905" s="6" t="s">
        <v>4582</v>
      </c>
      <c r="E905" s="7" t="s">
        <v>4583</v>
      </c>
      <c r="F905" s="7" t="n">
        <v>4027</v>
      </c>
      <c r="G905" s="6" t="s">
        <v>3489</v>
      </c>
      <c r="H905" s="8" t="n">
        <v>399</v>
      </c>
      <c r="I905" s="8" t="n">
        <v>0</v>
      </c>
      <c r="J905" s="7" t="n">
        <v>0</v>
      </c>
      <c r="K905" s="9" t="s">
        <v>4584</v>
      </c>
      <c r="L905" s="6" t="s">
        <v>4585</v>
      </c>
      <c r="M905" s="6" t="s">
        <v>4586</v>
      </c>
      <c r="N905" s="10"/>
      <c r="O905" s="4" t="str">
        <f aca="false">IF(N905="","",LEN(N905))</f>
        <v/>
      </c>
    </row>
    <row r="906" customFormat="false" ht="39" hidden="false" customHeight="true" outlineLevel="0" collapsed="false">
      <c r="A906" s="4" t="n">
        <v>905</v>
      </c>
      <c r="B906" s="5" t="n">
        <f aca="false">IF(OR(C906="სხვა მოდელი წერია",I906&gt;=განმარტება!$B$4),1,IF(OR(C906="ცარიელი",I906&gt;=1),2,IF(H906&gt;=განმარტება!$B$5,3,4)))</f>
        <v>4</v>
      </c>
      <c r="C906" s="6" t="s">
        <v>316</v>
      </c>
      <c r="D906" s="6" t="s">
        <v>4587</v>
      </c>
      <c r="E906" s="7" t="s">
        <v>4588</v>
      </c>
      <c r="F906" s="7" t="n">
        <v>2358</v>
      </c>
      <c r="G906" s="6" t="s">
        <v>1712</v>
      </c>
      <c r="H906" s="8" t="n">
        <v>399</v>
      </c>
      <c r="I906" s="8" t="n">
        <v>0</v>
      </c>
      <c r="J906" s="7" t="n">
        <v>0</v>
      </c>
      <c r="K906" s="9" t="s">
        <v>4589</v>
      </c>
      <c r="L906" s="6" t="s">
        <v>4590</v>
      </c>
      <c r="M906" s="6" t="s">
        <v>4591</v>
      </c>
      <c r="N906" s="10"/>
      <c r="O906" s="4" t="str">
        <f aca="false">IF(N906="","",LEN(N906))</f>
        <v/>
      </c>
    </row>
    <row r="907" customFormat="false" ht="51.75" hidden="false" customHeight="true" outlineLevel="0" collapsed="false">
      <c r="A907" s="4" t="n">
        <v>906</v>
      </c>
      <c r="B907" s="5" t="n">
        <f aca="false">IF(OR(C907="სხვა მოდელი წერია",I907&gt;=განმარტება!$B$4),1,IF(OR(C907="ცარიელი",I907&gt;=1),2,IF(H907&gt;=განმარტება!$B$5,3,4)))</f>
        <v>4</v>
      </c>
      <c r="C907" s="6" t="s">
        <v>15</v>
      </c>
      <c r="D907" s="6" t="s">
        <v>4592</v>
      </c>
      <c r="E907" s="7" t="s">
        <v>4593</v>
      </c>
      <c r="F907" s="7" t="n">
        <v>2883</v>
      </c>
      <c r="G907" s="6" t="s">
        <v>4196</v>
      </c>
      <c r="H907" s="8" t="n">
        <v>399</v>
      </c>
      <c r="I907" s="8" t="n">
        <v>0</v>
      </c>
      <c r="J907" s="7" t="n">
        <v>0</v>
      </c>
      <c r="K907" s="9" t="s">
        <v>4594</v>
      </c>
      <c r="L907" s="6" t="s">
        <v>4595</v>
      </c>
      <c r="M907" s="6" t="s">
        <v>4596</v>
      </c>
      <c r="N907" s="10"/>
      <c r="O907" s="4" t="str">
        <f aca="false">IF(N907="","",LEN(N907))</f>
        <v/>
      </c>
    </row>
    <row r="908" customFormat="false" ht="39" hidden="false" customHeight="true" outlineLevel="0" collapsed="false">
      <c r="A908" s="4" t="n">
        <v>907</v>
      </c>
      <c r="B908" s="5" t="n">
        <f aca="false">IF(OR(C908="სხვა მოდელი წერია",I908&gt;=განმარტება!$B$4),1,IF(OR(C908="ცარიელი",I908&gt;=1),2,IF(H908&gt;=განმარტება!$B$5,3,4)))</f>
        <v>4</v>
      </c>
      <c r="C908" s="6" t="s">
        <v>15</v>
      </c>
      <c r="D908" s="6" t="s">
        <v>4597</v>
      </c>
      <c r="E908" s="7" t="s">
        <v>4598</v>
      </c>
      <c r="F908" s="7" t="n">
        <v>607</v>
      </c>
      <c r="G908" s="6" t="s">
        <v>4216</v>
      </c>
      <c r="H908" s="8" t="n">
        <v>399</v>
      </c>
      <c r="I908" s="8" t="n">
        <v>0</v>
      </c>
      <c r="J908" s="7" t="n">
        <v>0</v>
      </c>
      <c r="K908" s="9" t="s">
        <v>4599</v>
      </c>
      <c r="L908" s="6" t="s">
        <v>4600</v>
      </c>
      <c r="M908" s="6" t="s">
        <v>4601</v>
      </c>
      <c r="N908" s="10"/>
      <c r="O908" s="4" t="str">
        <f aca="false">IF(N908="","",LEN(N908))</f>
        <v/>
      </c>
    </row>
    <row r="909" customFormat="false" ht="39" hidden="false" customHeight="true" outlineLevel="0" collapsed="false">
      <c r="A909" s="4" t="n">
        <v>908</v>
      </c>
      <c r="B909" s="5" t="n">
        <f aca="false">IF(OR(C909="სხვა მოდელი წერია",I909&gt;=განმარტება!$B$4),1,IF(OR(C909="ცარიელი",I909&gt;=1),2,IF(H909&gt;=განმარტება!$B$5,3,4)))</f>
        <v>4</v>
      </c>
      <c r="C909" s="6" t="s">
        <v>15</v>
      </c>
      <c r="D909" s="6" t="s">
        <v>4602</v>
      </c>
      <c r="E909" s="7" t="s">
        <v>4603</v>
      </c>
      <c r="F909" s="7" t="n">
        <v>590</v>
      </c>
      <c r="G909" s="6" t="s">
        <v>4216</v>
      </c>
      <c r="H909" s="8" t="n">
        <v>399</v>
      </c>
      <c r="I909" s="8" t="n">
        <v>0</v>
      </c>
      <c r="J909" s="7" t="n">
        <v>0</v>
      </c>
      <c r="K909" s="9" t="s">
        <v>4604</v>
      </c>
      <c r="L909" s="6" t="s">
        <v>4600</v>
      </c>
      <c r="M909" s="6" t="s">
        <v>4605</v>
      </c>
      <c r="N909" s="10"/>
      <c r="O909" s="4" t="str">
        <f aca="false">IF(N909="","",LEN(N909))</f>
        <v/>
      </c>
    </row>
    <row r="910" customFormat="false" ht="39" hidden="false" customHeight="true" outlineLevel="0" collapsed="false">
      <c r="A910" s="4" t="n">
        <v>909</v>
      </c>
      <c r="B910" s="5" t="n">
        <f aca="false">IF(OR(C910="სხვა მოდელი წერია",I910&gt;=განმარტება!$B$4),1,IF(OR(C910="ცარიელი",I910&gt;=1),2,IF(H910&gt;=განმარტება!$B$5,3,4)))</f>
        <v>4</v>
      </c>
      <c r="C910" s="6" t="s">
        <v>15</v>
      </c>
      <c r="D910" s="6" t="s">
        <v>4606</v>
      </c>
      <c r="E910" s="7" t="s">
        <v>4607</v>
      </c>
      <c r="F910" s="7" t="n">
        <v>1968</v>
      </c>
      <c r="G910" s="6" t="s">
        <v>4216</v>
      </c>
      <c r="H910" s="8" t="n">
        <v>399</v>
      </c>
      <c r="I910" s="8" t="n">
        <v>0</v>
      </c>
      <c r="J910" s="7" t="n">
        <v>0</v>
      </c>
      <c r="K910" s="9" t="s">
        <v>4608</v>
      </c>
      <c r="L910" s="6" t="s">
        <v>4609</v>
      </c>
      <c r="M910" s="6" t="s">
        <v>4610</v>
      </c>
      <c r="N910" s="10"/>
      <c r="O910" s="4" t="str">
        <f aca="false">IF(N910="","",LEN(N910))</f>
        <v/>
      </c>
    </row>
    <row r="911" customFormat="false" ht="39" hidden="false" customHeight="true" outlineLevel="0" collapsed="false">
      <c r="A911" s="4" t="n">
        <v>910</v>
      </c>
      <c r="B911" s="5" t="n">
        <f aca="false">IF(OR(C911="სხვა მოდელი წერია",I911&gt;=განმარტება!$B$4),1,IF(OR(C911="ცარიელი",I911&gt;=1),2,IF(H911&gt;=განმარტება!$B$5,3,4)))</f>
        <v>4</v>
      </c>
      <c r="C911" s="6" t="s">
        <v>15</v>
      </c>
      <c r="D911" s="6" t="s">
        <v>4611</v>
      </c>
      <c r="E911" s="7" t="s">
        <v>4612</v>
      </c>
      <c r="F911" s="7" t="n">
        <v>1969</v>
      </c>
      <c r="G911" s="6" t="s">
        <v>4216</v>
      </c>
      <c r="H911" s="8" t="n">
        <v>399</v>
      </c>
      <c r="I911" s="8" t="n">
        <v>0</v>
      </c>
      <c r="J911" s="7" t="n">
        <v>0</v>
      </c>
      <c r="K911" s="9" t="s">
        <v>4613</v>
      </c>
      <c r="L911" s="6" t="s">
        <v>4614</v>
      </c>
      <c r="M911" s="6" t="s">
        <v>4615</v>
      </c>
      <c r="N911" s="10"/>
      <c r="O911" s="4" t="str">
        <f aca="false">IF(N911="","",LEN(N911))</f>
        <v/>
      </c>
    </row>
    <row r="912" customFormat="false" ht="39" hidden="false" customHeight="true" outlineLevel="0" collapsed="false">
      <c r="A912" s="4" t="n">
        <v>911</v>
      </c>
      <c r="B912" s="5" t="n">
        <f aca="false">IF(OR(C912="სხვა მოდელი წერია",I912&gt;=განმარტება!$B$4),1,IF(OR(C912="ცარიელი",I912&gt;=1),2,IF(H912&gt;=განმარტება!$B$5,3,4)))</f>
        <v>4</v>
      </c>
      <c r="C912" s="6" t="s">
        <v>15</v>
      </c>
      <c r="D912" s="6" t="s">
        <v>4616</v>
      </c>
      <c r="E912" s="7" t="s">
        <v>4617</v>
      </c>
      <c r="F912" s="7" t="n">
        <v>6265</v>
      </c>
      <c r="G912" s="6" t="s">
        <v>4618</v>
      </c>
      <c r="H912" s="8" t="n">
        <v>395</v>
      </c>
      <c r="I912" s="8" t="n">
        <v>0</v>
      </c>
      <c r="J912" s="7" t="n">
        <v>0</v>
      </c>
      <c r="K912" s="9" t="s">
        <v>4619</v>
      </c>
      <c r="L912" s="6" t="s">
        <v>4620</v>
      </c>
      <c r="M912" s="6" t="s">
        <v>4621</v>
      </c>
      <c r="N912" s="10"/>
      <c r="O912" s="4" t="str">
        <f aca="false">IF(N912="","",LEN(N912))</f>
        <v/>
      </c>
    </row>
    <row r="913" customFormat="false" ht="51.75" hidden="false" customHeight="true" outlineLevel="0" collapsed="false">
      <c r="A913" s="4" t="n">
        <v>912</v>
      </c>
      <c r="B913" s="5" t="n">
        <f aca="false">IF(OR(C913="სხვა მოდელი წერია",I913&gt;=განმარტება!$B$4),1,IF(OR(C913="ცარიელი",I913&gt;=1),2,IF(H913&gt;=განმარტება!$B$5,3,4)))</f>
        <v>4</v>
      </c>
      <c r="C913" s="6" t="s">
        <v>15</v>
      </c>
      <c r="D913" s="6" t="s">
        <v>4622</v>
      </c>
      <c r="E913" s="7" t="s">
        <v>4623</v>
      </c>
      <c r="F913" s="7" t="n">
        <v>711</v>
      </c>
      <c r="G913" s="6" t="s">
        <v>30</v>
      </c>
      <c r="H913" s="8" t="n">
        <v>395</v>
      </c>
      <c r="I913" s="8" t="n">
        <v>0</v>
      </c>
      <c r="J913" s="7" t="n">
        <v>0</v>
      </c>
      <c r="K913" s="9" t="s">
        <v>4624</v>
      </c>
      <c r="L913" s="6" t="s">
        <v>4625</v>
      </c>
      <c r="M913" s="6" t="s">
        <v>4626</v>
      </c>
      <c r="N913" s="10"/>
      <c r="O913" s="4" t="str">
        <f aca="false">IF(N913="","",LEN(N913))</f>
        <v/>
      </c>
    </row>
    <row r="914" customFormat="false" ht="51.75" hidden="false" customHeight="true" outlineLevel="0" collapsed="false">
      <c r="A914" s="4" t="n">
        <v>913</v>
      </c>
      <c r="B914" s="5" t="n">
        <f aca="false">IF(OR(C914="სხვა მოდელი წერია",I914&gt;=განმარტება!$B$4),1,IF(OR(C914="ცარიელი",I914&gt;=1),2,IF(H914&gt;=განმარტება!$B$5,3,4)))</f>
        <v>4</v>
      </c>
      <c r="C914" s="6" t="s">
        <v>15</v>
      </c>
      <c r="D914" s="6" t="s">
        <v>4627</v>
      </c>
      <c r="E914" s="7" t="s">
        <v>4628</v>
      </c>
      <c r="F914" s="7" t="n">
        <v>2000</v>
      </c>
      <c r="G914" s="6" t="s">
        <v>693</v>
      </c>
      <c r="H914" s="8" t="n">
        <v>394</v>
      </c>
      <c r="I914" s="8" t="n">
        <v>0</v>
      </c>
      <c r="J914" s="7" t="n">
        <v>0</v>
      </c>
      <c r="K914" s="9" t="s">
        <v>4629</v>
      </c>
      <c r="L914" s="6" t="s">
        <v>4630</v>
      </c>
      <c r="M914" s="6" t="s">
        <v>4631</v>
      </c>
      <c r="N914" s="10"/>
      <c r="O914" s="4" t="str">
        <f aca="false">IF(N914="","",LEN(N914))</f>
        <v/>
      </c>
    </row>
    <row r="915" customFormat="false" ht="39" hidden="false" customHeight="true" outlineLevel="0" collapsed="false">
      <c r="A915" s="4" t="n">
        <v>914</v>
      </c>
      <c r="B915" s="5" t="n">
        <f aca="false">IF(OR(C915="სხვა მოდელი წერია",I915&gt;=განმარტება!$B$4),1,IF(OR(C915="ცარიელი",I915&gt;=1),2,IF(H915&gt;=განმარტება!$B$5,3,4)))</f>
        <v>4</v>
      </c>
      <c r="C915" s="6" t="s">
        <v>15</v>
      </c>
      <c r="D915" s="6" t="s">
        <v>4632</v>
      </c>
      <c r="E915" s="7" t="s">
        <v>4633</v>
      </c>
      <c r="F915" s="7" t="n">
        <v>2001</v>
      </c>
      <c r="G915" s="6" t="s">
        <v>1994</v>
      </c>
      <c r="H915" s="8" t="n">
        <v>392</v>
      </c>
      <c r="I915" s="8" t="n">
        <v>0</v>
      </c>
      <c r="J915" s="7" t="n">
        <v>0</v>
      </c>
      <c r="K915" s="9" t="s">
        <v>4634</v>
      </c>
      <c r="L915" s="6" t="s">
        <v>4635</v>
      </c>
      <c r="M915" s="6" t="s">
        <v>4636</v>
      </c>
      <c r="N915" s="10"/>
      <c r="O915" s="4" t="str">
        <f aca="false">IF(N915="","",LEN(N915))</f>
        <v/>
      </c>
    </row>
    <row r="916" customFormat="false" ht="51.75" hidden="false" customHeight="true" outlineLevel="0" collapsed="false">
      <c r="A916" s="4" t="n">
        <v>915</v>
      </c>
      <c r="B916" s="5" t="n">
        <f aca="false">IF(OR(C916="სხვა მოდელი წერია",I916&gt;=განმარტება!$B$4),1,IF(OR(C916="ცარიელი",I916&gt;=1),2,IF(H916&gt;=განმარტება!$B$5,3,4)))</f>
        <v>4</v>
      </c>
      <c r="C916" s="6" t="s">
        <v>15</v>
      </c>
      <c r="D916" s="6" t="s">
        <v>4637</v>
      </c>
      <c r="E916" s="7" t="s">
        <v>4638</v>
      </c>
      <c r="F916" s="7" t="n">
        <v>3054</v>
      </c>
      <c r="G916" s="6" t="s">
        <v>30</v>
      </c>
      <c r="H916" s="8" t="n">
        <v>384</v>
      </c>
      <c r="I916" s="8" t="n">
        <v>0</v>
      </c>
      <c r="J916" s="7" t="n">
        <v>0</v>
      </c>
      <c r="K916" s="9" t="s">
        <v>4639</v>
      </c>
      <c r="L916" s="6" t="s">
        <v>4640</v>
      </c>
      <c r="M916" s="6" t="s">
        <v>4641</v>
      </c>
      <c r="N916" s="10"/>
      <c r="O916" s="4" t="str">
        <f aca="false">IF(N916="","",LEN(N916))</f>
        <v/>
      </c>
    </row>
    <row r="917" customFormat="false" ht="39" hidden="false" customHeight="true" outlineLevel="0" collapsed="false">
      <c r="A917" s="4" t="n">
        <v>916</v>
      </c>
      <c r="B917" s="5" t="n">
        <f aca="false">IF(OR(C917="სხვა მოდელი წერია",I917&gt;=განმარტება!$B$4),1,IF(OR(C917="ცარიელი",I917&gt;=1),2,IF(H917&gt;=განმარტება!$B$5,3,4)))</f>
        <v>4</v>
      </c>
      <c r="C917" s="6" t="s">
        <v>15</v>
      </c>
      <c r="D917" s="6" t="s">
        <v>4642</v>
      </c>
      <c r="E917" s="7" t="s">
        <v>4643</v>
      </c>
      <c r="F917" s="7" t="n">
        <v>3276</v>
      </c>
      <c r="G917" s="6" t="s">
        <v>285</v>
      </c>
      <c r="H917" s="8" t="n">
        <v>383</v>
      </c>
      <c r="I917" s="8" t="n">
        <v>0</v>
      </c>
      <c r="J917" s="7" t="n">
        <v>0</v>
      </c>
      <c r="K917" s="9" t="s">
        <v>4644</v>
      </c>
      <c r="L917" s="6" t="s">
        <v>4645</v>
      </c>
      <c r="M917" s="6" t="s">
        <v>4646</v>
      </c>
      <c r="N917" s="10"/>
      <c r="O917" s="4" t="str">
        <f aca="false">IF(N917="","",LEN(N917))</f>
        <v/>
      </c>
    </row>
    <row r="918" customFormat="false" ht="51.75" hidden="false" customHeight="true" outlineLevel="0" collapsed="false">
      <c r="A918" s="4" t="n">
        <v>917</v>
      </c>
      <c r="B918" s="5" t="n">
        <f aca="false">IF(OR(C918="სხვა მოდელი წერია",I918&gt;=განმარტება!$B$4),1,IF(OR(C918="ცარიელი",I918&gt;=1),2,IF(H918&gt;=განმარტება!$B$5,3,4)))</f>
        <v>4</v>
      </c>
      <c r="C918" s="6" t="s">
        <v>15</v>
      </c>
      <c r="D918" s="6" t="s">
        <v>4647</v>
      </c>
      <c r="E918" s="7" t="s">
        <v>4648</v>
      </c>
      <c r="F918" s="7" t="n">
        <v>2871</v>
      </c>
      <c r="G918" s="6" t="s">
        <v>3253</v>
      </c>
      <c r="H918" s="8" t="n">
        <v>380</v>
      </c>
      <c r="I918" s="8" t="n">
        <v>0</v>
      </c>
      <c r="J918" s="7" t="n">
        <v>0</v>
      </c>
      <c r="K918" s="9" t="s">
        <v>4649</v>
      </c>
      <c r="L918" s="6" t="s">
        <v>4650</v>
      </c>
      <c r="M918" s="6" t="s">
        <v>4651</v>
      </c>
      <c r="N918" s="10"/>
      <c r="O918" s="4" t="str">
        <f aca="false">IF(N918="","",LEN(N918))</f>
        <v/>
      </c>
    </row>
    <row r="919" customFormat="false" ht="51.75" hidden="false" customHeight="true" outlineLevel="0" collapsed="false">
      <c r="A919" s="4" t="n">
        <v>918</v>
      </c>
      <c r="B919" s="5" t="n">
        <f aca="false">IF(OR(C919="სხვა მოდელი წერია",I919&gt;=განმარტება!$B$4),1,IF(OR(C919="ცარიელი",I919&gt;=1),2,IF(H919&gt;=განმარტება!$B$5,3,4)))</f>
        <v>4</v>
      </c>
      <c r="C919" s="6" t="s">
        <v>15</v>
      </c>
      <c r="D919" s="6" t="s">
        <v>4652</v>
      </c>
      <c r="E919" s="7" t="s">
        <v>4653</v>
      </c>
      <c r="F919" s="7" t="n">
        <v>3793</v>
      </c>
      <c r="G919" s="6" t="s">
        <v>595</v>
      </c>
      <c r="H919" s="8" t="n">
        <v>379</v>
      </c>
      <c r="I919" s="8" t="n">
        <v>0</v>
      </c>
      <c r="J919" s="7" t="n">
        <v>0</v>
      </c>
      <c r="K919" s="9" t="s">
        <v>4654</v>
      </c>
      <c r="L919" s="6" t="s">
        <v>4655</v>
      </c>
      <c r="M919" s="6" t="s">
        <v>4656</v>
      </c>
      <c r="N919" s="10"/>
      <c r="O919" s="4" t="str">
        <f aca="false">IF(N919="","",LEN(N919))</f>
        <v/>
      </c>
    </row>
    <row r="920" customFormat="false" ht="51.75" hidden="false" customHeight="true" outlineLevel="0" collapsed="false">
      <c r="A920" s="4" t="n">
        <v>919</v>
      </c>
      <c r="B920" s="5" t="n">
        <f aca="false">IF(OR(C920="სხვა მოდელი წერია",I920&gt;=განმარტება!$B$4),1,IF(OR(C920="ცარიელი",I920&gt;=1),2,IF(H920&gt;=განმარტება!$B$5,3,4)))</f>
        <v>4</v>
      </c>
      <c r="C920" s="6" t="s">
        <v>15</v>
      </c>
      <c r="D920" s="6" t="s">
        <v>4657</v>
      </c>
      <c r="E920" s="7" t="s">
        <v>4658</v>
      </c>
      <c r="F920" s="7" t="n">
        <v>713</v>
      </c>
      <c r="G920" s="6" t="s">
        <v>30</v>
      </c>
      <c r="H920" s="8" t="n">
        <v>379</v>
      </c>
      <c r="I920" s="8" t="n">
        <v>0</v>
      </c>
      <c r="J920" s="7" t="n">
        <v>0</v>
      </c>
      <c r="K920" s="9" t="s">
        <v>4659</v>
      </c>
      <c r="L920" s="6" t="s">
        <v>4660</v>
      </c>
      <c r="M920" s="6" t="s">
        <v>4661</v>
      </c>
      <c r="N920" s="10"/>
      <c r="O920" s="4" t="str">
        <f aca="false">IF(N920="","",LEN(N920))</f>
        <v/>
      </c>
    </row>
    <row r="921" customFormat="false" ht="39" hidden="false" customHeight="true" outlineLevel="0" collapsed="false">
      <c r="A921" s="4" t="n">
        <v>920</v>
      </c>
      <c r="B921" s="5" t="n">
        <f aca="false">IF(OR(C921="სხვა მოდელი წერია",I921&gt;=განმარტება!$B$4),1,IF(OR(C921="ცარიელი",I921&gt;=1),2,IF(H921&gt;=განმარტება!$B$5,3,4)))</f>
        <v>4</v>
      </c>
      <c r="C921" s="6" t="s">
        <v>15</v>
      </c>
      <c r="D921" s="6" t="s">
        <v>4662</v>
      </c>
      <c r="E921" s="7" t="s">
        <v>4663</v>
      </c>
      <c r="F921" s="7" t="n">
        <v>1706</v>
      </c>
      <c r="G921" s="6" t="s">
        <v>205</v>
      </c>
      <c r="H921" s="8" t="n">
        <v>379</v>
      </c>
      <c r="I921" s="8" t="n">
        <v>0</v>
      </c>
      <c r="J921" s="7" t="n">
        <v>0</v>
      </c>
      <c r="K921" s="9" t="s">
        <v>4664</v>
      </c>
      <c r="L921" s="6" t="s">
        <v>4665</v>
      </c>
      <c r="M921" s="6" t="s">
        <v>4666</v>
      </c>
      <c r="N921" s="10"/>
      <c r="O921" s="4" t="str">
        <f aca="false">IF(N921="","",LEN(N921))</f>
        <v/>
      </c>
    </row>
    <row r="922" customFormat="false" ht="39" hidden="false" customHeight="true" outlineLevel="0" collapsed="false">
      <c r="A922" s="4" t="n">
        <v>921</v>
      </c>
      <c r="B922" s="5" t="n">
        <f aca="false">IF(OR(C922="სხვა მოდელი წერია",I922&gt;=განმარტება!$B$4),1,IF(OR(C922="ცარიელი",I922&gt;=1),2,IF(H922&gt;=განმარტება!$B$5,3,4)))</f>
        <v>4</v>
      </c>
      <c r="C922" s="6" t="s">
        <v>15</v>
      </c>
      <c r="D922" s="6" t="s">
        <v>4667</v>
      </c>
      <c r="E922" s="7" t="s">
        <v>4668</v>
      </c>
      <c r="F922" s="7" t="n">
        <v>1793</v>
      </c>
      <c r="G922" s="6" t="s">
        <v>1173</v>
      </c>
      <c r="H922" s="8" t="n">
        <v>379</v>
      </c>
      <c r="I922" s="8" t="n">
        <v>0</v>
      </c>
      <c r="J922" s="7" t="n">
        <v>0</v>
      </c>
      <c r="K922" s="9" t="s">
        <v>4669</v>
      </c>
      <c r="L922" s="6" t="s">
        <v>4670</v>
      </c>
      <c r="M922" s="6" t="s">
        <v>4671</v>
      </c>
      <c r="N922" s="10"/>
      <c r="O922" s="4" t="str">
        <f aca="false">IF(N922="","",LEN(N922))</f>
        <v/>
      </c>
    </row>
    <row r="923" customFormat="false" ht="39" hidden="false" customHeight="true" outlineLevel="0" collapsed="false">
      <c r="A923" s="4" t="n">
        <v>922</v>
      </c>
      <c r="B923" s="5" t="n">
        <f aca="false">IF(OR(C923="სხვა მოდელი წერია",I923&gt;=განმარტება!$B$4),1,IF(OR(C923="ცარიელი",I923&gt;=1),2,IF(H923&gt;=განმარტება!$B$5,3,4)))</f>
        <v>4</v>
      </c>
      <c r="C923" s="6" t="s">
        <v>15</v>
      </c>
      <c r="D923" s="6" t="s">
        <v>4672</v>
      </c>
      <c r="E923" s="7" t="s">
        <v>4673</v>
      </c>
      <c r="F923" s="7" t="n">
        <v>792</v>
      </c>
      <c r="G923" s="6" t="s">
        <v>749</v>
      </c>
      <c r="H923" s="8" t="n">
        <v>375</v>
      </c>
      <c r="I923" s="8" t="n">
        <v>0</v>
      </c>
      <c r="J923" s="7" t="n">
        <v>0</v>
      </c>
      <c r="K923" s="9" t="s">
        <v>4674</v>
      </c>
      <c r="L923" s="6" t="s">
        <v>4675</v>
      </c>
      <c r="M923" s="6" t="s">
        <v>4676</v>
      </c>
      <c r="N923" s="10"/>
      <c r="O923" s="4" t="str">
        <f aca="false">IF(N923="","",LEN(N923))</f>
        <v/>
      </c>
    </row>
    <row r="924" customFormat="false" ht="51.75" hidden="false" customHeight="true" outlineLevel="0" collapsed="false">
      <c r="A924" s="4" t="n">
        <v>923</v>
      </c>
      <c r="B924" s="5" t="n">
        <f aca="false">IF(OR(C924="სხვა მოდელი წერია",I924&gt;=განმარტება!$B$4),1,IF(OR(C924="ცარიელი",I924&gt;=1),2,IF(H924&gt;=განმარტება!$B$5,3,4)))</f>
        <v>4</v>
      </c>
      <c r="C924" s="6" t="s">
        <v>15</v>
      </c>
      <c r="D924" s="6" t="s">
        <v>4677</v>
      </c>
      <c r="E924" s="7" t="s">
        <v>4678</v>
      </c>
      <c r="F924" s="7" t="n">
        <v>2977</v>
      </c>
      <c r="G924" s="6" t="s">
        <v>595</v>
      </c>
      <c r="H924" s="8" t="n">
        <v>369</v>
      </c>
      <c r="I924" s="8" t="n">
        <v>0</v>
      </c>
      <c r="J924" s="7" t="n">
        <v>0</v>
      </c>
      <c r="K924" s="9" t="s">
        <v>4679</v>
      </c>
      <c r="L924" s="6" t="s">
        <v>4680</v>
      </c>
      <c r="M924" s="6" t="s">
        <v>4681</v>
      </c>
      <c r="N924" s="10"/>
      <c r="O924" s="4" t="str">
        <f aca="false">IF(N924="","",LEN(N924))</f>
        <v/>
      </c>
    </row>
    <row r="925" customFormat="false" ht="51.75" hidden="false" customHeight="true" outlineLevel="0" collapsed="false">
      <c r="A925" s="4" t="n">
        <v>924</v>
      </c>
      <c r="B925" s="5" t="n">
        <f aca="false">IF(OR(C925="სხვა მოდელი წერია",I925&gt;=განმარტება!$B$4),1,IF(OR(C925="ცარიელი",I925&gt;=1),2,IF(H925&gt;=განმარტება!$B$5,3,4)))</f>
        <v>4</v>
      </c>
      <c r="C925" s="6" t="s">
        <v>15</v>
      </c>
      <c r="D925" s="6" t="s">
        <v>4682</v>
      </c>
      <c r="E925" s="7" t="s">
        <v>4683</v>
      </c>
      <c r="F925" s="7" t="n">
        <v>3905</v>
      </c>
      <c r="G925" s="6" t="s">
        <v>693</v>
      </c>
      <c r="H925" s="8" t="n">
        <v>369</v>
      </c>
      <c r="I925" s="8" t="n">
        <v>0</v>
      </c>
      <c r="J925" s="7" t="n">
        <v>0</v>
      </c>
      <c r="K925" s="9" t="s">
        <v>4684</v>
      </c>
      <c r="L925" s="6" t="s">
        <v>4685</v>
      </c>
      <c r="M925" s="6" t="s">
        <v>4686</v>
      </c>
      <c r="N925" s="10"/>
      <c r="O925" s="4" t="str">
        <f aca="false">IF(N925="","",LEN(N925))</f>
        <v/>
      </c>
    </row>
    <row r="926" customFormat="false" ht="51.75" hidden="false" customHeight="true" outlineLevel="0" collapsed="false">
      <c r="A926" s="4" t="n">
        <v>925</v>
      </c>
      <c r="B926" s="5" t="n">
        <f aca="false">IF(OR(C926="სხვა მოდელი წერია",I926&gt;=განმარტება!$B$4),1,IF(OR(C926="ცარიელი",I926&gt;=1),2,IF(H926&gt;=განმარტება!$B$5,3,4)))</f>
        <v>4</v>
      </c>
      <c r="C926" s="6" t="s">
        <v>15</v>
      </c>
      <c r="D926" s="6" t="s">
        <v>4687</v>
      </c>
      <c r="E926" s="7" t="s">
        <v>4688</v>
      </c>
      <c r="F926" s="7" t="n">
        <v>699</v>
      </c>
      <c r="G926" s="6" t="s">
        <v>30</v>
      </c>
      <c r="H926" s="8" t="n">
        <v>369</v>
      </c>
      <c r="I926" s="8" t="n">
        <v>0</v>
      </c>
      <c r="J926" s="7" t="n">
        <v>0</v>
      </c>
      <c r="K926" s="9" t="s">
        <v>4689</v>
      </c>
      <c r="L926" s="6" t="s">
        <v>4690</v>
      </c>
      <c r="M926" s="6" t="s">
        <v>4691</v>
      </c>
      <c r="N926" s="10"/>
      <c r="O926" s="4" t="str">
        <f aca="false">IF(N926="","",LEN(N926))</f>
        <v/>
      </c>
    </row>
    <row r="927" customFormat="false" ht="39" hidden="false" customHeight="true" outlineLevel="0" collapsed="false">
      <c r="A927" s="4" t="n">
        <v>926</v>
      </c>
      <c r="B927" s="5" t="n">
        <f aca="false">IF(OR(C927="სხვა მოდელი წერია",I927&gt;=განმარტება!$B$4),1,IF(OR(C927="ცარიელი",I927&gt;=1),2,IF(H927&gt;=განმარტება!$B$5,3,4)))</f>
        <v>4</v>
      </c>
      <c r="C927" s="6" t="s">
        <v>15</v>
      </c>
      <c r="D927" s="6" t="s">
        <v>4692</v>
      </c>
      <c r="E927" s="7" t="s">
        <v>4693</v>
      </c>
      <c r="F927" s="7" t="n">
        <v>2034</v>
      </c>
      <c r="G927" s="6" t="s">
        <v>1994</v>
      </c>
      <c r="H927" s="8" t="n">
        <v>365</v>
      </c>
      <c r="I927" s="8" t="n">
        <v>0</v>
      </c>
      <c r="J927" s="7" t="n">
        <v>0</v>
      </c>
      <c r="K927" s="9" t="s">
        <v>4694</v>
      </c>
      <c r="L927" s="6" t="s">
        <v>4695</v>
      </c>
      <c r="M927" s="6" t="s">
        <v>4696</v>
      </c>
      <c r="N927" s="10"/>
      <c r="O927" s="4" t="str">
        <f aca="false">IF(N927="","",LEN(N927))</f>
        <v/>
      </c>
    </row>
    <row r="928" customFormat="false" ht="51.75" hidden="false" customHeight="true" outlineLevel="0" collapsed="false">
      <c r="A928" s="4" t="n">
        <v>927</v>
      </c>
      <c r="B928" s="5" t="n">
        <f aca="false">IF(OR(C928="სხვა მოდელი წერია",I928&gt;=განმარტება!$B$4),1,IF(OR(C928="ცარიელი",I928&gt;=1),2,IF(H928&gt;=განმარტება!$B$5,3,4)))</f>
        <v>4</v>
      </c>
      <c r="C928" s="6" t="s">
        <v>15</v>
      </c>
      <c r="D928" s="6" t="s">
        <v>4697</v>
      </c>
      <c r="E928" s="7" t="s">
        <v>4698</v>
      </c>
      <c r="F928" s="7" t="n">
        <v>1011</v>
      </c>
      <c r="G928" s="6" t="s">
        <v>693</v>
      </c>
      <c r="H928" s="8" t="n">
        <v>365</v>
      </c>
      <c r="I928" s="8" t="n">
        <v>0</v>
      </c>
      <c r="J928" s="7" t="n">
        <v>0</v>
      </c>
      <c r="K928" s="9" t="s">
        <v>4699</v>
      </c>
      <c r="L928" s="6" t="s">
        <v>4700</v>
      </c>
      <c r="M928" s="6" t="s">
        <v>4701</v>
      </c>
      <c r="N928" s="10"/>
      <c r="O928" s="4" t="str">
        <f aca="false">IF(N928="","",LEN(N928))</f>
        <v/>
      </c>
    </row>
    <row r="929" customFormat="false" ht="39" hidden="false" customHeight="true" outlineLevel="0" collapsed="false">
      <c r="A929" s="4" t="n">
        <v>928</v>
      </c>
      <c r="B929" s="5" t="n">
        <f aca="false">IF(OR(C929="სხვა მოდელი წერია",I929&gt;=განმარტება!$B$4),1,IF(OR(C929="ცარიელი",I929&gt;=1),2,IF(H929&gt;=განმარტება!$B$5,3,4)))</f>
        <v>4</v>
      </c>
      <c r="C929" s="6" t="s">
        <v>15</v>
      </c>
      <c r="D929" s="6" t="s">
        <v>4702</v>
      </c>
      <c r="E929" s="7" t="s">
        <v>4703</v>
      </c>
      <c r="F929" s="7" t="n">
        <v>2828</v>
      </c>
      <c r="G929" s="6" t="s">
        <v>177</v>
      </c>
      <c r="H929" s="8" t="n">
        <v>364</v>
      </c>
      <c r="I929" s="8" t="n">
        <v>0</v>
      </c>
      <c r="J929" s="7" t="n">
        <v>0</v>
      </c>
      <c r="K929" s="9" t="s">
        <v>4704</v>
      </c>
      <c r="L929" s="6" t="s">
        <v>4705</v>
      </c>
      <c r="M929" s="6" t="s">
        <v>4706</v>
      </c>
      <c r="N929" s="10"/>
      <c r="O929" s="4" t="str">
        <f aca="false">IF(N929="","",LEN(N929))</f>
        <v/>
      </c>
    </row>
    <row r="930" customFormat="false" ht="64.5" hidden="false" customHeight="true" outlineLevel="0" collapsed="false">
      <c r="A930" s="4" t="n">
        <v>929</v>
      </c>
      <c r="B930" s="5" t="n">
        <f aca="false">IF(OR(C930="სხვა მოდელი წერია",I930&gt;=განმარტება!$B$4),1,IF(OR(C930="ცარიელი",I930&gt;=1),2,IF(H930&gt;=განმარტება!$B$5,3,4)))</f>
        <v>4</v>
      </c>
      <c r="C930" s="6" t="s">
        <v>15</v>
      </c>
      <c r="D930" s="6" t="s">
        <v>4707</v>
      </c>
      <c r="E930" s="7" t="s">
        <v>4708</v>
      </c>
      <c r="F930" s="7" t="n">
        <v>1985</v>
      </c>
      <c r="G930" s="6" t="s">
        <v>714</v>
      </c>
      <c r="H930" s="8" t="n">
        <v>352</v>
      </c>
      <c r="I930" s="8" t="n">
        <v>0</v>
      </c>
      <c r="J930" s="7" t="n">
        <v>0</v>
      </c>
      <c r="K930" s="9" t="s">
        <v>4709</v>
      </c>
      <c r="L930" s="6" t="s">
        <v>4710</v>
      </c>
      <c r="M930" s="6" t="s">
        <v>4711</v>
      </c>
      <c r="N930" s="10"/>
      <c r="O930" s="4" t="str">
        <f aca="false">IF(N930="","",LEN(N930))</f>
        <v/>
      </c>
    </row>
    <row r="931" customFormat="false" ht="39" hidden="false" customHeight="true" outlineLevel="0" collapsed="false">
      <c r="A931" s="4" t="n">
        <v>930</v>
      </c>
      <c r="B931" s="5" t="n">
        <f aca="false">IF(OR(C931="სხვა მოდელი წერია",I931&gt;=განმარტება!$B$4),1,IF(OR(C931="ცარიელი",I931&gt;=1),2,IF(H931&gt;=განმარტება!$B$5,3,4)))</f>
        <v>4</v>
      </c>
      <c r="C931" s="6" t="s">
        <v>15</v>
      </c>
      <c r="D931" s="6" t="s">
        <v>4712</v>
      </c>
      <c r="E931" s="7" t="s">
        <v>4713</v>
      </c>
      <c r="F931" s="7" t="n">
        <v>2810</v>
      </c>
      <c r="G931" s="6" t="s">
        <v>42</v>
      </c>
      <c r="H931" s="8" t="n">
        <v>349</v>
      </c>
      <c r="I931" s="8" t="n">
        <v>0</v>
      </c>
      <c r="J931" s="7" t="n">
        <v>0</v>
      </c>
      <c r="K931" s="9" t="s">
        <v>4714</v>
      </c>
      <c r="L931" s="6" t="s">
        <v>4715</v>
      </c>
      <c r="M931" s="6" t="s">
        <v>4716</v>
      </c>
      <c r="N931" s="10"/>
      <c r="O931" s="4" t="str">
        <f aca="false">IF(N931="","",LEN(N931))</f>
        <v/>
      </c>
    </row>
    <row r="932" customFormat="false" ht="39" hidden="false" customHeight="true" outlineLevel="0" collapsed="false">
      <c r="A932" s="4" t="n">
        <v>931</v>
      </c>
      <c r="B932" s="5" t="n">
        <f aca="false">IF(OR(C932="სხვა მოდელი წერია",I932&gt;=განმარტება!$B$4),1,IF(OR(C932="ცარიელი",I932&gt;=1),2,IF(H932&gt;=განმარტება!$B$5,3,4)))</f>
        <v>4</v>
      </c>
      <c r="C932" s="6" t="s">
        <v>15</v>
      </c>
      <c r="D932" s="6" t="s">
        <v>4717</v>
      </c>
      <c r="E932" s="7" t="s">
        <v>4718</v>
      </c>
      <c r="F932" s="7" t="n">
        <v>2010</v>
      </c>
      <c r="G932" s="6" t="s">
        <v>1994</v>
      </c>
      <c r="H932" s="8" t="n">
        <v>349</v>
      </c>
      <c r="I932" s="8" t="n">
        <v>0</v>
      </c>
      <c r="J932" s="7" t="n">
        <v>0</v>
      </c>
      <c r="K932" s="9" t="s">
        <v>4719</v>
      </c>
      <c r="L932" s="6" t="s">
        <v>4720</v>
      </c>
      <c r="M932" s="6" t="s">
        <v>4721</v>
      </c>
      <c r="N932" s="10"/>
      <c r="O932" s="4" t="str">
        <f aca="false">IF(N932="","",LEN(N932))</f>
        <v/>
      </c>
    </row>
    <row r="933" customFormat="false" ht="39" hidden="false" customHeight="true" outlineLevel="0" collapsed="false">
      <c r="A933" s="4" t="n">
        <v>932</v>
      </c>
      <c r="B933" s="5" t="n">
        <f aca="false">IF(OR(C933="სხვა მოდელი წერია",I933&gt;=განმარტება!$B$4),1,IF(OR(C933="ცარიელი",I933&gt;=1),2,IF(H933&gt;=განმარტება!$B$5,3,4)))</f>
        <v>4</v>
      </c>
      <c r="C933" s="6" t="s">
        <v>15</v>
      </c>
      <c r="D933" s="6" t="s">
        <v>1422</v>
      </c>
      <c r="E933" s="7" t="s">
        <v>4722</v>
      </c>
      <c r="F933" s="7" t="n">
        <v>8913</v>
      </c>
      <c r="G933" s="6" t="s">
        <v>1267</v>
      </c>
      <c r="H933" s="8" t="n">
        <v>349</v>
      </c>
      <c r="I933" s="8" t="n">
        <v>0</v>
      </c>
      <c r="J933" s="7" t="n">
        <v>0</v>
      </c>
      <c r="K933" s="9" t="s">
        <v>4723</v>
      </c>
      <c r="L933" s="6" t="s">
        <v>4724</v>
      </c>
      <c r="M933" s="6" t="s">
        <v>1426</v>
      </c>
      <c r="N933" s="10"/>
      <c r="O933" s="4" t="str">
        <f aca="false">IF(N933="","",LEN(N933))</f>
        <v/>
      </c>
    </row>
    <row r="934" customFormat="false" ht="39" hidden="false" customHeight="true" outlineLevel="0" collapsed="false">
      <c r="A934" s="4" t="n">
        <v>933</v>
      </c>
      <c r="B934" s="5" t="n">
        <f aca="false">IF(OR(C934="სხვა მოდელი წერია",I934&gt;=განმარტება!$B$4),1,IF(OR(C934="ცარიელი",I934&gt;=1),2,IF(H934&gt;=განმარტება!$B$5,3,4)))</f>
        <v>4</v>
      </c>
      <c r="C934" s="6" t="s">
        <v>15</v>
      </c>
      <c r="D934" s="6" t="s">
        <v>4725</v>
      </c>
      <c r="E934" s="7" t="s">
        <v>4726</v>
      </c>
      <c r="F934" s="7" t="n">
        <v>8909</v>
      </c>
      <c r="G934" s="6" t="s">
        <v>1267</v>
      </c>
      <c r="H934" s="8" t="n">
        <v>349</v>
      </c>
      <c r="I934" s="8" t="n">
        <v>0</v>
      </c>
      <c r="J934" s="7" t="n">
        <v>0</v>
      </c>
      <c r="K934" s="9" t="s">
        <v>4727</v>
      </c>
      <c r="L934" s="6" t="s">
        <v>4728</v>
      </c>
      <c r="M934" s="6" t="s">
        <v>4729</v>
      </c>
      <c r="N934" s="10"/>
      <c r="O934" s="4" t="str">
        <f aca="false">IF(N934="","",LEN(N934))</f>
        <v/>
      </c>
    </row>
    <row r="935" customFormat="false" ht="39" hidden="false" customHeight="true" outlineLevel="0" collapsed="false">
      <c r="A935" s="4" t="n">
        <v>934</v>
      </c>
      <c r="B935" s="5" t="n">
        <f aca="false">IF(OR(C935="სხვა მოდელი წერია",I935&gt;=განმარტება!$B$4),1,IF(OR(C935="ცარიელი",I935&gt;=1),2,IF(H935&gt;=განმარტება!$B$5,3,4)))</f>
        <v>4</v>
      </c>
      <c r="C935" s="6" t="s">
        <v>15</v>
      </c>
      <c r="D935" s="6" t="s">
        <v>4730</v>
      </c>
      <c r="E935" s="7" t="s">
        <v>4731</v>
      </c>
      <c r="F935" s="7" t="n">
        <v>2073</v>
      </c>
      <c r="G935" s="6" t="s">
        <v>340</v>
      </c>
      <c r="H935" s="8" t="n">
        <v>349</v>
      </c>
      <c r="I935" s="8" t="n">
        <v>0</v>
      </c>
      <c r="J935" s="7" t="n">
        <v>0</v>
      </c>
      <c r="K935" s="9" t="s">
        <v>4732</v>
      </c>
      <c r="L935" s="6" t="s">
        <v>4733</v>
      </c>
      <c r="M935" s="6" t="s">
        <v>4734</v>
      </c>
      <c r="N935" s="10"/>
      <c r="O935" s="4" t="str">
        <f aca="false">IF(N935="","",LEN(N935))</f>
        <v/>
      </c>
    </row>
    <row r="936" customFormat="false" ht="51.75" hidden="false" customHeight="true" outlineLevel="0" collapsed="false">
      <c r="A936" s="4" t="n">
        <v>935</v>
      </c>
      <c r="B936" s="5" t="n">
        <f aca="false">IF(OR(C936="სხვა მოდელი წერია",I936&gt;=განმარტება!$B$4),1,IF(OR(C936="ცარიელი",I936&gt;=1),2,IF(H936&gt;=განმარტება!$B$5,3,4)))</f>
        <v>4</v>
      </c>
      <c r="C936" s="6" t="s">
        <v>15</v>
      </c>
      <c r="D936" s="6" t="s">
        <v>4735</v>
      </c>
      <c r="E936" s="7" t="s">
        <v>4736</v>
      </c>
      <c r="F936" s="7" t="n">
        <v>2978</v>
      </c>
      <c r="G936" s="6" t="s">
        <v>595</v>
      </c>
      <c r="H936" s="8" t="n">
        <v>349</v>
      </c>
      <c r="I936" s="8" t="n">
        <v>0</v>
      </c>
      <c r="J936" s="7" t="n">
        <v>0</v>
      </c>
      <c r="K936" s="9" t="s">
        <v>4737</v>
      </c>
      <c r="L936" s="6" t="s">
        <v>4465</v>
      </c>
      <c r="M936" s="6" t="s">
        <v>4738</v>
      </c>
      <c r="N936" s="10"/>
      <c r="O936" s="4" t="str">
        <f aca="false">IF(N936="","",LEN(N936))</f>
        <v/>
      </c>
    </row>
    <row r="937" customFormat="false" ht="51.75" hidden="false" customHeight="true" outlineLevel="0" collapsed="false">
      <c r="A937" s="4" t="n">
        <v>936</v>
      </c>
      <c r="B937" s="5" t="n">
        <f aca="false">IF(OR(C937="სხვა მოდელი წერია",I937&gt;=განმარტება!$B$4),1,IF(OR(C937="ცარიელი",I937&gt;=1),2,IF(H937&gt;=განმარტება!$B$5,3,4)))</f>
        <v>4</v>
      </c>
      <c r="C937" s="6" t="s">
        <v>15</v>
      </c>
      <c r="D937" s="6" t="s">
        <v>4739</v>
      </c>
      <c r="E937" s="7" t="s">
        <v>4740</v>
      </c>
      <c r="F937" s="7" t="n">
        <v>3179</v>
      </c>
      <c r="G937" s="6" t="s">
        <v>30</v>
      </c>
      <c r="H937" s="8" t="n">
        <v>349</v>
      </c>
      <c r="I937" s="8" t="n">
        <v>0</v>
      </c>
      <c r="J937" s="7" t="n">
        <v>0</v>
      </c>
      <c r="K937" s="9" t="s">
        <v>4741</v>
      </c>
      <c r="L937" s="6" t="s">
        <v>4742</v>
      </c>
      <c r="M937" s="6" t="s">
        <v>4743</v>
      </c>
      <c r="N937" s="10"/>
      <c r="O937" s="4" t="str">
        <f aca="false">IF(N937="","",LEN(N937))</f>
        <v/>
      </c>
    </row>
    <row r="938" customFormat="false" ht="51.75" hidden="false" customHeight="true" outlineLevel="0" collapsed="false">
      <c r="A938" s="4" t="n">
        <v>937</v>
      </c>
      <c r="B938" s="5" t="n">
        <f aca="false">IF(OR(C938="სხვა მოდელი წერია",I938&gt;=განმარტება!$B$4),1,IF(OR(C938="ცარიელი",I938&gt;=1),2,IF(H938&gt;=განმარტება!$B$5,3,4)))</f>
        <v>4</v>
      </c>
      <c r="C938" s="6" t="s">
        <v>15</v>
      </c>
      <c r="D938" s="6" t="s">
        <v>4744</v>
      </c>
      <c r="E938" s="7" t="s">
        <v>4745</v>
      </c>
      <c r="F938" s="7" t="n">
        <v>147</v>
      </c>
      <c r="G938" s="6" t="s">
        <v>30</v>
      </c>
      <c r="H938" s="8" t="n">
        <v>349</v>
      </c>
      <c r="I938" s="8" t="n">
        <v>0</v>
      </c>
      <c r="J938" s="7" t="n">
        <v>0</v>
      </c>
      <c r="K938" s="9" t="s">
        <v>4746</v>
      </c>
      <c r="L938" s="6" t="s">
        <v>4747</v>
      </c>
      <c r="M938" s="6" t="s">
        <v>4748</v>
      </c>
      <c r="N938" s="10"/>
      <c r="O938" s="4" t="str">
        <f aca="false">IF(N938="","",LEN(N938))</f>
        <v/>
      </c>
    </row>
    <row r="939" customFormat="false" ht="77.25" hidden="false" customHeight="true" outlineLevel="0" collapsed="false">
      <c r="A939" s="4" t="n">
        <v>938</v>
      </c>
      <c r="B939" s="5" t="n">
        <f aca="false">IF(OR(C939="სხვა მოდელი წერია",I939&gt;=განმარტება!$B$4),1,IF(OR(C939="ცარიელი",I939&gt;=1),2,IF(H939&gt;=განმარტება!$B$5,3,4)))</f>
        <v>4</v>
      </c>
      <c r="C939" s="6" t="s">
        <v>15</v>
      </c>
      <c r="D939" s="6" t="s">
        <v>4749</v>
      </c>
      <c r="E939" s="7" t="s">
        <v>4750</v>
      </c>
      <c r="F939" s="7" t="n">
        <v>2950</v>
      </c>
      <c r="G939" s="6" t="s">
        <v>1418</v>
      </c>
      <c r="H939" s="8" t="n">
        <v>349</v>
      </c>
      <c r="I939" s="8" t="n">
        <v>0</v>
      </c>
      <c r="J939" s="7" t="n">
        <v>0</v>
      </c>
      <c r="K939" s="9" t="s">
        <v>4751</v>
      </c>
      <c r="L939" s="6" t="s">
        <v>4752</v>
      </c>
      <c r="M939" s="6" t="s">
        <v>4753</v>
      </c>
      <c r="N939" s="10"/>
      <c r="O939" s="4" t="str">
        <f aca="false">IF(N939="","",LEN(N939))</f>
        <v/>
      </c>
    </row>
    <row r="940" customFormat="false" ht="39" hidden="false" customHeight="true" outlineLevel="0" collapsed="false">
      <c r="A940" s="4" t="n">
        <v>939</v>
      </c>
      <c r="B940" s="5" t="n">
        <f aca="false">IF(OR(C940="სხვა მოდელი წერია",I940&gt;=განმარტება!$B$4),1,IF(OR(C940="ცარიელი",I940&gt;=1),2,IF(H940&gt;=განმარტება!$B$5,3,4)))</f>
        <v>4</v>
      </c>
      <c r="C940" s="6" t="s">
        <v>15</v>
      </c>
      <c r="D940" s="6" t="s">
        <v>4754</v>
      </c>
      <c r="E940" s="7" t="s">
        <v>4755</v>
      </c>
      <c r="F940" s="7" t="n">
        <v>2805</v>
      </c>
      <c r="G940" s="6" t="s">
        <v>205</v>
      </c>
      <c r="H940" s="8" t="n">
        <v>349</v>
      </c>
      <c r="I940" s="8" t="n">
        <v>0</v>
      </c>
      <c r="J940" s="7" t="n">
        <v>0</v>
      </c>
      <c r="K940" s="9" t="s">
        <v>4756</v>
      </c>
      <c r="L940" s="6" t="s">
        <v>4757</v>
      </c>
      <c r="M940" s="6" t="s">
        <v>4758</v>
      </c>
      <c r="N940" s="10"/>
      <c r="O940" s="4" t="str">
        <f aca="false">IF(N940="","",LEN(N940))</f>
        <v/>
      </c>
    </row>
    <row r="941" customFormat="false" ht="39" hidden="false" customHeight="true" outlineLevel="0" collapsed="false">
      <c r="A941" s="4" t="n">
        <v>940</v>
      </c>
      <c r="B941" s="5" t="n">
        <f aca="false">IF(OR(C941="სხვა მოდელი წერია",I941&gt;=განმარტება!$B$4),1,IF(OR(C941="ცარიელი",I941&gt;=1),2,IF(H941&gt;=განმარტება!$B$5,3,4)))</f>
        <v>4</v>
      </c>
      <c r="C941" s="6" t="s">
        <v>15</v>
      </c>
      <c r="D941" s="6" t="s">
        <v>4759</v>
      </c>
      <c r="E941" s="7" t="s">
        <v>4760</v>
      </c>
      <c r="F941" s="7" t="n">
        <v>12067</v>
      </c>
      <c r="G941" s="6" t="s">
        <v>402</v>
      </c>
      <c r="H941" s="8" t="n">
        <v>349</v>
      </c>
      <c r="I941" s="8" t="n">
        <v>0</v>
      </c>
      <c r="J941" s="7" t="n">
        <v>0</v>
      </c>
      <c r="K941" s="9" t="s">
        <v>4761</v>
      </c>
      <c r="L941" s="6" t="s">
        <v>4762</v>
      </c>
      <c r="M941" s="6" t="s">
        <v>4763</v>
      </c>
      <c r="N941" s="10"/>
      <c r="O941" s="4" t="str">
        <f aca="false">IF(N941="","",LEN(N941))</f>
        <v/>
      </c>
    </row>
    <row r="942" customFormat="false" ht="39" hidden="false" customHeight="true" outlineLevel="0" collapsed="false">
      <c r="A942" s="4" t="n">
        <v>941</v>
      </c>
      <c r="B942" s="5" t="n">
        <f aca="false">IF(OR(C942="სხვა მოდელი წერია",I942&gt;=განმარტება!$B$4),1,IF(OR(C942="ცარიელი",I942&gt;=1),2,IF(H942&gt;=განმარტება!$B$5,3,4)))</f>
        <v>4</v>
      </c>
      <c r="C942" s="6" t="s">
        <v>15</v>
      </c>
      <c r="D942" s="6" t="s">
        <v>4764</v>
      </c>
      <c r="E942" s="7" t="s">
        <v>4765</v>
      </c>
      <c r="F942" s="7" t="n">
        <v>1602</v>
      </c>
      <c r="G942" s="6" t="s">
        <v>285</v>
      </c>
      <c r="H942" s="8" t="n">
        <v>344</v>
      </c>
      <c r="I942" s="8" t="n">
        <v>0</v>
      </c>
      <c r="J942" s="7" t="n">
        <v>0</v>
      </c>
      <c r="K942" s="9" t="s">
        <v>4766</v>
      </c>
      <c r="L942" s="6" t="s">
        <v>4767</v>
      </c>
      <c r="M942" s="6" t="s">
        <v>4768</v>
      </c>
      <c r="N942" s="10"/>
      <c r="O942" s="4" t="str">
        <f aca="false">IF(N942="","",LEN(N942))</f>
        <v/>
      </c>
    </row>
    <row r="943" customFormat="false" ht="39" hidden="false" customHeight="true" outlineLevel="0" collapsed="false">
      <c r="A943" s="4" t="n">
        <v>942</v>
      </c>
      <c r="B943" s="5" t="n">
        <f aca="false">IF(OR(C943="სხვა მოდელი წერია",I943&gt;=განმარტება!$B$4),1,IF(OR(C943="ცარიელი",I943&gt;=1),2,IF(H943&gt;=განმარტება!$B$5,3,4)))</f>
        <v>4</v>
      </c>
      <c r="C943" s="6" t="s">
        <v>15</v>
      </c>
      <c r="D943" s="6" t="s">
        <v>4769</v>
      </c>
      <c r="E943" s="7" t="s">
        <v>4770</v>
      </c>
      <c r="F943" s="7" t="n">
        <v>3978</v>
      </c>
      <c r="G943" s="6" t="s">
        <v>42</v>
      </c>
      <c r="H943" s="8" t="n">
        <v>342</v>
      </c>
      <c r="I943" s="8" t="n">
        <v>0</v>
      </c>
      <c r="J943" s="7" t="n">
        <v>0</v>
      </c>
      <c r="K943" s="9" t="s">
        <v>4771</v>
      </c>
      <c r="L943" s="6" t="s">
        <v>4772</v>
      </c>
      <c r="M943" s="6" t="s">
        <v>4773</v>
      </c>
      <c r="N943" s="10"/>
      <c r="O943" s="4" t="str">
        <f aca="false">IF(N943="","",LEN(N943))</f>
        <v/>
      </c>
    </row>
    <row r="944" customFormat="false" ht="39" hidden="false" customHeight="true" outlineLevel="0" collapsed="false">
      <c r="A944" s="4" t="n">
        <v>943</v>
      </c>
      <c r="B944" s="5" t="n">
        <f aca="false">IF(OR(C944="სხვა მოდელი წერია",I944&gt;=განმარტება!$B$4),1,IF(OR(C944="ცარიელი",I944&gt;=1),2,IF(H944&gt;=განმარტება!$B$5,3,4)))</f>
        <v>4</v>
      </c>
      <c r="C944" s="6" t="s">
        <v>15</v>
      </c>
      <c r="D944" s="6" t="s">
        <v>4774</v>
      </c>
      <c r="E944" s="7" t="s">
        <v>4775</v>
      </c>
      <c r="F944" s="7" t="n">
        <v>2031</v>
      </c>
      <c r="G944" s="6" t="s">
        <v>1994</v>
      </c>
      <c r="H944" s="8" t="n">
        <v>340</v>
      </c>
      <c r="I944" s="8" t="n">
        <v>0</v>
      </c>
      <c r="J944" s="7" t="n">
        <v>0</v>
      </c>
      <c r="K944" s="9" t="s">
        <v>4776</v>
      </c>
      <c r="L944" s="6" t="s">
        <v>4777</v>
      </c>
      <c r="M944" s="6" t="s">
        <v>4778</v>
      </c>
      <c r="N944" s="10"/>
      <c r="O944" s="4" t="str">
        <f aca="false">IF(N944="","",LEN(N944))</f>
        <v/>
      </c>
    </row>
    <row r="945" customFormat="false" ht="51.75" hidden="false" customHeight="true" outlineLevel="0" collapsed="false">
      <c r="A945" s="4" t="n">
        <v>944</v>
      </c>
      <c r="B945" s="5" t="n">
        <f aca="false">IF(OR(C945="სხვა მოდელი წერია",I945&gt;=განმარტება!$B$4),1,IF(OR(C945="ცარიელი",I945&gt;=1),2,IF(H945&gt;=განმარტება!$B$5,3,4)))</f>
        <v>4</v>
      </c>
      <c r="C945" s="6" t="s">
        <v>15</v>
      </c>
      <c r="D945" s="6" t="s">
        <v>4779</v>
      </c>
      <c r="E945" s="7" t="s">
        <v>4780</v>
      </c>
      <c r="F945" s="7" t="n">
        <v>1762</v>
      </c>
      <c r="G945" s="6" t="s">
        <v>693</v>
      </c>
      <c r="H945" s="8" t="n">
        <v>339</v>
      </c>
      <c r="I945" s="8" t="n">
        <v>0</v>
      </c>
      <c r="J945" s="7" t="n">
        <v>0</v>
      </c>
      <c r="K945" s="9" t="s">
        <v>4781</v>
      </c>
      <c r="L945" s="6" t="s">
        <v>4782</v>
      </c>
      <c r="M945" s="6" t="s">
        <v>4783</v>
      </c>
      <c r="N945" s="10"/>
      <c r="O945" s="4" t="str">
        <f aca="false">IF(N945="","",LEN(N945))</f>
        <v/>
      </c>
    </row>
    <row r="946" customFormat="false" ht="39" hidden="false" customHeight="true" outlineLevel="0" collapsed="false">
      <c r="A946" s="4" t="n">
        <v>945</v>
      </c>
      <c r="B946" s="5" t="n">
        <f aca="false">IF(OR(C946="სხვა მოდელი წერია",I946&gt;=განმარტება!$B$4),1,IF(OR(C946="ცარიელი",I946&gt;=1),2,IF(H946&gt;=განმარტება!$B$5,3,4)))</f>
        <v>4</v>
      </c>
      <c r="C946" s="6" t="s">
        <v>15</v>
      </c>
      <c r="D946" s="6" t="s">
        <v>4784</v>
      </c>
      <c r="E946" s="7" t="s">
        <v>4785</v>
      </c>
      <c r="F946" s="7" t="n">
        <v>2690</v>
      </c>
      <c r="G946" s="6" t="s">
        <v>3620</v>
      </c>
      <c r="H946" s="8" t="n">
        <v>335</v>
      </c>
      <c r="I946" s="8" t="n">
        <v>0</v>
      </c>
      <c r="J946" s="7" t="n">
        <v>0</v>
      </c>
      <c r="K946" s="9" t="s">
        <v>4786</v>
      </c>
      <c r="L946" s="6" t="s">
        <v>4787</v>
      </c>
      <c r="M946" s="6" t="s">
        <v>4788</v>
      </c>
      <c r="N946" s="10"/>
      <c r="O946" s="4" t="str">
        <f aca="false">IF(N946="","",LEN(N946))</f>
        <v/>
      </c>
    </row>
    <row r="947" customFormat="false" ht="51.75" hidden="false" customHeight="true" outlineLevel="0" collapsed="false">
      <c r="A947" s="4" t="n">
        <v>946</v>
      </c>
      <c r="B947" s="5" t="n">
        <f aca="false">IF(OR(C947="სხვა მოდელი წერია",I947&gt;=განმარტება!$B$4),1,IF(OR(C947="ცარიელი",I947&gt;=1),2,IF(H947&gt;=განმარტება!$B$5,3,4)))</f>
        <v>4</v>
      </c>
      <c r="C947" s="6" t="s">
        <v>15</v>
      </c>
      <c r="D947" s="6" t="s">
        <v>4789</v>
      </c>
      <c r="E947" s="7" t="s">
        <v>4790</v>
      </c>
      <c r="F947" s="7" t="n">
        <v>2893</v>
      </c>
      <c r="G947" s="6" t="s">
        <v>693</v>
      </c>
      <c r="H947" s="8" t="n">
        <v>335</v>
      </c>
      <c r="I947" s="8" t="n">
        <v>0</v>
      </c>
      <c r="J947" s="7" t="n">
        <v>0</v>
      </c>
      <c r="K947" s="9" t="s">
        <v>4791</v>
      </c>
      <c r="L947" s="6" t="s">
        <v>4792</v>
      </c>
      <c r="M947" s="6" t="s">
        <v>4793</v>
      </c>
      <c r="N947" s="10"/>
      <c r="O947" s="4" t="str">
        <f aca="false">IF(N947="","",LEN(N947))</f>
        <v/>
      </c>
    </row>
    <row r="948" customFormat="false" ht="39" hidden="false" customHeight="true" outlineLevel="0" collapsed="false">
      <c r="A948" s="4" t="n">
        <v>947</v>
      </c>
      <c r="B948" s="5" t="n">
        <f aca="false">IF(OR(C948="სხვა მოდელი წერია",I948&gt;=განმარტება!$B$4),1,IF(OR(C948="ცარიელი",I948&gt;=1),2,IF(H948&gt;=განმარტება!$B$5,3,4)))</f>
        <v>4</v>
      </c>
      <c r="C948" s="6" t="s">
        <v>316</v>
      </c>
      <c r="D948" s="6" t="s">
        <v>4794</v>
      </c>
      <c r="E948" s="7" t="s">
        <v>4795</v>
      </c>
      <c r="F948" s="7" t="n">
        <v>832</v>
      </c>
      <c r="G948" s="6" t="s">
        <v>749</v>
      </c>
      <c r="H948" s="8" t="n">
        <v>330</v>
      </c>
      <c r="I948" s="8" t="n">
        <v>0</v>
      </c>
      <c r="J948" s="7" t="n">
        <v>0</v>
      </c>
      <c r="K948" s="9" t="s">
        <v>4796</v>
      </c>
      <c r="L948" s="6" t="s">
        <v>4797</v>
      </c>
      <c r="M948" s="6" t="s">
        <v>4798</v>
      </c>
      <c r="N948" s="10"/>
      <c r="O948" s="4" t="str">
        <f aca="false">IF(N948="","",LEN(N948))</f>
        <v/>
      </c>
    </row>
    <row r="949" customFormat="false" ht="39" hidden="false" customHeight="true" outlineLevel="0" collapsed="false">
      <c r="A949" s="4" t="n">
        <v>948</v>
      </c>
      <c r="B949" s="5" t="n">
        <f aca="false">IF(OR(C949="სხვა მოდელი წერია",I949&gt;=განმარტება!$B$4),1,IF(OR(C949="ცარიელი",I949&gt;=1),2,IF(H949&gt;=განმარტება!$B$5,3,4)))</f>
        <v>4</v>
      </c>
      <c r="C949" s="6" t="s">
        <v>15</v>
      </c>
      <c r="D949" s="6" t="s">
        <v>4799</v>
      </c>
      <c r="E949" s="7" t="s">
        <v>4800</v>
      </c>
      <c r="F949" s="7" t="n">
        <v>12860</v>
      </c>
      <c r="G949" s="6" t="s">
        <v>42</v>
      </c>
      <c r="H949" s="8" t="n">
        <v>329</v>
      </c>
      <c r="I949" s="8" t="n">
        <v>0</v>
      </c>
      <c r="J949" s="7" t="n">
        <v>0</v>
      </c>
      <c r="K949" s="9" t="s">
        <v>4801</v>
      </c>
      <c r="L949" s="6" t="s">
        <v>4802</v>
      </c>
      <c r="M949" s="6" t="s">
        <v>4803</v>
      </c>
      <c r="N949" s="10"/>
      <c r="O949" s="4" t="str">
        <f aca="false">IF(N949="","",LEN(N949))</f>
        <v/>
      </c>
    </row>
    <row r="950" customFormat="false" ht="39" hidden="false" customHeight="true" outlineLevel="0" collapsed="false">
      <c r="A950" s="4" t="n">
        <v>949</v>
      </c>
      <c r="B950" s="5" t="n">
        <f aca="false">IF(OR(C950="სხვა მოდელი წერია",I950&gt;=განმარტება!$B$4),1,IF(OR(C950="ცარიელი",I950&gt;=1),2,IF(H950&gt;=განმარტება!$B$5,3,4)))</f>
        <v>4</v>
      </c>
      <c r="C950" s="6" t="s">
        <v>15</v>
      </c>
      <c r="D950" s="6" t="s">
        <v>4804</v>
      </c>
      <c r="E950" s="7" t="s">
        <v>4805</v>
      </c>
      <c r="F950" s="7" t="n">
        <v>8900</v>
      </c>
      <c r="G950" s="6" t="s">
        <v>1267</v>
      </c>
      <c r="H950" s="8" t="n">
        <v>329</v>
      </c>
      <c r="I950" s="8" t="n">
        <v>0</v>
      </c>
      <c r="J950" s="7" t="n">
        <v>0</v>
      </c>
      <c r="K950" s="9" t="s">
        <v>4806</v>
      </c>
      <c r="L950" s="6" t="s">
        <v>4807</v>
      </c>
      <c r="M950" s="6" t="s">
        <v>4808</v>
      </c>
      <c r="N950" s="10"/>
      <c r="O950" s="4" t="str">
        <f aca="false">IF(N950="","",LEN(N950))</f>
        <v/>
      </c>
    </row>
    <row r="951" customFormat="false" ht="39" hidden="false" customHeight="true" outlineLevel="0" collapsed="false">
      <c r="A951" s="4" t="n">
        <v>950</v>
      </c>
      <c r="B951" s="5" t="n">
        <f aca="false">IF(OR(C951="სხვა მოდელი წერია",I951&gt;=განმარტება!$B$4),1,IF(OR(C951="ცარიელი",I951&gt;=1),2,IF(H951&gt;=განმარტება!$B$5,3,4)))</f>
        <v>4</v>
      </c>
      <c r="C951" s="6" t="s">
        <v>15</v>
      </c>
      <c r="D951" s="6" t="s">
        <v>4809</v>
      </c>
      <c r="E951" s="7" t="s">
        <v>4810</v>
      </c>
      <c r="F951" s="7" t="n">
        <v>1443</v>
      </c>
      <c r="G951" s="6" t="s">
        <v>279</v>
      </c>
      <c r="H951" s="8" t="n">
        <v>329</v>
      </c>
      <c r="I951" s="8" t="n">
        <v>0</v>
      </c>
      <c r="J951" s="7" t="n">
        <v>0</v>
      </c>
      <c r="K951" s="9" t="s">
        <v>4811</v>
      </c>
      <c r="L951" s="6" t="s">
        <v>4812</v>
      </c>
      <c r="M951" s="6" t="s">
        <v>4813</v>
      </c>
      <c r="N951" s="10"/>
      <c r="O951" s="4" t="str">
        <f aca="false">IF(N951="","",LEN(N951))</f>
        <v/>
      </c>
    </row>
    <row r="952" customFormat="false" ht="39" hidden="false" customHeight="true" outlineLevel="0" collapsed="false">
      <c r="A952" s="4" t="n">
        <v>951</v>
      </c>
      <c r="B952" s="5" t="n">
        <f aca="false">IF(OR(C952="სხვა მოდელი წერია",I952&gt;=განმარტება!$B$4),1,IF(OR(C952="ცარიელი",I952&gt;=1),2,IF(H952&gt;=განმარტება!$B$5,3,4)))</f>
        <v>4</v>
      </c>
      <c r="C952" s="6" t="s">
        <v>15</v>
      </c>
      <c r="D952" s="6" t="s">
        <v>4814</v>
      </c>
      <c r="E952" s="7" t="s">
        <v>4815</v>
      </c>
      <c r="F952" s="7" t="n">
        <v>2889</v>
      </c>
      <c r="G952" s="6" t="s">
        <v>238</v>
      </c>
      <c r="H952" s="8" t="n">
        <v>329</v>
      </c>
      <c r="I952" s="8" t="n">
        <v>0</v>
      </c>
      <c r="J952" s="7" t="n">
        <v>0</v>
      </c>
      <c r="K952" s="9" t="s">
        <v>4816</v>
      </c>
      <c r="L952" s="6" t="s">
        <v>4817</v>
      </c>
      <c r="M952" s="6" t="s">
        <v>4818</v>
      </c>
      <c r="N952" s="10"/>
      <c r="O952" s="4" t="str">
        <f aca="false">IF(N952="","",LEN(N952))</f>
        <v/>
      </c>
    </row>
    <row r="953" customFormat="false" ht="39" hidden="false" customHeight="true" outlineLevel="0" collapsed="false">
      <c r="A953" s="4" t="n">
        <v>952</v>
      </c>
      <c r="B953" s="5" t="n">
        <f aca="false">IF(OR(C953="სხვა მოდელი წერია",I953&gt;=განმარტება!$B$4),1,IF(OR(C953="ცარიელი",I953&gt;=1),2,IF(H953&gt;=განმარტება!$B$5,3,4)))</f>
        <v>4</v>
      </c>
      <c r="C953" s="6" t="s">
        <v>15</v>
      </c>
      <c r="D953" s="6" t="s">
        <v>4819</v>
      </c>
      <c r="E953" s="7" t="s">
        <v>4820</v>
      </c>
      <c r="F953" s="7" t="n">
        <v>2036</v>
      </c>
      <c r="G953" s="6" t="s">
        <v>1994</v>
      </c>
      <c r="H953" s="8" t="n">
        <v>329</v>
      </c>
      <c r="I953" s="8" t="n">
        <v>0</v>
      </c>
      <c r="J953" s="7" t="n">
        <v>0</v>
      </c>
      <c r="K953" s="9" t="s">
        <v>4821</v>
      </c>
      <c r="L953" s="6" t="s">
        <v>4822</v>
      </c>
      <c r="M953" s="6" t="s">
        <v>4823</v>
      </c>
      <c r="N953" s="10"/>
      <c r="O953" s="4" t="str">
        <f aca="false">IF(N953="","",LEN(N953))</f>
        <v/>
      </c>
    </row>
    <row r="954" customFormat="false" ht="39" hidden="false" customHeight="true" outlineLevel="0" collapsed="false">
      <c r="A954" s="4" t="n">
        <v>953</v>
      </c>
      <c r="B954" s="5" t="n">
        <f aca="false">IF(OR(C954="სხვა მოდელი წერია",I954&gt;=განმარტება!$B$4),1,IF(OR(C954="ცარიელი",I954&gt;=1),2,IF(H954&gt;=განმარტება!$B$5,3,4)))</f>
        <v>4</v>
      </c>
      <c r="C954" s="6" t="s">
        <v>316</v>
      </c>
      <c r="D954" s="6" t="s">
        <v>4824</v>
      </c>
      <c r="E954" s="7" t="s">
        <v>4825</v>
      </c>
      <c r="F954" s="7" t="n">
        <v>2360</v>
      </c>
      <c r="G954" s="6" t="s">
        <v>1712</v>
      </c>
      <c r="H954" s="8" t="n">
        <v>329</v>
      </c>
      <c r="I954" s="8" t="n">
        <v>0</v>
      </c>
      <c r="J954" s="7" t="n">
        <v>0</v>
      </c>
      <c r="K954" s="9" t="s">
        <v>4826</v>
      </c>
      <c r="L954" s="6" t="s">
        <v>4827</v>
      </c>
      <c r="M954" s="6" t="s">
        <v>4828</v>
      </c>
      <c r="N954" s="10"/>
      <c r="O954" s="4" t="str">
        <f aca="false">IF(N954="","",LEN(N954))</f>
        <v/>
      </c>
    </row>
    <row r="955" customFormat="false" ht="39" hidden="false" customHeight="true" outlineLevel="0" collapsed="false">
      <c r="A955" s="4" t="n">
        <v>954</v>
      </c>
      <c r="B955" s="5" t="n">
        <f aca="false">IF(OR(C955="სხვა მოდელი წერია",I955&gt;=განმარტება!$B$4),1,IF(OR(C955="ცარიელი",I955&gt;=1),2,IF(H955&gt;=განმარტება!$B$5,3,4)))</f>
        <v>4</v>
      </c>
      <c r="C955" s="6" t="s">
        <v>15</v>
      </c>
      <c r="D955" s="6" t="s">
        <v>4829</v>
      </c>
      <c r="E955" s="7" t="s">
        <v>4830</v>
      </c>
      <c r="F955" s="7" t="n">
        <v>1316</v>
      </c>
      <c r="G955" s="6" t="s">
        <v>1994</v>
      </c>
      <c r="H955" s="8" t="n">
        <v>325</v>
      </c>
      <c r="I955" s="8" t="n">
        <v>0</v>
      </c>
      <c r="J955" s="7" t="n">
        <v>0</v>
      </c>
      <c r="K955" s="9" t="s">
        <v>4831</v>
      </c>
      <c r="L955" s="6" t="s">
        <v>4832</v>
      </c>
      <c r="M955" s="6" t="s">
        <v>4833</v>
      </c>
      <c r="N955" s="10"/>
      <c r="O955" s="4" t="str">
        <f aca="false">IF(N955="","",LEN(N955))</f>
        <v/>
      </c>
    </row>
    <row r="956" customFormat="false" ht="39" hidden="false" customHeight="true" outlineLevel="0" collapsed="false">
      <c r="A956" s="4" t="n">
        <v>955</v>
      </c>
      <c r="B956" s="5" t="n">
        <f aca="false">IF(OR(C956="სხვა მოდელი წერია",I956&gt;=განმარტება!$B$4),1,IF(OR(C956="ცარიელი",I956&gt;=1),2,IF(H956&gt;=განმარტება!$B$5,3,4)))</f>
        <v>4</v>
      </c>
      <c r="C956" s="6" t="s">
        <v>15</v>
      </c>
      <c r="D956" s="6" t="s">
        <v>4834</v>
      </c>
      <c r="E956" s="7" t="s">
        <v>4835</v>
      </c>
      <c r="F956" s="7" t="n">
        <v>2018</v>
      </c>
      <c r="G956" s="6" t="s">
        <v>1994</v>
      </c>
      <c r="H956" s="8" t="n">
        <v>323</v>
      </c>
      <c r="I956" s="8" t="n">
        <v>0</v>
      </c>
      <c r="J956" s="7" t="n">
        <v>0</v>
      </c>
      <c r="K956" s="9" t="s">
        <v>4836</v>
      </c>
      <c r="L956" s="6" t="s">
        <v>4837</v>
      </c>
      <c r="M956" s="6" t="s">
        <v>4838</v>
      </c>
      <c r="N956" s="10"/>
      <c r="O956" s="4" t="str">
        <f aca="false">IF(N956="","",LEN(N956))</f>
        <v/>
      </c>
    </row>
    <row r="957" customFormat="false" ht="39" hidden="false" customHeight="true" outlineLevel="0" collapsed="false">
      <c r="A957" s="4" t="n">
        <v>956</v>
      </c>
      <c r="B957" s="5" t="n">
        <f aca="false">IF(OR(C957="სხვა მოდელი წერია",I957&gt;=განმარტება!$B$4),1,IF(OR(C957="ცარიელი",I957&gt;=1),2,IF(H957&gt;=განმარტება!$B$5,3,4)))</f>
        <v>4</v>
      </c>
      <c r="C957" s="6" t="s">
        <v>15</v>
      </c>
      <c r="D957" s="6" t="s">
        <v>4839</v>
      </c>
      <c r="E957" s="7" t="s">
        <v>4840</v>
      </c>
      <c r="F957" s="7" t="n">
        <v>2603</v>
      </c>
      <c r="G957" s="6" t="s">
        <v>677</v>
      </c>
      <c r="H957" s="8" t="n">
        <v>323</v>
      </c>
      <c r="I957" s="8" t="n">
        <v>0</v>
      </c>
      <c r="J957" s="7" t="n">
        <v>0</v>
      </c>
      <c r="K957" s="9" t="s">
        <v>4841</v>
      </c>
      <c r="L957" s="6" t="s">
        <v>4842</v>
      </c>
      <c r="M957" s="6" t="s">
        <v>4843</v>
      </c>
      <c r="N957" s="10"/>
      <c r="O957" s="4" t="str">
        <f aca="false">IF(N957="","",LEN(N957))</f>
        <v/>
      </c>
    </row>
    <row r="958" customFormat="false" ht="39" hidden="false" customHeight="true" outlineLevel="0" collapsed="false">
      <c r="A958" s="4" t="n">
        <v>957</v>
      </c>
      <c r="B958" s="5" t="n">
        <f aca="false">IF(OR(C958="სხვა მოდელი წერია",I958&gt;=განმარტება!$B$4),1,IF(OR(C958="ცარიელი",I958&gt;=1),2,IF(H958&gt;=განმარტება!$B$5,3,4)))</f>
        <v>4</v>
      </c>
      <c r="C958" s="6" t="s">
        <v>15</v>
      </c>
      <c r="D958" s="6" t="s">
        <v>4844</v>
      </c>
      <c r="E958" s="7" t="s">
        <v>4845</v>
      </c>
      <c r="F958" s="7" t="n">
        <v>2948</v>
      </c>
      <c r="G958" s="6" t="s">
        <v>42</v>
      </c>
      <c r="H958" s="8" t="n">
        <v>319</v>
      </c>
      <c r="I958" s="8" t="n">
        <v>0</v>
      </c>
      <c r="J958" s="7" t="n">
        <v>0</v>
      </c>
      <c r="K958" s="9" t="s">
        <v>4846</v>
      </c>
      <c r="L958" s="6" t="s">
        <v>4847</v>
      </c>
      <c r="M958" s="6" t="s">
        <v>4848</v>
      </c>
      <c r="N958" s="10"/>
      <c r="O958" s="4" t="str">
        <f aca="false">IF(N958="","",LEN(N958))</f>
        <v/>
      </c>
    </row>
    <row r="959" customFormat="false" ht="39" hidden="false" customHeight="true" outlineLevel="0" collapsed="false">
      <c r="A959" s="4" t="n">
        <v>958</v>
      </c>
      <c r="B959" s="5" t="n">
        <f aca="false">IF(OR(C959="სხვა მოდელი წერია",I959&gt;=განმარტება!$B$4),1,IF(OR(C959="ცარიელი",I959&gt;=1),2,IF(H959&gt;=განმარტება!$B$5,3,4)))</f>
        <v>4</v>
      </c>
      <c r="C959" s="6" t="s">
        <v>15</v>
      </c>
      <c r="D959" s="6" t="s">
        <v>4849</v>
      </c>
      <c r="E959" s="7" t="s">
        <v>4850</v>
      </c>
      <c r="F959" s="7" t="n">
        <v>3125</v>
      </c>
      <c r="G959" s="6" t="s">
        <v>563</v>
      </c>
      <c r="H959" s="8" t="n">
        <v>319</v>
      </c>
      <c r="I959" s="8" t="n">
        <v>0</v>
      </c>
      <c r="J959" s="7" t="n">
        <v>0</v>
      </c>
      <c r="K959" s="9" t="s">
        <v>4851</v>
      </c>
      <c r="L959" s="6" t="s">
        <v>4852</v>
      </c>
      <c r="M959" s="6" t="s">
        <v>4853</v>
      </c>
      <c r="N959" s="10"/>
      <c r="O959" s="4" t="str">
        <f aca="false">IF(N959="","",LEN(N959))</f>
        <v/>
      </c>
    </row>
    <row r="960" customFormat="false" ht="39" hidden="false" customHeight="true" outlineLevel="0" collapsed="false">
      <c r="A960" s="4" t="n">
        <v>959</v>
      </c>
      <c r="B960" s="5" t="n">
        <f aca="false">IF(OR(C960="სხვა მოდელი წერია",I960&gt;=განმარტება!$B$4),1,IF(OR(C960="ცარიელი",I960&gt;=1),2,IF(H960&gt;=განმარტება!$B$5,3,4)))</f>
        <v>4</v>
      </c>
      <c r="C960" s="6" t="s">
        <v>15</v>
      </c>
      <c r="D960" s="6" t="s">
        <v>4854</v>
      </c>
      <c r="E960" s="7" t="s">
        <v>4855</v>
      </c>
      <c r="F960" s="7" t="n">
        <v>3422</v>
      </c>
      <c r="G960" s="6" t="s">
        <v>563</v>
      </c>
      <c r="H960" s="8" t="n">
        <v>319</v>
      </c>
      <c r="I960" s="8" t="n">
        <v>0</v>
      </c>
      <c r="J960" s="7" t="n">
        <v>0</v>
      </c>
      <c r="K960" s="9" t="s">
        <v>4856</v>
      </c>
      <c r="L960" s="6" t="s">
        <v>4857</v>
      </c>
      <c r="M960" s="6" t="s">
        <v>4858</v>
      </c>
      <c r="N960" s="10"/>
      <c r="O960" s="4" t="str">
        <f aca="false">IF(N960="","",LEN(N960))</f>
        <v/>
      </c>
    </row>
    <row r="961" customFormat="false" ht="51.75" hidden="false" customHeight="true" outlineLevel="0" collapsed="false">
      <c r="A961" s="4" t="n">
        <v>960</v>
      </c>
      <c r="B961" s="5" t="n">
        <f aca="false">IF(OR(C961="სხვა მოდელი წერია",I961&gt;=განმარტება!$B$4),1,IF(OR(C961="ცარიელი",I961&gt;=1),2,IF(H961&gt;=განმარტება!$B$5,3,4)))</f>
        <v>4</v>
      </c>
      <c r="C961" s="6" t="s">
        <v>15</v>
      </c>
      <c r="D961" s="6" t="s">
        <v>4859</v>
      </c>
      <c r="E961" s="7" t="s">
        <v>4860</v>
      </c>
      <c r="F961" s="7" t="n">
        <v>12000</v>
      </c>
      <c r="G961" s="6" t="s">
        <v>30</v>
      </c>
      <c r="H961" s="8" t="n">
        <v>319</v>
      </c>
      <c r="I961" s="8" t="n">
        <v>0</v>
      </c>
      <c r="J961" s="7" t="n">
        <v>0</v>
      </c>
      <c r="K961" s="9" t="s">
        <v>4861</v>
      </c>
      <c r="L961" s="6" t="s">
        <v>4862</v>
      </c>
      <c r="M961" s="6" t="s">
        <v>4863</v>
      </c>
      <c r="N961" s="10"/>
      <c r="O961" s="4" t="str">
        <f aca="false">IF(N961="","",LEN(N961))</f>
        <v/>
      </c>
    </row>
    <row r="962" customFormat="false" ht="39" hidden="false" customHeight="true" outlineLevel="0" collapsed="false">
      <c r="A962" s="4" t="n">
        <v>961</v>
      </c>
      <c r="B962" s="5" t="n">
        <f aca="false">IF(OR(C962="სხვა მოდელი წერია",I962&gt;=განმარტება!$B$4),1,IF(OR(C962="ცარიელი",I962&gt;=1),2,IF(H962&gt;=განმარტება!$B$5,3,4)))</f>
        <v>4</v>
      </c>
      <c r="C962" s="6" t="s">
        <v>15</v>
      </c>
      <c r="D962" s="6" t="s">
        <v>4864</v>
      </c>
      <c r="E962" s="7" t="s">
        <v>4865</v>
      </c>
      <c r="F962" s="7" t="n">
        <v>2878</v>
      </c>
      <c r="G962" s="6" t="s">
        <v>42</v>
      </c>
      <c r="H962" s="8" t="n">
        <v>315</v>
      </c>
      <c r="I962" s="8" t="n">
        <v>0</v>
      </c>
      <c r="J962" s="7" t="n">
        <v>0</v>
      </c>
      <c r="K962" s="9" t="s">
        <v>4866</v>
      </c>
      <c r="L962" s="6" t="s">
        <v>4867</v>
      </c>
      <c r="M962" s="6" t="s">
        <v>4868</v>
      </c>
      <c r="N962" s="10"/>
      <c r="O962" s="4" t="str">
        <f aca="false">IF(N962="","",LEN(N962))</f>
        <v/>
      </c>
    </row>
    <row r="963" customFormat="false" ht="51.75" hidden="false" customHeight="true" outlineLevel="0" collapsed="false">
      <c r="A963" s="4" t="n">
        <v>962</v>
      </c>
      <c r="B963" s="5" t="n">
        <f aca="false">IF(OR(C963="სხვა მოდელი წერია",I963&gt;=განმარტება!$B$4),1,IF(OR(C963="ცარიელი",I963&gt;=1),2,IF(H963&gt;=განმარტება!$B$5,3,4)))</f>
        <v>4</v>
      </c>
      <c r="C963" s="6" t="s">
        <v>15</v>
      </c>
      <c r="D963" s="6" t="s">
        <v>4869</v>
      </c>
      <c r="E963" s="7" t="s">
        <v>4870</v>
      </c>
      <c r="F963" s="7" t="n">
        <v>1468</v>
      </c>
      <c r="G963" s="6" t="s">
        <v>30</v>
      </c>
      <c r="H963" s="8" t="n">
        <v>315</v>
      </c>
      <c r="I963" s="8" t="n">
        <v>0</v>
      </c>
      <c r="J963" s="7" t="n">
        <v>0</v>
      </c>
      <c r="K963" s="9" t="s">
        <v>4871</v>
      </c>
      <c r="L963" s="6" t="s">
        <v>4872</v>
      </c>
      <c r="M963" s="6" t="s">
        <v>4873</v>
      </c>
      <c r="N963" s="10"/>
      <c r="O963" s="4" t="str">
        <f aca="false">IF(N963="","",LEN(N963))</f>
        <v/>
      </c>
    </row>
    <row r="964" customFormat="false" ht="39" hidden="false" customHeight="true" outlineLevel="0" collapsed="false">
      <c r="A964" s="4" t="n">
        <v>963</v>
      </c>
      <c r="B964" s="5" t="n">
        <f aca="false">IF(OR(C964="სხვა მოდელი წერია",I964&gt;=განმარტება!$B$4),1,IF(OR(C964="ცარიელი",I964&gt;=1),2,IF(H964&gt;=განმარტება!$B$5,3,4)))</f>
        <v>4</v>
      </c>
      <c r="C964" s="6" t="s">
        <v>15</v>
      </c>
      <c r="D964" s="6" t="s">
        <v>4874</v>
      </c>
      <c r="E964" s="7" t="s">
        <v>4875</v>
      </c>
      <c r="F964" s="7" t="n">
        <v>2425</v>
      </c>
      <c r="G964" s="6" t="s">
        <v>563</v>
      </c>
      <c r="H964" s="8" t="n">
        <v>312</v>
      </c>
      <c r="I964" s="8" t="n">
        <v>0</v>
      </c>
      <c r="J964" s="7" t="n">
        <v>0</v>
      </c>
      <c r="K964" s="9" t="s">
        <v>4876</v>
      </c>
      <c r="L964" s="6" t="s">
        <v>4877</v>
      </c>
      <c r="M964" s="6" t="s">
        <v>4878</v>
      </c>
      <c r="N964" s="10"/>
      <c r="O964" s="4" t="str">
        <f aca="false">IF(N964="","",LEN(N964))</f>
        <v/>
      </c>
    </row>
    <row r="965" customFormat="false" ht="51.75" hidden="false" customHeight="true" outlineLevel="0" collapsed="false">
      <c r="A965" s="4" t="n">
        <v>964</v>
      </c>
      <c r="B965" s="5" t="n">
        <f aca="false">IF(OR(C965="სხვა მოდელი წერია",I965&gt;=განმარტება!$B$4),1,IF(OR(C965="ცარიელი",I965&gt;=1),2,IF(H965&gt;=განმარტება!$B$5,3,4)))</f>
        <v>4</v>
      </c>
      <c r="C965" s="6" t="s">
        <v>15</v>
      </c>
      <c r="D965" s="6" t="s">
        <v>4879</v>
      </c>
      <c r="E965" s="7" t="s">
        <v>4880</v>
      </c>
      <c r="F965" s="7" t="n">
        <v>2869</v>
      </c>
      <c r="G965" s="6" t="s">
        <v>3253</v>
      </c>
      <c r="H965" s="8" t="n">
        <v>310</v>
      </c>
      <c r="I965" s="8" t="n">
        <v>0</v>
      </c>
      <c r="J965" s="7" t="n">
        <v>0</v>
      </c>
      <c r="K965" s="9" t="s">
        <v>4881</v>
      </c>
      <c r="L965" s="6" t="s">
        <v>4882</v>
      </c>
      <c r="M965" s="6" t="s">
        <v>4883</v>
      </c>
      <c r="N965" s="10"/>
      <c r="O965" s="4" t="str">
        <f aca="false">IF(N965="","",LEN(N965))</f>
        <v/>
      </c>
    </row>
    <row r="966" customFormat="false" ht="39" hidden="false" customHeight="true" outlineLevel="0" collapsed="false">
      <c r="A966" s="4" t="n">
        <v>965</v>
      </c>
      <c r="B966" s="5" t="n">
        <f aca="false">IF(OR(C966="სხვა მოდელი წერია",I966&gt;=განმარტება!$B$4),1,IF(OR(C966="ცარიელი",I966&gt;=1),2,IF(H966&gt;=განმარტება!$B$5,3,4)))</f>
        <v>4</v>
      </c>
      <c r="C966" s="6" t="s">
        <v>15</v>
      </c>
      <c r="D966" s="6" t="s">
        <v>4884</v>
      </c>
      <c r="E966" s="7" t="s">
        <v>4885</v>
      </c>
      <c r="F966" s="7" t="n">
        <v>3889</v>
      </c>
      <c r="G966" s="6" t="s">
        <v>42</v>
      </c>
      <c r="H966" s="8" t="n">
        <v>299</v>
      </c>
      <c r="I966" s="8" t="n">
        <v>0</v>
      </c>
      <c r="J966" s="7" t="n">
        <v>0</v>
      </c>
      <c r="K966" s="9" t="s">
        <v>4886</v>
      </c>
      <c r="L966" s="6" t="s">
        <v>4887</v>
      </c>
      <c r="M966" s="6" t="s">
        <v>4888</v>
      </c>
      <c r="N966" s="10"/>
      <c r="O966" s="4" t="str">
        <f aca="false">IF(N966="","",LEN(N966))</f>
        <v/>
      </c>
    </row>
    <row r="967" customFormat="false" ht="39" hidden="false" customHeight="true" outlineLevel="0" collapsed="false">
      <c r="A967" s="4" t="n">
        <v>966</v>
      </c>
      <c r="B967" s="5" t="n">
        <f aca="false">IF(OR(C967="სხვა მოდელი წერია",I967&gt;=განმარტება!$B$4),1,IF(OR(C967="ცარიელი",I967&gt;=1),2,IF(H967&gt;=განმარტება!$B$5,3,4)))</f>
        <v>4</v>
      </c>
      <c r="C967" s="6" t="s">
        <v>15</v>
      </c>
      <c r="D967" s="6" t="s">
        <v>4889</v>
      </c>
      <c r="E967" s="7" t="s">
        <v>4890</v>
      </c>
      <c r="F967" s="7" t="n">
        <v>8919</v>
      </c>
      <c r="G967" s="6" t="s">
        <v>1267</v>
      </c>
      <c r="H967" s="8" t="n">
        <v>299</v>
      </c>
      <c r="I967" s="8" t="n">
        <v>0</v>
      </c>
      <c r="J967" s="7" t="n">
        <v>0</v>
      </c>
      <c r="K967" s="9" t="s">
        <v>4891</v>
      </c>
      <c r="L967" s="6" t="s">
        <v>4892</v>
      </c>
      <c r="M967" s="6" t="s">
        <v>4893</v>
      </c>
      <c r="N967" s="10"/>
      <c r="O967" s="4" t="str">
        <f aca="false">IF(N967="","",LEN(N967))</f>
        <v/>
      </c>
    </row>
    <row r="968" customFormat="false" ht="39" hidden="false" customHeight="true" outlineLevel="0" collapsed="false">
      <c r="A968" s="4" t="n">
        <v>967</v>
      </c>
      <c r="B968" s="5" t="n">
        <f aca="false">IF(OR(C968="სხვა მოდელი წერია",I968&gt;=განმარტება!$B$4),1,IF(OR(C968="ცარიელი",I968&gt;=1),2,IF(H968&gt;=განმარტება!$B$5,3,4)))</f>
        <v>4</v>
      </c>
      <c r="C968" s="6" t="s">
        <v>15</v>
      </c>
      <c r="D968" s="6" t="s">
        <v>4894</v>
      </c>
      <c r="E968" s="7" t="s">
        <v>4895</v>
      </c>
      <c r="F968" s="7" t="n">
        <v>2646</v>
      </c>
      <c r="G968" s="6" t="s">
        <v>285</v>
      </c>
      <c r="H968" s="8" t="n">
        <v>299</v>
      </c>
      <c r="I968" s="8" t="n">
        <v>0</v>
      </c>
      <c r="J968" s="7" t="n">
        <v>0</v>
      </c>
      <c r="K968" s="9" t="s">
        <v>4896</v>
      </c>
      <c r="L968" s="6" t="s">
        <v>4897</v>
      </c>
      <c r="M968" s="6" t="s">
        <v>4898</v>
      </c>
      <c r="N968" s="10"/>
      <c r="O968" s="4" t="str">
        <f aca="false">IF(N968="","",LEN(N968))</f>
        <v/>
      </c>
    </row>
    <row r="969" customFormat="false" ht="51.75" hidden="false" customHeight="true" outlineLevel="0" collapsed="false">
      <c r="A969" s="4" t="n">
        <v>968</v>
      </c>
      <c r="B969" s="5" t="n">
        <f aca="false">IF(OR(C969="სხვა მოდელი წერია",I969&gt;=განმარტება!$B$4),1,IF(OR(C969="ცარიელი",I969&gt;=1),2,IF(H969&gt;=განმარტება!$B$5,3,4)))</f>
        <v>4</v>
      </c>
      <c r="C969" s="6" t="s">
        <v>15</v>
      </c>
      <c r="D969" s="6" t="s">
        <v>4899</v>
      </c>
      <c r="E969" s="7" t="s">
        <v>4900</v>
      </c>
      <c r="F969" s="7" t="n">
        <v>692</v>
      </c>
      <c r="G969" s="6" t="s">
        <v>30</v>
      </c>
      <c r="H969" s="8" t="n">
        <v>299</v>
      </c>
      <c r="I969" s="8" t="n">
        <v>0</v>
      </c>
      <c r="J969" s="7" t="n">
        <v>0</v>
      </c>
      <c r="K969" s="9" t="s">
        <v>4901</v>
      </c>
      <c r="L969" s="6" t="s">
        <v>4902</v>
      </c>
      <c r="M969" s="6" t="s">
        <v>4903</v>
      </c>
      <c r="N969" s="10"/>
      <c r="O969" s="4" t="str">
        <f aca="false">IF(N969="","",LEN(N969))</f>
        <v/>
      </c>
    </row>
    <row r="970" customFormat="false" ht="77.25" hidden="false" customHeight="true" outlineLevel="0" collapsed="false">
      <c r="A970" s="4" t="n">
        <v>969</v>
      </c>
      <c r="B970" s="5" t="n">
        <f aca="false">IF(OR(C970="სხვა მოდელი წერია",I970&gt;=განმარტება!$B$4),1,IF(OR(C970="ცარიელი",I970&gt;=1),2,IF(H970&gt;=განმარტება!$B$5,3,4)))</f>
        <v>4</v>
      </c>
      <c r="C970" s="6" t="s">
        <v>15</v>
      </c>
      <c r="D970" s="6" t="s">
        <v>4904</v>
      </c>
      <c r="E970" s="7" t="s">
        <v>4905</v>
      </c>
      <c r="F970" s="7" t="n">
        <v>5086</v>
      </c>
      <c r="G970" s="6" t="s">
        <v>4145</v>
      </c>
      <c r="H970" s="8" t="n">
        <v>299</v>
      </c>
      <c r="I970" s="8" t="n">
        <v>0</v>
      </c>
      <c r="J970" s="7" t="n">
        <v>0</v>
      </c>
      <c r="K970" s="9" t="s">
        <v>4906</v>
      </c>
      <c r="L970" s="6" t="s">
        <v>4907</v>
      </c>
      <c r="M970" s="6" t="s">
        <v>4908</v>
      </c>
      <c r="N970" s="10"/>
      <c r="O970" s="4" t="str">
        <f aca="false">IF(N970="","",LEN(N970))</f>
        <v/>
      </c>
    </row>
    <row r="971" customFormat="false" ht="51.75" hidden="false" customHeight="true" outlineLevel="0" collapsed="false">
      <c r="A971" s="4" t="n">
        <v>970</v>
      </c>
      <c r="B971" s="5" t="n">
        <f aca="false">IF(OR(C971="სხვა მოდელი წერია",I971&gt;=განმარტება!$B$4),1,IF(OR(C971="ცარიელი",I971&gt;=1),2,IF(H971&gt;=განმარტება!$B$5,3,4)))</f>
        <v>4</v>
      </c>
      <c r="C971" s="6" t="s">
        <v>15</v>
      </c>
      <c r="D971" s="6" t="s">
        <v>4909</v>
      </c>
      <c r="E971" s="7" t="s">
        <v>4910</v>
      </c>
      <c r="F971" s="7" t="n">
        <v>1634</v>
      </c>
      <c r="G971" s="6" t="s">
        <v>391</v>
      </c>
      <c r="H971" s="8" t="n">
        <v>299</v>
      </c>
      <c r="I971" s="8" t="n">
        <v>0</v>
      </c>
      <c r="J971" s="7" t="n">
        <v>0</v>
      </c>
      <c r="K971" s="9" t="s">
        <v>4911</v>
      </c>
      <c r="L971" s="6" t="s">
        <v>4912</v>
      </c>
      <c r="M971" s="6" t="s">
        <v>4913</v>
      </c>
      <c r="N971" s="10"/>
      <c r="O971" s="4" t="str">
        <f aca="false">IF(N971="","",LEN(N971))</f>
        <v/>
      </c>
    </row>
    <row r="972" customFormat="false" ht="64.5" hidden="false" customHeight="true" outlineLevel="0" collapsed="false">
      <c r="A972" s="4" t="n">
        <v>971</v>
      </c>
      <c r="B972" s="5" t="n">
        <f aca="false">IF(OR(C972="სხვა მოდელი წერია",I972&gt;=განმარტება!$B$4),1,IF(OR(C972="ცარიელი",I972&gt;=1),2,IF(H972&gt;=განმარტება!$B$5,3,4)))</f>
        <v>4</v>
      </c>
      <c r="C972" s="6" t="s">
        <v>15</v>
      </c>
      <c r="D972" s="6" t="s">
        <v>4914</v>
      </c>
      <c r="E972" s="7" t="s">
        <v>4915</v>
      </c>
      <c r="F972" s="7" t="n">
        <v>1984</v>
      </c>
      <c r="G972" s="6" t="s">
        <v>714</v>
      </c>
      <c r="H972" s="8" t="n">
        <v>298</v>
      </c>
      <c r="I972" s="8" t="n">
        <v>0</v>
      </c>
      <c r="J972" s="7" t="n">
        <v>0</v>
      </c>
      <c r="K972" s="9" t="s">
        <v>4916</v>
      </c>
      <c r="L972" s="6" t="s">
        <v>4917</v>
      </c>
      <c r="M972" s="6" t="s">
        <v>4918</v>
      </c>
      <c r="N972" s="10"/>
      <c r="O972" s="4" t="str">
        <f aca="false">IF(N972="","",LEN(N972))</f>
        <v/>
      </c>
    </row>
    <row r="973" customFormat="false" ht="39" hidden="false" customHeight="true" outlineLevel="0" collapsed="false">
      <c r="A973" s="4" t="n">
        <v>972</v>
      </c>
      <c r="B973" s="5" t="n">
        <f aca="false">IF(OR(C973="სხვა მოდელი წერია",I973&gt;=განმარტება!$B$4),1,IF(OR(C973="ცარიელი",I973&gt;=1),2,IF(H973&gt;=განმარტება!$B$5,3,4)))</f>
        <v>4</v>
      </c>
      <c r="C973" s="6" t="s">
        <v>15</v>
      </c>
      <c r="D973" s="6" t="s">
        <v>4919</v>
      </c>
      <c r="E973" s="7" t="s">
        <v>4920</v>
      </c>
      <c r="F973" s="7" t="n">
        <v>1317</v>
      </c>
      <c r="G973" s="6" t="s">
        <v>1994</v>
      </c>
      <c r="H973" s="8" t="n">
        <v>290</v>
      </c>
      <c r="I973" s="8" t="n">
        <v>0</v>
      </c>
      <c r="J973" s="7" t="n">
        <v>0</v>
      </c>
      <c r="K973" s="9" t="s">
        <v>4921</v>
      </c>
      <c r="L973" s="6" t="s">
        <v>4922</v>
      </c>
      <c r="M973" s="6" t="s">
        <v>4923</v>
      </c>
      <c r="N973" s="10"/>
      <c r="O973" s="4" t="str">
        <f aca="false">IF(N973="","",LEN(N973))</f>
        <v/>
      </c>
    </row>
    <row r="974" customFormat="false" ht="39" hidden="false" customHeight="true" outlineLevel="0" collapsed="false">
      <c r="A974" s="4" t="n">
        <v>973</v>
      </c>
      <c r="B974" s="5" t="n">
        <f aca="false">IF(OR(C974="სხვა მოდელი წერია",I974&gt;=განმარტება!$B$4),1,IF(OR(C974="ცარიელი",I974&gt;=1),2,IF(H974&gt;=განმარტება!$B$5,3,4)))</f>
        <v>4</v>
      </c>
      <c r="C974" s="6" t="s">
        <v>316</v>
      </c>
      <c r="D974" s="6" t="s">
        <v>4924</v>
      </c>
      <c r="E974" s="7" t="s">
        <v>4925</v>
      </c>
      <c r="F974" s="7" t="n">
        <v>2021</v>
      </c>
      <c r="G974" s="6" t="s">
        <v>1994</v>
      </c>
      <c r="H974" s="8" t="n">
        <v>290</v>
      </c>
      <c r="I974" s="8" t="n">
        <v>0</v>
      </c>
      <c r="J974" s="7" t="n">
        <v>0</v>
      </c>
      <c r="K974" s="9" t="s">
        <v>4926</v>
      </c>
      <c r="L974" s="6" t="s">
        <v>4927</v>
      </c>
      <c r="M974" s="6" t="s">
        <v>4928</v>
      </c>
      <c r="N974" s="10"/>
      <c r="O974" s="4" t="str">
        <f aca="false">IF(N974="","",LEN(N974))</f>
        <v/>
      </c>
    </row>
    <row r="975" customFormat="false" ht="39" hidden="false" customHeight="true" outlineLevel="0" collapsed="false">
      <c r="A975" s="4" t="n">
        <v>974</v>
      </c>
      <c r="B975" s="5" t="n">
        <f aca="false">IF(OR(C975="სხვა მოდელი წერია",I975&gt;=განმარტება!$B$4),1,IF(OR(C975="ცარიელი",I975&gt;=1),2,IF(H975&gt;=განმარტება!$B$5,3,4)))</f>
        <v>4</v>
      </c>
      <c r="C975" s="6" t="s">
        <v>15</v>
      </c>
      <c r="D975" s="6" t="s">
        <v>4929</v>
      </c>
      <c r="E975" s="7" t="s">
        <v>4930</v>
      </c>
      <c r="F975" s="7" t="n">
        <v>1808</v>
      </c>
      <c r="G975" s="6" t="s">
        <v>626</v>
      </c>
      <c r="H975" s="8" t="n">
        <v>289</v>
      </c>
      <c r="I975" s="8" t="n">
        <v>0</v>
      </c>
      <c r="J975" s="7" t="n">
        <v>0</v>
      </c>
      <c r="K975" s="9" t="s">
        <v>4931</v>
      </c>
      <c r="L975" s="6" t="s">
        <v>4932</v>
      </c>
      <c r="M975" s="6" t="s">
        <v>4933</v>
      </c>
      <c r="N975" s="10"/>
      <c r="O975" s="4" t="str">
        <f aca="false">IF(N975="","",LEN(N975))</f>
        <v/>
      </c>
    </row>
    <row r="976" customFormat="false" ht="39" hidden="false" customHeight="true" outlineLevel="0" collapsed="false">
      <c r="A976" s="4" t="n">
        <v>975</v>
      </c>
      <c r="B976" s="5" t="n">
        <f aca="false">IF(OR(C976="სხვა მოდელი წერია",I976&gt;=განმარტება!$B$4),1,IF(OR(C976="ცარიელი",I976&gt;=1),2,IF(H976&gt;=განმარტება!$B$5,3,4)))</f>
        <v>4</v>
      </c>
      <c r="C976" s="6" t="s">
        <v>316</v>
      </c>
      <c r="D976" s="6" t="s">
        <v>4934</v>
      </c>
      <c r="E976" s="7" t="s">
        <v>4935</v>
      </c>
      <c r="F976" s="7" t="n">
        <v>2013</v>
      </c>
      <c r="G976" s="6" t="s">
        <v>1994</v>
      </c>
      <c r="H976" s="8" t="n">
        <v>289</v>
      </c>
      <c r="I976" s="8" t="n">
        <v>0</v>
      </c>
      <c r="J976" s="7" t="n">
        <v>0</v>
      </c>
      <c r="K976" s="9" t="s">
        <v>4936</v>
      </c>
      <c r="L976" s="6" t="s">
        <v>4937</v>
      </c>
      <c r="M976" s="6" t="s">
        <v>4938</v>
      </c>
      <c r="N976" s="10"/>
      <c r="O976" s="4" t="str">
        <f aca="false">IF(N976="","",LEN(N976))</f>
        <v/>
      </c>
    </row>
    <row r="977" customFormat="false" ht="51.75" hidden="false" customHeight="true" outlineLevel="0" collapsed="false">
      <c r="A977" s="4" t="n">
        <v>976</v>
      </c>
      <c r="B977" s="5" t="n">
        <f aca="false">IF(OR(C977="სხვა მოდელი წერია",I977&gt;=განმარტება!$B$4),1,IF(OR(C977="ცარიელი",I977&gt;=1),2,IF(H977&gt;=განმარტება!$B$5,3,4)))</f>
        <v>4</v>
      </c>
      <c r="C977" s="6" t="s">
        <v>15</v>
      </c>
      <c r="D977" s="6" t="s">
        <v>4939</v>
      </c>
      <c r="E977" s="7" t="s">
        <v>4940</v>
      </c>
      <c r="F977" s="7" t="n">
        <v>2804</v>
      </c>
      <c r="G977" s="6" t="s">
        <v>595</v>
      </c>
      <c r="H977" s="8" t="n">
        <v>289</v>
      </c>
      <c r="I977" s="8" t="n">
        <v>0</v>
      </c>
      <c r="J977" s="7" t="n">
        <v>0</v>
      </c>
      <c r="K977" s="9" t="s">
        <v>4941</v>
      </c>
      <c r="L977" s="6" t="s">
        <v>4942</v>
      </c>
      <c r="M977" s="6" t="s">
        <v>4943</v>
      </c>
      <c r="N977" s="10"/>
      <c r="O977" s="4" t="str">
        <f aca="false">IF(N977="","",LEN(N977))</f>
        <v/>
      </c>
    </row>
    <row r="978" customFormat="false" ht="39" hidden="false" customHeight="true" outlineLevel="0" collapsed="false">
      <c r="A978" s="4" t="n">
        <v>977</v>
      </c>
      <c r="B978" s="5" t="n">
        <f aca="false">IF(OR(C978="სხვა მოდელი წერია",I978&gt;=განმარტება!$B$4),1,IF(OR(C978="ცარიელი",I978&gt;=1),2,IF(H978&gt;=განმარტება!$B$5,3,4)))</f>
        <v>4</v>
      </c>
      <c r="C978" s="6" t="s">
        <v>15</v>
      </c>
      <c r="D978" s="6" t="s">
        <v>4944</v>
      </c>
      <c r="E978" s="7" t="s">
        <v>4945</v>
      </c>
      <c r="F978" s="7" t="n">
        <v>3052</v>
      </c>
      <c r="G978" s="6" t="s">
        <v>3731</v>
      </c>
      <c r="H978" s="8" t="n">
        <v>289</v>
      </c>
      <c r="I978" s="8" t="n">
        <v>0</v>
      </c>
      <c r="J978" s="7" t="n">
        <v>0</v>
      </c>
      <c r="K978" s="9" t="s">
        <v>4946</v>
      </c>
      <c r="L978" s="6" t="s">
        <v>4947</v>
      </c>
      <c r="M978" s="6" t="s">
        <v>4948</v>
      </c>
      <c r="N978" s="10"/>
      <c r="O978" s="4" t="str">
        <f aca="false">IF(N978="","",LEN(N978))</f>
        <v/>
      </c>
    </row>
    <row r="979" customFormat="false" ht="39" hidden="false" customHeight="true" outlineLevel="0" collapsed="false">
      <c r="A979" s="4" t="n">
        <v>978</v>
      </c>
      <c r="B979" s="5" t="n">
        <f aca="false">IF(OR(C979="სხვა მოდელი წერია",I979&gt;=განმარტება!$B$4),1,IF(OR(C979="ცარიელი",I979&gt;=1),2,IF(H979&gt;=განმარტება!$B$5,3,4)))</f>
        <v>4</v>
      </c>
      <c r="C979" s="6" t="s">
        <v>15</v>
      </c>
      <c r="D979" s="6" t="s">
        <v>4949</v>
      </c>
      <c r="E979" s="7" t="s">
        <v>4950</v>
      </c>
      <c r="F979" s="7" t="n">
        <v>2879</v>
      </c>
      <c r="G979" s="6" t="s">
        <v>42</v>
      </c>
      <c r="H979" s="8" t="n">
        <v>279</v>
      </c>
      <c r="I979" s="8" t="n">
        <v>0</v>
      </c>
      <c r="J979" s="7" t="n">
        <v>0</v>
      </c>
      <c r="K979" s="9" t="s">
        <v>4951</v>
      </c>
      <c r="L979" s="6" t="s">
        <v>4952</v>
      </c>
      <c r="M979" s="6" t="s">
        <v>4953</v>
      </c>
      <c r="N979" s="10"/>
      <c r="O979" s="4" t="str">
        <f aca="false">IF(N979="","",LEN(N979))</f>
        <v/>
      </c>
    </row>
    <row r="980" customFormat="false" ht="39" hidden="false" customHeight="true" outlineLevel="0" collapsed="false">
      <c r="A980" s="4" t="n">
        <v>979</v>
      </c>
      <c r="B980" s="5" t="n">
        <f aca="false">IF(OR(C980="სხვა მოდელი წერია",I980&gt;=განმარტება!$B$4),1,IF(OR(C980="ცარიელი",I980&gt;=1),2,IF(H980&gt;=განმარტება!$B$5,3,4)))</f>
        <v>4</v>
      </c>
      <c r="C980" s="6" t="s">
        <v>15</v>
      </c>
      <c r="D980" s="6" t="s">
        <v>4954</v>
      </c>
      <c r="E980" s="7" t="s">
        <v>4955</v>
      </c>
      <c r="F980" s="7" t="n">
        <v>1619</v>
      </c>
      <c r="G980" s="6" t="s">
        <v>285</v>
      </c>
      <c r="H980" s="8" t="n">
        <v>279</v>
      </c>
      <c r="I980" s="8" t="n">
        <v>0</v>
      </c>
      <c r="J980" s="7" t="n">
        <v>0</v>
      </c>
      <c r="K980" s="9" t="s">
        <v>4956</v>
      </c>
      <c r="L980" s="6" t="s">
        <v>4957</v>
      </c>
      <c r="M980" s="6" t="s">
        <v>4958</v>
      </c>
      <c r="N980" s="10"/>
      <c r="O980" s="4" t="str">
        <f aca="false">IF(N980="","",LEN(N980))</f>
        <v/>
      </c>
    </row>
    <row r="981" customFormat="false" ht="39" hidden="false" customHeight="true" outlineLevel="0" collapsed="false">
      <c r="A981" s="4" t="n">
        <v>980</v>
      </c>
      <c r="B981" s="5" t="n">
        <f aca="false">IF(OR(C981="სხვა მოდელი წერია",I981&gt;=განმარტება!$B$4),1,IF(OR(C981="ცარიელი",I981&gt;=1),2,IF(H981&gt;=განმარტება!$B$5,3,4)))</f>
        <v>4</v>
      </c>
      <c r="C981" s="6" t="s">
        <v>15</v>
      </c>
      <c r="D981" s="6" t="s">
        <v>4959</v>
      </c>
      <c r="E981" s="7" t="s">
        <v>4960</v>
      </c>
      <c r="F981" s="7" t="n">
        <v>1626</v>
      </c>
      <c r="G981" s="6" t="s">
        <v>285</v>
      </c>
      <c r="H981" s="8" t="n">
        <v>279</v>
      </c>
      <c r="I981" s="8" t="n">
        <v>0</v>
      </c>
      <c r="J981" s="7" t="n">
        <v>0</v>
      </c>
      <c r="K981" s="9" t="s">
        <v>4961</v>
      </c>
      <c r="L981" s="6" t="s">
        <v>4962</v>
      </c>
      <c r="M981" s="6" t="s">
        <v>4963</v>
      </c>
      <c r="N981" s="10"/>
      <c r="O981" s="4" t="str">
        <f aca="false">IF(N981="","",LEN(N981))</f>
        <v/>
      </c>
    </row>
    <row r="982" customFormat="false" ht="39" hidden="false" customHeight="true" outlineLevel="0" collapsed="false">
      <c r="A982" s="4" t="n">
        <v>981</v>
      </c>
      <c r="B982" s="5" t="n">
        <f aca="false">IF(OR(C982="სხვა მოდელი წერია",I982&gt;=განმარტება!$B$4),1,IF(OR(C982="ცარიელი",I982&gt;=1),2,IF(H982&gt;=განმარტება!$B$5,3,4)))</f>
        <v>4</v>
      </c>
      <c r="C982" s="6" t="s">
        <v>316</v>
      </c>
      <c r="D982" s="6" t="s">
        <v>4964</v>
      </c>
      <c r="E982" s="7" t="s">
        <v>4965</v>
      </c>
      <c r="F982" s="7" t="n">
        <v>1315</v>
      </c>
      <c r="G982" s="6" t="s">
        <v>1994</v>
      </c>
      <c r="H982" s="8" t="n">
        <v>279</v>
      </c>
      <c r="I982" s="8" t="n">
        <v>0</v>
      </c>
      <c r="J982" s="7" t="n">
        <v>0</v>
      </c>
      <c r="K982" s="9" t="s">
        <v>4966</v>
      </c>
      <c r="L982" s="6" t="s">
        <v>4967</v>
      </c>
      <c r="M982" s="6" t="s">
        <v>4968</v>
      </c>
      <c r="N982" s="10"/>
      <c r="O982" s="4" t="str">
        <f aca="false">IF(N982="","",LEN(N982))</f>
        <v/>
      </c>
    </row>
    <row r="983" customFormat="false" ht="51.75" hidden="false" customHeight="true" outlineLevel="0" collapsed="false">
      <c r="A983" s="4" t="n">
        <v>982</v>
      </c>
      <c r="B983" s="5" t="n">
        <f aca="false">IF(OR(C983="სხვა მოდელი წერია",I983&gt;=განმარტება!$B$4),1,IF(OR(C983="ცარიელი",I983&gt;=1),2,IF(H983&gt;=განმარტება!$B$5,3,4)))</f>
        <v>4</v>
      </c>
      <c r="C983" s="6" t="s">
        <v>15</v>
      </c>
      <c r="D983" s="6" t="s">
        <v>4969</v>
      </c>
      <c r="E983" s="7" t="s">
        <v>4970</v>
      </c>
      <c r="F983" s="7" t="n">
        <v>2676</v>
      </c>
      <c r="G983" s="6" t="s">
        <v>693</v>
      </c>
      <c r="H983" s="8" t="n">
        <v>279</v>
      </c>
      <c r="I983" s="8" t="n">
        <v>0</v>
      </c>
      <c r="J983" s="7" t="n">
        <v>0</v>
      </c>
      <c r="K983" s="9" t="s">
        <v>4971</v>
      </c>
      <c r="L983" s="6" t="s">
        <v>4972</v>
      </c>
      <c r="M983" s="6" t="s">
        <v>4973</v>
      </c>
      <c r="N983" s="10"/>
      <c r="O983" s="4" t="str">
        <f aca="false">IF(N983="","",LEN(N983))</f>
        <v/>
      </c>
    </row>
    <row r="984" customFormat="false" ht="51.75" hidden="false" customHeight="true" outlineLevel="0" collapsed="false">
      <c r="A984" s="4" t="n">
        <v>983</v>
      </c>
      <c r="B984" s="5" t="n">
        <f aca="false">IF(OR(C984="სხვა მოდელი წერია",I984&gt;=განმარტება!$B$4),1,IF(OR(C984="ცარიელი",I984&gt;=1),2,IF(H984&gt;=განმარტება!$B$5,3,4)))</f>
        <v>4</v>
      </c>
      <c r="C984" s="6" t="s">
        <v>15</v>
      </c>
      <c r="D984" s="6" t="s">
        <v>4974</v>
      </c>
      <c r="E984" s="7" t="s">
        <v>4975</v>
      </c>
      <c r="F984" s="7" t="n">
        <v>2194</v>
      </c>
      <c r="G984" s="6" t="s">
        <v>3489</v>
      </c>
      <c r="H984" s="8" t="n">
        <v>279</v>
      </c>
      <c r="I984" s="8" t="n">
        <v>0</v>
      </c>
      <c r="J984" s="7" t="n">
        <v>0</v>
      </c>
      <c r="K984" s="9" t="s">
        <v>4976</v>
      </c>
      <c r="L984" s="6" t="s">
        <v>4977</v>
      </c>
      <c r="M984" s="6" t="s">
        <v>4978</v>
      </c>
      <c r="N984" s="10"/>
      <c r="O984" s="4" t="str">
        <f aca="false">IF(N984="","",LEN(N984))</f>
        <v/>
      </c>
    </row>
    <row r="985" customFormat="false" ht="51.75" hidden="false" customHeight="true" outlineLevel="0" collapsed="false">
      <c r="A985" s="4" t="n">
        <v>984</v>
      </c>
      <c r="B985" s="5" t="n">
        <f aca="false">IF(OR(C985="სხვა მოდელი წერია",I985&gt;=განმარტება!$B$4),1,IF(OR(C985="ცარიელი",I985&gt;=1),2,IF(H985&gt;=განმარტება!$B$5,3,4)))</f>
        <v>4</v>
      </c>
      <c r="C985" s="6" t="s">
        <v>15</v>
      </c>
      <c r="D985" s="6" t="s">
        <v>4979</v>
      </c>
      <c r="E985" s="7" t="s">
        <v>4980</v>
      </c>
      <c r="F985" s="7" t="n">
        <v>3961</v>
      </c>
      <c r="G985" s="6" t="s">
        <v>4981</v>
      </c>
      <c r="H985" s="8" t="n">
        <v>279</v>
      </c>
      <c r="I985" s="8" t="n">
        <v>0</v>
      </c>
      <c r="J985" s="7" t="n">
        <v>0</v>
      </c>
      <c r="K985" s="9" t="s">
        <v>4982</v>
      </c>
      <c r="L985" s="6" t="s">
        <v>4983</v>
      </c>
      <c r="M985" s="6" t="s">
        <v>4984</v>
      </c>
      <c r="N985" s="10"/>
      <c r="O985" s="4" t="str">
        <f aca="false">IF(N985="","",LEN(N985))</f>
        <v/>
      </c>
    </row>
    <row r="986" customFormat="false" ht="51.75" hidden="false" customHeight="true" outlineLevel="0" collapsed="false">
      <c r="A986" s="4" t="n">
        <v>985</v>
      </c>
      <c r="B986" s="5" t="n">
        <f aca="false">IF(OR(C986="სხვა მოდელი წერია",I986&gt;=განმარტება!$B$4),1,IF(OR(C986="ცარიელი",I986&gt;=1),2,IF(H986&gt;=განმარტება!$B$5,3,4)))</f>
        <v>4</v>
      </c>
      <c r="C986" s="6" t="s">
        <v>15</v>
      </c>
      <c r="D986" s="6" t="s">
        <v>4985</v>
      </c>
      <c r="E986" s="7" t="s">
        <v>4986</v>
      </c>
      <c r="F986" s="7" t="n">
        <v>2461</v>
      </c>
      <c r="G986" s="6" t="s">
        <v>3212</v>
      </c>
      <c r="H986" s="8" t="n">
        <v>279</v>
      </c>
      <c r="I986" s="8" t="n">
        <v>0</v>
      </c>
      <c r="J986" s="7" t="n">
        <v>0</v>
      </c>
      <c r="K986" s="9" t="s">
        <v>4987</v>
      </c>
      <c r="L986" s="6" t="s">
        <v>4988</v>
      </c>
      <c r="M986" s="6" t="s">
        <v>4989</v>
      </c>
      <c r="N986" s="10"/>
      <c r="O986" s="4" t="str">
        <f aca="false">IF(N986="","",LEN(N986))</f>
        <v/>
      </c>
    </row>
    <row r="987" customFormat="false" ht="51.75" hidden="false" customHeight="true" outlineLevel="0" collapsed="false">
      <c r="A987" s="4" t="n">
        <v>986</v>
      </c>
      <c r="B987" s="5" t="n">
        <f aca="false">IF(OR(C987="სხვა მოდელი წერია",I987&gt;=განმარტება!$B$4),1,IF(OR(C987="ცარიელი",I987&gt;=1),2,IF(H987&gt;=განმარტება!$B$5,3,4)))</f>
        <v>4</v>
      </c>
      <c r="C987" s="6" t="s">
        <v>15</v>
      </c>
      <c r="D987" s="6" t="s">
        <v>4990</v>
      </c>
      <c r="E987" s="7" t="s">
        <v>4991</v>
      </c>
      <c r="F987" s="7" t="n">
        <v>2098</v>
      </c>
      <c r="G987" s="6" t="s">
        <v>134</v>
      </c>
      <c r="H987" s="8" t="n">
        <v>279</v>
      </c>
      <c r="I987" s="8" t="n">
        <v>0</v>
      </c>
      <c r="J987" s="7" t="n">
        <v>0</v>
      </c>
      <c r="K987" s="9" t="s">
        <v>4992</v>
      </c>
      <c r="L987" s="6" t="s">
        <v>4993</v>
      </c>
      <c r="M987" s="6" t="s">
        <v>4994</v>
      </c>
      <c r="N987" s="10"/>
      <c r="O987" s="4" t="str">
        <f aca="false">IF(N987="","",LEN(N987))</f>
        <v/>
      </c>
    </row>
    <row r="988" customFormat="false" ht="77.25" hidden="false" customHeight="true" outlineLevel="0" collapsed="false">
      <c r="A988" s="4" t="n">
        <v>987</v>
      </c>
      <c r="B988" s="5" t="n">
        <f aca="false">IF(OR(C988="სხვა მოდელი წერია",I988&gt;=განმარტება!$B$4),1,IF(OR(C988="ცარიელი",I988&gt;=1),2,IF(H988&gt;=განმარტება!$B$5,3,4)))</f>
        <v>4</v>
      </c>
      <c r="C988" s="6" t="s">
        <v>15</v>
      </c>
      <c r="D988" s="6" t="s">
        <v>4995</v>
      </c>
      <c r="E988" s="7" t="s">
        <v>4996</v>
      </c>
      <c r="F988" s="7" t="n">
        <v>5087</v>
      </c>
      <c r="G988" s="6" t="s">
        <v>4145</v>
      </c>
      <c r="H988" s="8" t="n">
        <v>276</v>
      </c>
      <c r="I988" s="8" t="n">
        <v>0</v>
      </c>
      <c r="J988" s="7" t="n">
        <v>0</v>
      </c>
      <c r="K988" s="9" t="s">
        <v>4997</v>
      </c>
      <c r="L988" s="6" t="s">
        <v>4998</v>
      </c>
      <c r="M988" s="6" t="s">
        <v>4999</v>
      </c>
      <c r="N988" s="10"/>
      <c r="O988" s="4" t="str">
        <f aca="false">IF(N988="","",LEN(N988))</f>
        <v/>
      </c>
    </row>
    <row r="989" customFormat="false" ht="39" hidden="false" customHeight="true" outlineLevel="0" collapsed="false">
      <c r="A989" s="4" t="n">
        <v>988</v>
      </c>
      <c r="B989" s="5" t="n">
        <f aca="false">IF(OR(C989="სხვა მოდელი წერია",I989&gt;=განმარტება!$B$4),1,IF(OR(C989="ცარიელი",I989&gt;=1),2,IF(H989&gt;=განმარტება!$B$5,3,4)))</f>
        <v>4</v>
      </c>
      <c r="C989" s="6" t="s">
        <v>15</v>
      </c>
      <c r="D989" s="6" t="s">
        <v>5000</v>
      </c>
      <c r="E989" s="7" t="s">
        <v>5001</v>
      </c>
      <c r="F989" s="7" t="n">
        <v>8906</v>
      </c>
      <c r="G989" s="6" t="s">
        <v>1267</v>
      </c>
      <c r="H989" s="8" t="n">
        <v>269</v>
      </c>
      <c r="I989" s="8" t="n">
        <v>0</v>
      </c>
      <c r="J989" s="7" t="n">
        <v>0</v>
      </c>
      <c r="K989" s="9" t="s">
        <v>5002</v>
      </c>
      <c r="L989" s="6" t="s">
        <v>5003</v>
      </c>
      <c r="M989" s="6" t="s">
        <v>5004</v>
      </c>
      <c r="N989" s="10"/>
      <c r="O989" s="4" t="str">
        <f aca="false">IF(N989="","",LEN(N989))</f>
        <v/>
      </c>
    </row>
    <row r="990" customFormat="false" ht="39" hidden="false" customHeight="true" outlineLevel="0" collapsed="false">
      <c r="A990" s="4" t="n">
        <v>989</v>
      </c>
      <c r="B990" s="5" t="n">
        <f aca="false">IF(OR(C990="სხვა მოდელი წერია",I990&gt;=განმარტება!$B$4),1,IF(OR(C990="ცარიელი",I990&gt;=1),2,IF(H990&gt;=განმარტება!$B$5,3,4)))</f>
        <v>4</v>
      </c>
      <c r="C990" s="6" t="s">
        <v>15</v>
      </c>
      <c r="D990" s="6" t="s">
        <v>5005</v>
      </c>
      <c r="E990" s="7" t="s">
        <v>5006</v>
      </c>
      <c r="F990" s="7" t="n">
        <v>3117</v>
      </c>
      <c r="G990" s="6" t="s">
        <v>563</v>
      </c>
      <c r="H990" s="8" t="n">
        <v>269</v>
      </c>
      <c r="I990" s="8" t="n">
        <v>0</v>
      </c>
      <c r="J990" s="7" t="n">
        <v>0</v>
      </c>
      <c r="K990" s="9" t="s">
        <v>5007</v>
      </c>
      <c r="L990" s="6" t="s">
        <v>5008</v>
      </c>
      <c r="M990" s="6" t="s">
        <v>5009</v>
      </c>
      <c r="N990" s="10"/>
      <c r="O990" s="4" t="str">
        <f aca="false">IF(N990="","",LEN(N990))</f>
        <v/>
      </c>
    </row>
    <row r="991" customFormat="false" ht="39" hidden="false" customHeight="true" outlineLevel="0" collapsed="false">
      <c r="A991" s="4" t="n">
        <v>990</v>
      </c>
      <c r="B991" s="5" t="n">
        <f aca="false">IF(OR(C991="სხვა მოდელი წერია",I991&gt;=განმარტება!$B$4),1,IF(OR(C991="ცარიელი",I991&gt;=1),2,IF(H991&gt;=განმარტება!$B$5,3,4)))</f>
        <v>4</v>
      </c>
      <c r="C991" s="6" t="s">
        <v>15</v>
      </c>
      <c r="D991" s="6" t="s">
        <v>5010</v>
      </c>
      <c r="E991" s="7" t="s">
        <v>5011</v>
      </c>
      <c r="F991" s="7" t="n">
        <v>8926</v>
      </c>
      <c r="G991" s="6" t="s">
        <v>1267</v>
      </c>
      <c r="H991" s="8" t="n">
        <v>269</v>
      </c>
      <c r="I991" s="8" t="n">
        <v>0</v>
      </c>
      <c r="J991" s="7" t="n">
        <v>0</v>
      </c>
      <c r="K991" s="9" t="s">
        <v>5012</v>
      </c>
      <c r="L991" s="6" t="s">
        <v>5013</v>
      </c>
      <c r="M991" s="6" t="s">
        <v>5014</v>
      </c>
      <c r="N991" s="10"/>
      <c r="O991" s="4" t="str">
        <f aca="false">IF(N991="","",LEN(N991))</f>
        <v/>
      </c>
    </row>
    <row r="992" customFormat="false" ht="39" hidden="false" customHeight="true" outlineLevel="0" collapsed="false">
      <c r="A992" s="4" t="n">
        <v>991</v>
      </c>
      <c r="B992" s="5" t="n">
        <f aca="false">IF(OR(C992="სხვა მოდელი წერია",I992&gt;=განმარტება!$B$4),1,IF(OR(C992="ცარიელი",I992&gt;=1),2,IF(H992&gt;=განმარტება!$B$5,3,4)))</f>
        <v>4</v>
      </c>
      <c r="C992" s="6" t="s">
        <v>15</v>
      </c>
      <c r="D992" s="6" t="s">
        <v>5015</v>
      </c>
      <c r="E992" s="7" t="s">
        <v>5016</v>
      </c>
      <c r="F992" s="7" t="n">
        <v>1796</v>
      </c>
      <c r="G992" s="6" t="s">
        <v>340</v>
      </c>
      <c r="H992" s="8" t="n">
        <v>269</v>
      </c>
      <c r="I992" s="8" t="n">
        <v>0</v>
      </c>
      <c r="J992" s="7" t="n">
        <v>0</v>
      </c>
      <c r="K992" s="9" t="s">
        <v>5017</v>
      </c>
      <c r="L992" s="6" t="s">
        <v>5018</v>
      </c>
      <c r="M992" s="6" t="s">
        <v>5019</v>
      </c>
      <c r="N992" s="10"/>
      <c r="O992" s="4" t="str">
        <f aca="false">IF(N992="","",LEN(N992))</f>
        <v/>
      </c>
    </row>
    <row r="993" customFormat="false" ht="51.75" hidden="false" customHeight="true" outlineLevel="0" collapsed="false">
      <c r="A993" s="4" t="n">
        <v>992</v>
      </c>
      <c r="B993" s="5" t="n">
        <f aca="false">IF(OR(C993="სხვა მოდელი წერია",I993&gt;=განმარტება!$B$4),1,IF(OR(C993="ცარიელი",I993&gt;=1),2,IF(H993&gt;=განმარტება!$B$5,3,4)))</f>
        <v>4</v>
      </c>
      <c r="C993" s="6" t="s">
        <v>15</v>
      </c>
      <c r="D993" s="6" t="s">
        <v>5020</v>
      </c>
      <c r="E993" s="7" t="s">
        <v>5021</v>
      </c>
      <c r="F993" s="7" t="n">
        <v>3897</v>
      </c>
      <c r="G993" s="6" t="s">
        <v>693</v>
      </c>
      <c r="H993" s="8" t="n">
        <v>269</v>
      </c>
      <c r="I993" s="8" t="n">
        <v>0</v>
      </c>
      <c r="J993" s="7" t="n">
        <v>0</v>
      </c>
      <c r="K993" s="9" t="s">
        <v>5022</v>
      </c>
      <c r="L993" s="6" t="s">
        <v>5023</v>
      </c>
      <c r="M993" s="6" t="s">
        <v>5024</v>
      </c>
      <c r="N993" s="10"/>
      <c r="O993" s="4" t="str">
        <f aca="false">IF(N993="","",LEN(N993))</f>
        <v/>
      </c>
    </row>
    <row r="994" customFormat="false" ht="51.75" hidden="false" customHeight="true" outlineLevel="0" collapsed="false">
      <c r="A994" s="4" t="n">
        <v>993</v>
      </c>
      <c r="B994" s="5" t="n">
        <f aca="false">IF(OR(C994="სხვა მოდელი წერია",I994&gt;=განმარტება!$B$4),1,IF(OR(C994="ცარიელი",I994&gt;=1),2,IF(H994&gt;=განმარტება!$B$5,3,4)))</f>
        <v>4</v>
      </c>
      <c r="C994" s="6" t="s">
        <v>15</v>
      </c>
      <c r="D994" s="6" t="s">
        <v>5025</v>
      </c>
      <c r="E994" s="7" t="s">
        <v>5026</v>
      </c>
      <c r="F994" s="7" t="n">
        <v>2719</v>
      </c>
      <c r="G994" s="6" t="s">
        <v>693</v>
      </c>
      <c r="H994" s="8" t="n">
        <v>269</v>
      </c>
      <c r="I994" s="8" t="n">
        <v>0</v>
      </c>
      <c r="J994" s="7" t="n">
        <v>0</v>
      </c>
      <c r="K994" s="9" t="s">
        <v>5027</v>
      </c>
      <c r="L994" s="6" t="s">
        <v>5028</v>
      </c>
      <c r="M994" s="6" t="s">
        <v>5029</v>
      </c>
      <c r="N994" s="10"/>
      <c r="O994" s="4" t="str">
        <f aca="false">IF(N994="","",LEN(N994))</f>
        <v/>
      </c>
    </row>
    <row r="995" customFormat="false" ht="39" hidden="false" customHeight="true" outlineLevel="0" collapsed="false">
      <c r="A995" s="4" t="n">
        <v>994</v>
      </c>
      <c r="B995" s="5" t="n">
        <f aca="false">IF(OR(C995="სხვა მოდელი წერია",I995&gt;=განმარტება!$B$4),1,IF(OR(C995="ცარიელი",I995&gt;=1),2,IF(H995&gt;=განმარტება!$B$5,3,4)))</f>
        <v>4</v>
      </c>
      <c r="C995" s="6" t="s">
        <v>15</v>
      </c>
      <c r="D995" s="6" t="s">
        <v>5030</v>
      </c>
      <c r="E995" s="7" t="s">
        <v>5031</v>
      </c>
      <c r="F995" s="7" t="n">
        <v>1828</v>
      </c>
      <c r="G995" s="6" t="s">
        <v>296</v>
      </c>
      <c r="H995" s="8" t="n">
        <v>269</v>
      </c>
      <c r="I995" s="8" t="n">
        <v>0</v>
      </c>
      <c r="J995" s="7" t="n">
        <v>0</v>
      </c>
      <c r="K995" s="9" t="s">
        <v>5032</v>
      </c>
      <c r="L995" s="6" t="s">
        <v>5033</v>
      </c>
      <c r="M995" s="6" t="s">
        <v>5034</v>
      </c>
      <c r="N995" s="10"/>
      <c r="O995" s="4" t="str">
        <f aca="false">IF(N995="","",LEN(N995))</f>
        <v/>
      </c>
    </row>
    <row r="996" customFormat="false" ht="51.75" hidden="false" customHeight="true" outlineLevel="0" collapsed="false">
      <c r="A996" s="4" t="n">
        <v>995</v>
      </c>
      <c r="B996" s="5" t="n">
        <f aca="false">IF(OR(C996="სხვა მოდელი წერია",I996&gt;=განმარტება!$B$4),1,IF(OR(C996="ცარიელი",I996&gt;=1),2,IF(H996&gt;=განმარტება!$B$5,3,4)))</f>
        <v>4</v>
      </c>
      <c r="C996" s="6" t="s">
        <v>15</v>
      </c>
      <c r="D996" s="6" t="s">
        <v>5035</v>
      </c>
      <c r="E996" s="7" t="s">
        <v>5036</v>
      </c>
      <c r="F996" s="7" t="n">
        <v>3147</v>
      </c>
      <c r="G996" s="6" t="s">
        <v>30</v>
      </c>
      <c r="H996" s="8" t="n">
        <v>269</v>
      </c>
      <c r="I996" s="8" t="n">
        <v>0</v>
      </c>
      <c r="J996" s="7" t="n">
        <v>0</v>
      </c>
      <c r="K996" s="9" t="s">
        <v>5037</v>
      </c>
      <c r="L996" s="6" t="s">
        <v>5038</v>
      </c>
      <c r="M996" s="6" t="s">
        <v>5039</v>
      </c>
      <c r="N996" s="10"/>
      <c r="O996" s="4" t="str">
        <f aca="false">IF(N996="","",LEN(N996))</f>
        <v/>
      </c>
    </row>
    <row r="997" customFormat="false" ht="51.75" hidden="false" customHeight="true" outlineLevel="0" collapsed="false">
      <c r="A997" s="4" t="n">
        <v>996</v>
      </c>
      <c r="B997" s="5" t="n">
        <f aca="false">IF(OR(C997="სხვა მოდელი წერია",I997&gt;=განმარტება!$B$4),1,IF(OR(C997="ცარიელი",I997&gt;=1),2,IF(H997&gt;=განმარტება!$B$5,3,4)))</f>
        <v>4</v>
      </c>
      <c r="C997" s="6" t="s">
        <v>15</v>
      </c>
      <c r="D997" s="6" t="s">
        <v>5040</v>
      </c>
      <c r="E997" s="7" t="s">
        <v>5041</v>
      </c>
      <c r="F997" s="7" t="n">
        <v>837</v>
      </c>
      <c r="G997" s="6" t="s">
        <v>30</v>
      </c>
      <c r="H997" s="8" t="n">
        <v>269</v>
      </c>
      <c r="I997" s="8" t="n">
        <v>0</v>
      </c>
      <c r="J997" s="7" t="n">
        <v>0</v>
      </c>
      <c r="K997" s="9" t="s">
        <v>5042</v>
      </c>
      <c r="L997" s="6" t="s">
        <v>5043</v>
      </c>
      <c r="M997" s="6" t="s">
        <v>5044</v>
      </c>
      <c r="N997" s="10"/>
      <c r="O997" s="4" t="str">
        <f aca="false">IF(N997="","",LEN(N997))</f>
        <v/>
      </c>
    </row>
    <row r="998" customFormat="false" ht="51.75" hidden="false" customHeight="true" outlineLevel="0" collapsed="false">
      <c r="A998" s="4" t="n">
        <v>997</v>
      </c>
      <c r="B998" s="5" t="n">
        <f aca="false">IF(OR(C998="სხვა მოდელი წერია",I998&gt;=განმარტება!$B$4),1,IF(OR(C998="ცარიელი",I998&gt;=1),2,IF(H998&gt;=განმარტება!$B$5,3,4)))</f>
        <v>4</v>
      </c>
      <c r="C998" s="6" t="s">
        <v>15</v>
      </c>
      <c r="D998" s="6" t="s">
        <v>5045</v>
      </c>
      <c r="E998" s="7" t="s">
        <v>5046</v>
      </c>
      <c r="F998" s="7" t="n">
        <v>9189</v>
      </c>
      <c r="G998" s="6" t="s">
        <v>837</v>
      </c>
      <c r="H998" s="8" t="n">
        <v>269</v>
      </c>
      <c r="I998" s="8" t="n">
        <v>0</v>
      </c>
      <c r="J998" s="7" t="n">
        <v>0</v>
      </c>
      <c r="K998" s="9" t="s">
        <v>5047</v>
      </c>
      <c r="L998" s="6" t="s">
        <v>839</v>
      </c>
      <c r="M998" s="6" t="s">
        <v>5048</v>
      </c>
      <c r="N998" s="10"/>
      <c r="O998" s="4" t="str">
        <f aca="false">IF(N998="","",LEN(N998))</f>
        <v/>
      </c>
    </row>
    <row r="999" customFormat="false" ht="51.75" hidden="false" customHeight="true" outlineLevel="0" collapsed="false">
      <c r="A999" s="4" t="n">
        <v>998</v>
      </c>
      <c r="B999" s="5" t="n">
        <f aca="false">IF(OR(C999="სხვა მოდელი წერია",I999&gt;=განმარტება!$B$4),1,IF(OR(C999="ცარიელი",I999&gt;=1),2,IF(H999&gt;=განმარტება!$B$5,3,4)))</f>
        <v>4</v>
      </c>
      <c r="C999" s="6" t="s">
        <v>15</v>
      </c>
      <c r="D999" s="6" t="s">
        <v>5049</v>
      </c>
      <c r="E999" s="7" t="s">
        <v>5050</v>
      </c>
      <c r="F999" s="7" t="n">
        <v>13658</v>
      </c>
      <c r="G999" s="6" t="s">
        <v>134</v>
      </c>
      <c r="H999" s="8" t="n">
        <v>269</v>
      </c>
      <c r="I999" s="8" t="n">
        <v>0</v>
      </c>
      <c r="J999" s="7" t="n">
        <v>0</v>
      </c>
      <c r="K999" s="9" t="s">
        <v>5051</v>
      </c>
      <c r="L999" s="6" t="s">
        <v>5052</v>
      </c>
      <c r="M999" s="6" t="s">
        <v>5053</v>
      </c>
      <c r="N999" s="10"/>
      <c r="O999" s="4" t="str">
        <f aca="false">IF(N999="","",LEN(N999))</f>
        <v/>
      </c>
    </row>
    <row r="1000" customFormat="false" ht="51.75" hidden="false" customHeight="true" outlineLevel="0" collapsed="false">
      <c r="A1000" s="4" t="n">
        <v>999</v>
      </c>
      <c r="B1000" s="5" t="n">
        <f aca="false">IF(OR(C1000="სხვა მოდელი წერია",I1000&gt;=განმარტება!$B$4),1,IF(OR(C1000="ცარიელი",I1000&gt;=1),2,IF(H1000&gt;=განმარტება!$B$5,3,4)))</f>
        <v>4</v>
      </c>
      <c r="C1000" s="6" t="s">
        <v>15</v>
      </c>
      <c r="D1000" s="6" t="s">
        <v>5054</v>
      </c>
      <c r="E1000" s="7" t="s">
        <v>5055</v>
      </c>
      <c r="F1000" s="7" t="n">
        <v>3026</v>
      </c>
      <c r="G1000" s="6" t="s">
        <v>2266</v>
      </c>
      <c r="H1000" s="8" t="n">
        <v>269</v>
      </c>
      <c r="I1000" s="8" t="n">
        <v>0</v>
      </c>
      <c r="J1000" s="7" t="n">
        <v>0</v>
      </c>
      <c r="K1000" s="9" t="s">
        <v>5056</v>
      </c>
      <c r="L1000" s="6" t="s">
        <v>5057</v>
      </c>
      <c r="M1000" s="6" t="s">
        <v>5058</v>
      </c>
      <c r="N1000" s="10"/>
      <c r="O1000" s="4" t="str">
        <f aca="false">IF(N1000="","",LEN(N1000))</f>
        <v/>
      </c>
    </row>
    <row r="1001" customFormat="false" ht="39" hidden="false" customHeight="true" outlineLevel="0" collapsed="false">
      <c r="A1001" s="4" t="n">
        <v>1000</v>
      </c>
      <c r="B1001" s="5" t="n">
        <f aca="false">IF(OR(C1001="სხვა მოდელი წერია",I1001&gt;=განმარტება!$B$4),1,IF(OR(C1001="ცარიელი",I1001&gt;=1),2,IF(H1001&gt;=განმარტება!$B$5,3,4)))</f>
        <v>4</v>
      </c>
      <c r="C1001" s="6" t="s">
        <v>15</v>
      </c>
      <c r="D1001" s="6" t="s">
        <v>5059</v>
      </c>
      <c r="E1001" s="7" t="s">
        <v>5060</v>
      </c>
      <c r="F1001" s="7" t="n">
        <v>1886</v>
      </c>
      <c r="G1001" s="6" t="s">
        <v>5061</v>
      </c>
      <c r="H1001" s="8" t="n">
        <v>268</v>
      </c>
      <c r="I1001" s="8" t="n">
        <v>0</v>
      </c>
      <c r="J1001" s="7" t="n">
        <v>0</v>
      </c>
      <c r="K1001" s="9" t="s">
        <v>5062</v>
      </c>
      <c r="L1001" s="6" t="s">
        <v>5063</v>
      </c>
      <c r="M1001" s="6" t="s">
        <v>5064</v>
      </c>
      <c r="N1001" s="10"/>
      <c r="O1001" s="4" t="str">
        <f aca="false">IF(N1001="","",LEN(N1001))</f>
        <v/>
      </c>
    </row>
    <row r="1002" customFormat="false" ht="51.75" hidden="false" customHeight="true" outlineLevel="0" collapsed="false">
      <c r="A1002" s="4" t="n">
        <v>1001</v>
      </c>
      <c r="B1002" s="5" t="n">
        <f aca="false">IF(OR(C1002="სხვა მოდელი წერია",I1002&gt;=განმარტება!$B$4),1,IF(OR(C1002="ცარიელი",I1002&gt;=1),2,IF(H1002&gt;=განმარტება!$B$5,3,4)))</f>
        <v>4</v>
      </c>
      <c r="C1002" s="6" t="s">
        <v>15</v>
      </c>
      <c r="D1002" s="6" t="s">
        <v>5065</v>
      </c>
      <c r="E1002" s="7" t="s">
        <v>5066</v>
      </c>
      <c r="F1002" s="7" t="n">
        <v>3074</v>
      </c>
      <c r="G1002" s="6" t="s">
        <v>693</v>
      </c>
      <c r="H1002" s="8" t="n">
        <v>265</v>
      </c>
      <c r="I1002" s="8" t="n">
        <v>0</v>
      </c>
      <c r="J1002" s="7" t="n">
        <v>0</v>
      </c>
      <c r="K1002" s="9" t="s">
        <v>5067</v>
      </c>
      <c r="L1002" s="6" t="s">
        <v>5068</v>
      </c>
      <c r="M1002" s="6" t="s">
        <v>5069</v>
      </c>
      <c r="N1002" s="10"/>
      <c r="O1002" s="4" t="str">
        <f aca="false">IF(N1002="","",LEN(N1002))</f>
        <v/>
      </c>
    </row>
    <row r="1003" customFormat="false" ht="51.75" hidden="false" customHeight="true" outlineLevel="0" collapsed="false">
      <c r="A1003" s="4" t="n">
        <v>1002</v>
      </c>
      <c r="B1003" s="5" t="n">
        <f aca="false">IF(OR(C1003="სხვა მოდელი წერია",I1003&gt;=განმარტება!$B$4),1,IF(OR(C1003="ცარიელი",I1003&gt;=1),2,IF(H1003&gt;=განმარტება!$B$5,3,4)))</f>
        <v>4</v>
      </c>
      <c r="C1003" s="6" t="s">
        <v>15</v>
      </c>
      <c r="D1003" s="6" t="s">
        <v>5070</v>
      </c>
      <c r="E1003" s="7" t="s">
        <v>5071</v>
      </c>
      <c r="F1003" s="7" t="n">
        <v>373</v>
      </c>
      <c r="G1003" s="6" t="s">
        <v>217</v>
      </c>
      <c r="H1003" s="8" t="n">
        <v>259</v>
      </c>
      <c r="I1003" s="8" t="n">
        <v>0</v>
      </c>
      <c r="J1003" s="7" t="n">
        <v>0</v>
      </c>
      <c r="K1003" s="9" t="s">
        <v>5072</v>
      </c>
      <c r="L1003" s="6" t="s">
        <v>5073</v>
      </c>
      <c r="M1003" s="6" t="s">
        <v>5074</v>
      </c>
      <c r="N1003" s="10"/>
      <c r="O1003" s="4" t="str">
        <f aca="false">IF(N1003="","",LEN(N1003))</f>
        <v/>
      </c>
    </row>
    <row r="1004" customFormat="false" ht="39" hidden="false" customHeight="true" outlineLevel="0" collapsed="false">
      <c r="A1004" s="4" t="n">
        <v>1003</v>
      </c>
      <c r="B1004" s="5" t="n">
        <f aca="false">IF(OR(C1004="სხვა მოდელი წერია",I1004&gt;=განმარტება!$B$4),1,IF(OR(C1004="ცარიელი",I1004&gt;=1),2,IF(H1004&gt;=განმარტება!$B$5,3,4)))</f>
        <v>4</v>
      </c>
      <c r="C1004" s="6" t="s">
        <v>15</v>
      </c>
      <c r="D1004" s="6" t="s">
        <v>5075</v>
      </c>
      <c r="E1004" s="7" t="s">
        <v>5076</v>
      </c>
      <c r="F1004" s="7" t="n">
        <v>2856</v>
      </c>
      <c r="G1004" s="6" t="s">
        <v>83</v>
      </c>
      <c r="H1004" s="8" t="n">
        <v>259</v>
      </c>
      <c r="I1004" s="8" t="n">
        <v>0</v>
      </c>
      <c r="J1004" s="7" t="n">
        <v>0</v>
      </c>
      <c r="K1004" s="9" t="s">
        <v>5077</v>
      </c>
      <c r="L1004" s="6" t="s">
        <v>5078</v>
      </c>
      <c r="M1004" s="6" t="s">
        <v>5079</v>
      </c>
      <c r="N1004" s="10"/>
      <c r="O1004" s="4" t="str">
        <f aca="false">IF(N1004="","",LEN(N1004))</f>
        <v/>
      </c>
    </row>
    <row r="1005" customFormat="false" ht="39" hidden="false" customHeight="true" outlineLevel="0" collapsed="false">
      <c r="A1005" s="4" t="n">
        <v>1004</v>
      </c>
      <c r="B1005" s="5" t="n">
        <f aca="false">IF(OR(C1005="სხვა მოდელი წერია",I1005&gt;=განმარტება!$B$4),1,IF(OR(C1005="ცარიელი",I1005&gt;=1),2,IF(H1005&gt;=განმარტება!$B$5,3,4)))</f>
        <v>4</v>
      </c>
      <c r="C1005" s="6" t="s">
        <v>15</v>
      </c>
      <c r="D1005" s="6" t="s">
        <v>5080</v>
      </c>
      <c r="E1005" s="7" t="s">
        <v>5081</v>
      </c>
      <c r="F1005" s="7" t="n">
        <v>2065</v>
      </c>
      <c r="G1005" s="6" t="s">
        <v>1994</v>
      </c>
      <c r="H1005" s="8" t="n">
        <v>250</v>
      </c>
      <c r="I1005" s="8" t="n">
        <v>0</v>
      </c>
      <c r="J1005" s="7" t="n">
        <v>0</v>
      </c>
      <c r="K1005" s="9" t="s">
        <v>5082</v>
      </c>
      <c r="L1005" s="6" t="s">
        <v>5083</v>
      </c>
      <c r="M1005" s="6" t="s">
        <v>5084</v>
      </c>
      <c r="N1005" s="10"/>
      <c r="O1005" s="4" t="str">
        <f aca="false">IF(N1005="","",LEN(N1005))</f>
        <v/>
      </c>
    </row>
    <row r="1006" customFormat="false" ht="39" hidden="false" customHeight="true" outlineLevel="0" collapsed="false">
      <c r="A1006" s="4" t="n">
        <v>1005</v>
      </c>
      <c r="B1006" s="5" t="n">
        <f aca="false">IF(OR(C1006="სხვა მოდელი წერია",I1006&gt;=განმარტება!$B$4),1,IF(OR(C1006="ცარიელი",I1006&gt;=1),2,IF(H1006&gt;=განმარტება!$B$5,3,4)))</f>
        <v>4</v>
      </c>
      <c r="C1006" s="6" t="s">
        <v>15</v>
      </c>
      <c r="D1006" s="6" t="s">
        <v>5085</v>
      </c>
      <c r="E1006" s="7" t="s">
        <v>5086</v>
      </c>
      <c r="F1006" s="7" t="n">
        <v>1802</v>
      </c>
      <c r="G1006" s="6" t="s">
        <v>667</v>
      </c>
      <c r="H1006" s="8" t="n">
        <v>250</v>
      </c>
      <c r="I1006" s="8" t="n">
        <v>0</v>
      </c>
      <c r="J1006" s="7" t="n">
        <v>0</v>
      </c>
      <c r="K1006" s="9" t="s">
        <v>5087</v>
      </c>
      <c r="L1006" s="6" t="s">
        <v>5088</v>
      </c>
      <c r="M1006" s="6" t="s">
        <v>5089</v>
      </c>
      <c r="N1006" s="10"/>
      <c r="O1006" s="4" t="str">
        <f aca="false">IF(N1006="","",LEN(N1006))</f>
        <v/>
      </c>
    </row>
    <row r="1007" customFormat="false" ht="39" hidden="false" customHeight="true" outlineLevel="0" collapsed="false">
      <c r="A1007" s="4" t="n">
        <v>1006</v>
      </c>
      <c r="B1007" s="5" t="n">
        <f aca="false">IF(OR(C1007="სხვა მოდელი წერია",I1007&gt;=განმარტება!$B$4),1,IF(OR(C1007="ცარიელი",I1007&gt;=1),2,IF(H1007&gt;=განმარტება!$B$5,3,4)))</f>
        <v>4</v>
      </c>
      <c r="C1007" s="6" t="s">
        <v>316</v>
      </c>
      <c r="D1007" s="6" t="s">
        <v>5090</v>
      </c>
      <c r="E1007" s="7" t="s">
        <v>5091</v>
      </c>
      <c r="F1007" s="7" t="n">
        <v>1712</v>
      </c>
      <c r="G1007" s="6" t="s">
        <v>667</v>
      </c>
      <c r="H1007" s="8" t="n">
        <v>250</v>
      </c>
      <c r="I1007" s="8" t="n">
        <v>0</v>
      </c>
      <c r="J1007" s="7" t="n">
        <v>0</v>
      </c>
      <c r="K1007" s="9" t="s">
        <v>5092</v>
      </c>
      <c r="L1007" s="6" t="s">
        <v>5093</v>
      </c>
      <c r="M1007" s="6" t="s">
        <v>5094</v>
      </c>
      <c r="N1007" s="10"/>
      <c r="O1007" s="4" t="str">
        <f aca="false">IF(N1007="","",LEN(N1007))</f>
        <v/>
      </c>
    </row>
    <row r="1008" customFormat="false" ht="39" hidden="false" customHeight="true" outlineLevel="0" collapsed="false">
      <c r="A1008" s="4" t="n">
        <v>1007</v>
      </c>
      <c r="B1008" s="5" t="n">
        <f aca="false">IF(OR(C1008="სხვა მოდელი წერია",I1008&gt;=განმარტება!$B$4),1,IF(OR(C1008="ცარიელი",I1008&gt;=1),2,IF(H1008&gt;=განმარტება!$B$5,3,4)))</f>
        <v>4</v>
      </c>
      <c r="C1008" s="6" t="s">
        <v>15</v>
      </c>
      <c r="D1008" s="6" t="s">
        <v>5095</v>
      </c>
      <c r="E1008" s="7" t="s">
        <v>5096</v>
      </c>
      <c r="F1008" s="7" t="n">
        <v>3024</v>
      </c>
      <c r="G1008" s="6" t="s">
        <v>285</v>
      </c>
      <c r="H1008" s="8" t="n">
        <v>249</v>
      </c>
      <c r="I1008" s="8" t="n">
        <v>0</v>
      </c>
      <c r="J1008" s="7" t="n">
        <v>0</v>
      </c>
      <c r="K1008" s="9" t="s">
        <v>5097</v>
      </c>
      <c r="L1008" s="6" t="s">
        <v>5098</v>
      </c>
      <c r="M1008" s="6" t="s">
        <v>5099</v>
      </c>
      <c r="N1008" s="10"/>
      <c r="O1008" s="4" t="str">
        <f aca="false">IF(N1008="","",LEN(N1008))</f>
        <v/>
      </c>
    </row>
    <row r="1009" customFormat="false" ht="39" hidden="false" customHeight="true" outlineLevel="0" collapsed="false">
      <c r="A1009" s="4" t="n">
        <v>1008</v>
      </c>
      <c r="B1009" s="5" t="n">
        <f aca="false">IF(OR(C1009="სხვა მოდელი წერია",I1009&gt;=განმარტება!$B$4),1,IF(OR(C1009="ცარიელი",I1009&gt;=1),2,IF(H1009&gt;=განმარტება!$B$5,3,4)))</f>
        <v>4</v>
      </c>
      <c r="C1009" s="6" t="s">
        <v>15</v>
      </c>
      <c r="D1009" s="6" t="s">
        <v>5100</v>
      </c>
      <c r="E1009" s="7" t="s">
        <v>5101</v>
      </c>
      <c r="F1009" s="7" t="n">
        <v>2033</v>
      </c>
      <c r="G1009" s="6" t="s">
        <v>1994</v>
      </c>
      <c r="H1009" s="8" t="n">
        <v>249</v>
      </c>
      <c r="I1009" s="8" t="n">
        <v>0</v>
      </c>
      <c r="J1009" s="7" t="n">
        <v>0</v>
      </c>
      <c r="K1009" s="9" t="s">
        <v>5102</v>
      </c>
      <c r="L1009" s="6" t="s">
        <v>5103</v>
      </c>
      <c r="M1009" s="6" t="s">
        <v>5104</v>
      </c>
      <c r="N1009" s="10"/>
      <c r="O1009" s="4" t="str">
        <f aca="false">IF(N1009="","",LEN(N1009))</f>
        <v/>
      </c>
    </row>
    <row r="1010" customFormat="false" ht="39" hidden="false" customHeight="true" outlineLevel="0" collapsed="false">
      <c r="A1010" s="4" t="n">
        <v>1009</v>
      </c>
      <c r="B1010" s="5" t="n">
        <f aca="false">IF(OR(C1010="სხვა მოდელი წერია",I1010&gt;=განმარტება!$B$4),1,IF(OR(C1010="ცარიელი",I1010&gt;=1),2,IF(H1010&gt;=განმარტება!$B$5,3,4)))</f>
        <v>4</v>
      </c>
      <c r="C1010" s="6" t="s">
        <v>15</v>
      </c>
      <c r="D1010" s="6" t="s">
        <v>5105</v>
      </c>
      <c r="E1010" s="7" t="s">
        <v>5106</v>
      </c>
      <c r="F1010" s="7" t="n">
        <v>2830</v>
      </c>
      <c r="G1010" s="6" t="s">
        <v>238</v>
      </c>
      <c r="H1010" s="8" t="n">
        <v>249</v>
      </c>
      <c r="I1010" s="8" t="n">
        <v>0</v>
      </c>
      <c r="J1010" s="7" t="n">
        <v>0</v>
      </c>
      <c r="K1010" s="9" t="s">
        <v>5107</v>
      </c>
      <c r="L1010" s="6" t="s">
        <v>5108</v>
      </c>
      <c r="M1010" s="6" t="s">
        <v>5109</v>
      </c>
      <c r="N1010" s="10"/>
      <c r="O1010" s="4" t="str">
        <f aca="false">IF(N1010="","",LEN(N1010))</f>
        <v/>
      </c>
    </row>
    <row r="1011" customFormat="false" ht="39" hidden="false" customHeight="true" outlineLevel="0" collapsed="false">
      <c r="A1011" s="4" t="n">
        <v>1010</v>
      </c>
      <c r="B1011" s="5" t="n">
        <f aca="false">IF(OR(C1011="სხვა მოდელი წერია",I1011&gt;=განმარტება!$B$4),1,IF(OR(C1011="ცარიელი",I1011&gt;=1),2,IF(H1011&gt;=განმარტება!$B$5,3,4)))</f>
        <v>4</v>
      </c>
      <c r="C1011" s="6" t="s">
        <v>15</v>
      </c>
      <c r="D1011" s="6" t="s">
        <v>5110</v>
      </c>
      <c r="E1011" s="7" t="s">
        <v>5111</v>
      </c>
      <c r="F1011" s="7" t="n">
        <v>3418</v>
      </c>
      <c r="G1011" s="6" t="s">
        <v>563</v>
      </c>
      <c r="H1011" s="8" t="n">
        <v>249</v>
      </c>
      <c r="I1011" s="8" t="n">
        <v>0</v>
      </c>
      <c r="J1011" s="7" t="n">
        <v>0</v>
      </c>
      <c r="K1011" s="9" t="s">
        <v>5112</v>
      </c>
      <c r="L1011" s="6" t="s">
        <v>5113</v>
      </c>
      <c r="M1011" s="6" t="s">
        <v>5114</v>
      </c>
      <c r="N1011" s="10"/>
      <c r="O1011" s="4" t="str">
        <f aca="false">IF(N1011="","",LEN(N1011))</f>
        <v/>
      </c>
    </row>
    <row r="1012" customFormat="false" ht="39" hidden="false" customHeight="true" outlineLevel="0" collapsed="false">
      <c r="A1012" s="4" t="n">
        <v>1011</v>
      </c>
      <c r="B1012" s="5" t="n">
        <f aca="false">IF(OR(C1012="სხვა მოდელი წერია",I1012&gt;=განმარტება!$B$4),1,IF(OR(C1012="ცარიელი",I1012&gt;=1),2,IF(H1012&gt;=განმარტება!$B$5,3,4)))</f>
        <v>4</v>
      </c>
      <c r="C1012" s="6" t="s">
        <v>316</v>
      </c>
      <c r="D1012" s="6" t="s">
        <v>5115</v>
      </c>
      <c r="E1012" s="7" t="s">
        <v>5116</v>
      </c>
      <c r="F1012" s="7" t="n">
        <v>2014</v>
      </c>
      <c r="G1012" s="6" t="s">
        <v>1994</v>
      </c>
      <c r="H1012" s="8" t="n">
        <v>249</v>
      </c>
      <c r="I1012" s="8" t="n">
        <v>0</v>
      </c>
      <c r="J1012" s="7" t="n">
        <v>0</v>
      </c>
      <c r="K1012" s="9" t="s">
        <v>5117</v>
      </c>
      <c r="L1012" s="6" t="s">
        <v>5118</v>
      </c>
      <c r="M1012" s="6" t="s">
        <v>5119</v>
      </c>
      <c r="N1012" s="10"/>
      <c r="O1012" s="4" t="str">
        <f aca="false">IF(N1012="","",LEN(N1012))</f>
        <v/>
      </c>
    </row>
    <row r="1013" customFormat="false" ht="51.75" hidden="false" customHeight="true" outlineLevel="0" collapsed="false">
      <c r="A1013" s="4" t="n">
        <v>1012</v>
      </c>
      <c r="B1013" s="5" t="n">
        <f aca="false">IF(OR(C1013="სხვა მოდელი წერია",I1013&gt;=განმარტება!$B$4),1,IF(OR(C1013="ცარიელი",I1013&gt;=1),2,IF(H1013&gt;=განმარტება!$B$5,3,4)))</f>
        <v>4</v>
      </c>
      <c r="C1013" s="6" t="s">
        <v>15</v>
      </c>
      <c r="D1013" s="6" t="s">
        <v>5120</v>
      </c>
      <c r="E1013" s="7" t="s">
        <v>5121</v>
      </c>
      <c r="F1013" s="7" t="n">
        <v>3904</v>
      </c>
      <c r="G1013" s="6" t="s">
        <v>693</v>
      </c>
      <c r="H1013" s="8" t="n">
        <v>249</v>
      </c>
      <c r="I1013" s="8" t="n">
        <v>0</v>
      </c>
      <c r="J1013" s="7" t="n">
        <v>0</v>
      </c>
      <c r="K1013" s="9" t="s">
        <v>5122</v>
      </c>
      <c r="L1013" s="6" t="s">
        <v>5123</v>
      </c>
      <c r="M1013" s="6" t="s">
        <v>5124</v>
      </c>
      <c r="N1013" s="10"/>
      <c r="O1013" s="4" t="str">
        <f aca="false">IF(N1013="","",LEN(N1013))</f>
        <v/>
      </c>
    </row>
    <row r="1014" customFormat="false" ht="51.75" hidden="false" customHeight="true" outlineLevel="0" collapsed="false">
      <c r="A1014" s="4" t="n">
        <v>1013</v>
      </c>
      <c r="B1014" s="5" t="n">
        <f aca="false">IF(OR(C1014="სხვა მოდელი წერია",I1014&gt;=განმარტება!$B$4),1,IF(OR(C1014="ცარიელი",I1014&gt;=1),2,IF(H1014&gt;=განმარტება!$B$5,3,4)))</f>
        <v>4</v>
      </c>
      <c r="C1014" s="6" t="s">
        <v>15</v>
      </c>
      <c r="D1014" s="6" t="s">
        <v>5125</v>
      </c>
      <c r="E1014" s="7" t="s">
        <v>5126</v>
      </c>
      <c r="F1014" s="7" t="n">
        <v>3053</v>
      </c>
      <c r="G1014" s="6" t="s">
        <v>30</v>
      </c>
      <c r="H1014" s="8" t="n">
        <v>249</v>
      </c>
      <c r="I1014" s="8" t="n">
        <v>0</v>
      </c>
      <c r="J1014" s="7" t="n">
        <v>0</v>
      </c>
      <c r="K1014" s="9" t="s">
        <v>5127</v>
      </c>
      <c r="L1014" s="6" t="s">
        <v>5128</v>
      </c>
      <c r="M1014" s="6" t="s">
        <v>5129</v>
      </c>
      <c r="N1014" s="10"/>
      <c r="O1014" s="4" t="str">
        <f aca="false">IF(N1014="","",LEN(N1014))</f>
        <v/>
      </c>
    </row>
    <row r="1015" customFormat="false" ht="39" hidden="false" customHeight="true" outlineLevel="0" collapsed="false">
      <c r="A1015" s="4" t="n">
        <v>1014</v>
      </c>
      <c r="B1015" s="5" t="n">
        <f aca="false">IF(OR(C1015="სხვა მოდელი წერია",I1015&gt;=განმარტება!$B$4),1,IF(OR(C1015="ცარიელი",I1015&gt;=1),2,IF(H1015&gt;=განმარტება!$B$5,3,4)))</f>
        <v>4</v>
      </c>
      <c r="C1015" s="6" t="s">
        <v>15</v>
      </c>
      <c r="D1015" s="6" t="s">
        <v>5130</v>
      </c>
      <c r="E1015" s="7" t="s">
        <v>5131</v>
      </c>
      <c r="F1015" s="7" t="n">
        <v>2043</v>
      </c>
      <c r="G1015" s="6" t="s">
        <v>626</v>
      </c>
      <c r="H1015" s="8" t="n">
        <v>246</v>
      </c>
      <c r="I1015" s="8" t="n">
        <v>0</v>
      </c>
      <c r="J1015" s="7" t="n">
        <v>0</v>
      </c>
      <c r="K1015" s="9" t="s">
        <v>5132</v>
      </c>
      <c r="L1015" s="6" t="s">
        <v>5133</v>
      </c>
      <c r="M1015" s="6" t="s">
        <v>5134</v>
      </c>
      <c r="N1015" s="10"/>
      <c r="O1015" s="4" t="str">
        <f aca="false">IF(N1015="","",LEN(N1015))</f>
        <v/>
      </c>
    </row>
    <row r="1016" customFormat="false" ht="39" hidden="false" customHeight="true" outlineLevel="0" collapsed="false">
      <c r="A1016" s="4" t="n">
        <v>1015</v>
      </c>
      <c r="B1016" s="5" t="n">
        <f aca="false">IF(OR(C1016="სხვა მოდელი წერია",I1016&gt;=განმარტება!$B$4),1,IF(OR(C1016="ცარიელი",I1016&gt;=1),2,IF(H1016&gt;=განმარტება!$B$5,3,4)))</f>
        <v>4</v>
      </c>
      <c r="C1016" s="6" t="s">
        <v>15</v>
      </c>
      <c r="D1016" s="6" t="s">
        <v>5135</v>
      </c>
      <c r="E1016" s="7" t="s">
        <v>5136</v>
      </c>
      <c r="F1016" s="7" t="n">
        <v>1881</v>
      </c>
      <c r="G1016" s="6" t="s">
        <v>5061</v>
      </c>
      <c r="H1016" s="8" t="n">
        <v>240</v>
      </c>
      <c r="I1016" s="8" t="n">
        <v>0</v>
      </c>
      <c r="J1016" s="7" t="n">
        <v>0</v>
      </c>
      <c r="K1016" s="9" t="s">
        <v>5137</v>
      </c>
      <c r="L1016" s="6" t="s">
        <v>5138</v>
      </c>
      <c r="M1016" s="6" t="s">
        <v>5139</v>
      </c>
      <c r="N1016" s="10"/>
      <c r="O1016" s="4" t="str">
        <f aca="false">IF(N1016="","",LEN(N1016))</f>
        <v/>
      </c>
    </row>
    <row r="1017" customFormat="false" ht="39" hidden="false" customHeight="true" outlineLevel="0" collapsed="false">
      <c r="A1017" s="4" t="n">
        <v>1016</v>
      </c>
      <c r="B1017" s="5" t="n">
        <f aca="false">IF(OR(C1017="სხვა მოდელი წერია",I1017&gt;=განმარტება!$B$4),1,IF(OR(C1017="ცარიელი",I1017&gt;=1),2,IF(H1017&gt;=განმარტება!$B$5,3,4)))</f>
        <v>4</v>
      </c>
      <c r="C1017" s="6" t="s">
        <v>15</v>
      </c>
      <c r="D1017" s="6" t="s">
        <v>5140</v>
      </c>
      <c r="E1017" s="7" t="s">
        <v>5141</v>
      </c>
      <c r="F1017" s="7" t="n">
        <v>1266</v>
      </c>
      <c r="G1017" s="6" t="s">
        <v>5142</v>
      </c>
      <c r="H1017" s="8" t="n">
        <v>239</v>
      </c>
      <c r="I1017" s="8" t="n">
        <v>0</v>
      </c>
      <c r="J1017" s="7" t="n">
        <v>0</v>
      </c>
      <c r="K1017" s="9" t="s">
        <v>5143</v>
      </c>
      <c r="L1017" s="6" t="s">
        <v>5144</v>
      </c>
      <c r="M1017" s="6" t="s">
        <v>5145</v>
      </c>
      <c r="N1017" s="10"/>
      <c r="O1017" s="4" t="str">
        <f aca="false">IF(N1017="","",LEN(N1017))</f>
        <v/>
      </c>
    </row>
    <row r="1018" customFormat="false" ht="39" hidden="false" customHeight="true" outlineLevel="0" collapsed="false">
      <c r="A1018" s="4" t="n">
        <v>1017</v>
      </c>
      <c r="B1018" s="5" t="n">
        <f aca="false">IF(OR(C1018="სხვა მოდელი წერია",I1018&gt;=განმარტება!$B$4),1,IF(OR(C1018="ცარიელი",I1018&gt;=1),2,IF(H1018&gt;=განმარტება!$B$5,3,4)))</f>
        <v>4</v>
      </c>
      <c r="C1018" s="6" t="s">
        <v>15</v>
      </c>
      <c r="D1018" s="6" t="s">
        <v>5146</v>
      </c>
      <c r="E1018" s="7" t="s">
        <v>5147</v>
      </c>
      <c r="F1018" s="7" t="n">
        <v>3419</v>
      </c>
      <c r="G1018" s="6" t="s">
        <v>279</v>
      </c>
      <c r="H1018" s="8" t="n">
        <v>239</v>
      </c>
      <c r="I1018" s="8" t="n">
        <v>0</v>
      </c>
      <c r="J1018" s="7" t="n">
        <v>0</v>
      </c>
      <c r="K1018" s="9" t="s">
        <v>5148</v>
      </c>
      <c r="L1018" s="6" t="s">
        <v>5149</v>
      </c>
      <c r="M1018" s="6" t="s">
        <v>5150</v>
      </c>
      <c r="N1018" s="10"/>
      <c r="O1018" s="4" t="str">
        <f aca="false">IF(N1018="","",LEN(N1018))</f>
        <v/>
      </c>
    </row>
    <row r="1019" customFormat="false" ht="51.75" hidden="false" customHeight="true" outlineLevel="0" collapsed="false">
      <c r="A1019" s="4" t="n">
        <v>1018</v>
      </c>
      <c r="B1019" s="5" t="n">
        <f aca="false">IF(OR(C1019="სხვა მოდელი წერია",I1019&gt;=განმარტება!$B$4),1,IF(OR(C1019="ცარიელი",I1019&gt;=1),2,IF(H1019&gt;=განმარტება!$B$5,3,4)))</f>
        <v>4</v>
      </c>
      <c r="C1019" s="6" t="s">
        <v>316</v>
      </c>
      <c r="D1019" s="6" t="s">
        <v>5151</v>
      </c>
      <c r="E1019" s="7" t="s">
        <v>5152</v>
      </c>
      <c r="F1019" s="7" t="n">
        <v>3333</v>
      </c>
      <c r="G1019" s="6" t="s">
        <v>24</v>
      </c>
      <c r="H1019" s="8" t="n">
        <v>239</v>
      </c>
      <c r="I1019" s="8" t="n">
        <v>0</v>
      </c>
      <c r="J1019" s="7" t="n">
        <v>0</v>
      </c>
      <c r="K1019" s="9" t="s">
        <v>5153</v>
      </c>
      <c r="L1019" s="6" t="s">
        <v>5154</v>
      </c>
      <c r="M1019" s="6" t="s">
        <v>5155</v>
      </c>
      <c r="N1019" s="10"/>
      <c r="O1019" s="4" t="str">
        <f aca="false">IF(N1019="","",LEN(N1019))</f>
        <v/>
      </c>
    </row>
    <row r="1020" customFormat="false" ht="51.75" hidden="false" customHeight="true" outlineLevel="0" collapsed="false">
      <c r="A1020" s="4" t="n">
        <v>1019</v>
      </c>
      <c r="B1020" s="5" t="n">
        <f aca="false">IF(OR(C1020="სხვა მოდელი წერია",I1020&gt;=განმარტება!$B$4),1,IF(OR(C1020="ცარიელი",I1020&gt;=1),2,IF(H1020&gt;=განმარტება!$B$5,3,4)))</f>
        <v>4</v>
      </c>
      <c r="C1020" s="6" t="s">
        <v>15</v>
      </c>
      <c r="D1020" s="6" t="s">
        <v>5156</v>
      </c>
      <c r="E1020" s="7" t="s">
        <v>5157</v>
      </c>
      <c r="F1020" s="7" t="n">
        <v>689</v>
      </c>
      <c r="G1020" s="6" t="s">
        <v>30</v>
      </c>
      <c r="H1020" s="8" t="n">
        <v>239</v>
      </c>
      <c r="I1020" s="8" t="n">
        <v>0</v>
      </c>
      <c r="J1020" s="7" t="n">
        <v>0</v>
      </c>
      <c r="K1020" s="9" t="s">
        <v>5158</v>
      </c>
      <c r="L1020" s="6" t="s">
        <v>5159</v>
      </c>
      <c r="M1020" s="6" t="s">
        <v>5160</v>
      </c>
      <c r="N1020" s="10"/>
      <c r="O1020" s="4" t="str">
        <f aca="false">IF(N1020="","",LEN(N1020))</f>
        <v/>
      </c>
    </row>
    <row r="1021" customFormat="false" ht="39" hidden="false" customHeight="true" outlineLevel="0" collapsed="false">
      <c r="A1021" s="4" t="n">
        <v>1020</v>
      </c>
      <c r="B1021" s="5" t="n">
        <f aca="false">IF(OR(C1021="სხვა მოდელი წერია",I1021&gt;=განმარტება!$B$4),1,IF(OR(C1021="ცარიელი",I1021&gt;=1),2,IF(H1021&gt;=განმარტება!$B$5,3,4)))</f>
        <v>4</v>
      </c>
      <c r="C1021" s="6" t="s">
        <v>15</v>
      </c>
      <c r="D1021" s="6" t="s">
        <v>5161</v>
      </c>
      <c r="E1021" s="7" t="s">
        <v>5162</v>
      </c>
      <c r="F1021" s="7" t="n">
        <v>2888</v>
      </c>
      <c r="G1021" s="6" t="s">
        <v>238</v>
      </c>
      <c r="H1021" s="8" t="n">
        <v>236</v>
      </c>
      <c r="I1021" s="8" t="n">
        <v>0</v>
      </c>
      <c r="J1021" s="7" t="n">
        <v>0</v>
      </c>
      <c r="K1021" s="9" t="s">
        <v>5163</v>
      </c>
      <c r="L1021" s="6" t="s">
        <v>5164</v>
      </c>
      <c r="M1021" s="6" t="s">
        <v>5165</v>
      </c>
      <c r="N1021" s="10"/>
      <c r="O1021" s="4" t="str">
        <f aca="false">IF(N1021="","",LEN(N1021))</f>
        <v/>
      </c>
    </row>
    <row r="1022" customFormat="false" ht="39" hidden="false" customHeight="true" outlineLevel="0" collapsed="false">
      <c r="A1022" s="4" t="n">
        <v>1021</v>
      </c>
      <c r="B1022" s="5" t="n">
        <f aca="false">IF(OR(C1022="სხვა მოდელი წერია",I1022&gt;=განმარტება!$B$4),1,IF(OR(C1022="ცარიელი",I1022&gt;=1),2,IF(H1022&gt;=განმარტება!$B$5,3,4)))</f>
        <v>4</v>
      </c>
      <c r="C1022" s="6" t="s">
        <v>15</v>
      </c>
      <c r="D1022" s="6" t="s">
        <v>5166</v>
      </c>
      <c r="E1022" s="7" t="s">
        <v>5167</v>
      </c>
      <c r="F1022" s="7" t="n">
        <v>3080</v>
      </c>
      <c r="G1022" s="6" t="s">
        <v>296</v>
      </c>
      <c r="H1022" s="8" t="n">
        <v>233</v>
      </c>
      <c r="I1022" s="8" t="n">
        <v>0</v>
      </c>
      <c r="J1022" s="7" t="n">
        <v>0</v>
      </c>
      <c r="K1022" s="9" t="s">
        <v>5168</v>
      </c>
      <c r="L1022" s="6" t="s">
        <v>5169</v>
      </c>
      <c r="M1022" s="6" t="s">
        <v>5170</v>
      </c>
      <c r="N1022" s="10"/>
      <c r="O1022" s="4" t="str">
        <f aca="false">IF(N1022="","",LEN(N1022))</f>
        <v/>
      </c>
    </row>
    <row r="1023" customFormat="false" ht="64.5" hidden="false" customHeight="true" outlineLevel="0" collapsed="false">
      <c r="A1023" s="4" t="n">
        <v>1022</v>
      </c>
      <c r="B1023" s="5" t="n">
        <f aca="false">IF(OR(C1023="სხვა მოდელი წერია",I1023&gt;=განმარტება!$B$4),1,IF(OR(C1023="ცარიელი",I1023&gt;=1),2,IF(H1023&gt;=განმარტება!$B$5,3,4)))</f>
        <v>4</v>
      </c>
      <c r="C1023" s="6" t="s">
        <v>15</v>
      </c>
      <c r="D1023" s="6" t="s">
        <v>5171</v>
      </c>
      <c r="E1023" s="7" t="s">
        <v>5172</v>
      </c>
      <c r="F1023" s="7" t="n">
        <v>1735</v>
      </c>
      <c r="G1023" s="6" t="s">
        <v>714</v>
      </c>
      <c r="H1023" s="8" t="n">
        <v>231</v>
      </c>
      <c r="I1023" s="8" t="n">
        <v>0</v>
      </c>
      <c r="J1023" s="7" t="n">
        <v>0</v>
      </c>
      <c r="K1023" s="9" t="s">
        <v>5173</v>
      </c>
      <c r="L1023" s="6" t="s">
        <v>5174</v>
      </c>
      <c r="M1023" s="6" t="s">
        <v>5175</v>
      </c>
      <c r="N1023" s="10"/>
      <c r="O1023" s="4" t="str">
        <f aca="false">IF(N1023="","",LEN(N1023))</f>
        <v/>
      </c>
    </row>
    <row r="1024" customFormat="false" ht="39" hidden="false" customHeight="true" outlineLevel="0" collapsed="false">
      <c r="A1024" s="4" t="n">
        <v>1023</v>
      </c>
      <c r="B1024" s="5" t="n">
        <f aca="false">IF(OR(C1024="სხვა მოდელი წერია",I1024&gt;=განმარტება!$B$4),1,IF(OR(C1024="ცარიელი",I1024&gt;=1),2,IF(H1024&gt;=განმარტება!$B$5,3,4)))</f>
        <v>4</v>
      </c>
      <c r="C1024" s="6" t="s">
        <v>15</v>
      </c>
      <c r="D1024" s="6" t="s">
        <v>5176</v>
      </c>
      <c r="E1024" s="7" t="s">
        <v>5177</v>
      </c>
      <c r="F1024" s="7" t="n">
        <v>3975</v>
      </c>
      <c r="G1024" s="6" t="s">
        <v>42</v>
      </c>
      <c r="H1024" s="8" t="n">
        <v>229</v>
      </c>
      <c r="I1024" s="8" t="n">
        <v>0</v>
      </c>
      <c r="J1024" s="7" t="n">
        <v>0</v>
      </c>
      <c r="K1024" s="9" t="s">
        <v>5178</v>
      </c>
      <c r="L1024" s="6" t="s">
        <v>5179</v>
      </c>
      <c r="M1024" s="6" t="s">
        <v>5180</v>
      </c>
      <c r="N1024" s="10"/>
      <c r="O1024" s="4" t="str">
        <f aca="false">IF(N1024="","",LEN(N1024))</f>
        <v/>
      </c>
    </row>
    <row r="1025" customFormat="false" ht="51.75" hidden="false" customHeight="true" outlineLevel="0" collapsed="false">
      <c r="A1025" s="4" t="n">
        <v>1024</v>
      </c>
      <c r="B1025" s="5" t="n">
        <f aca="false">IF(OR(C1025="სხვა მოდელი წერია",I1025&gt;=განმარტება!$B$4),1,IF(OR(C1025="ცარიელი",I1025&gt;=1),2,IF(H1025&gt;=განმარტება!$B$5,3,4)))</f>
        <v>4</v>
      </c>
      <c r="C1025" s="6" t="s">
        <v>15</v>
      </c>
      <c r="D1025" s="6" t="s">
        <v>5181</v>
      </c>
      <c r="E1025" s="7" t="s">
        <v>5182</v>
      </c>
      <c r="F1025" s="7" t="n">
        <v>1012</v>
      </c>
      <c r="G1025" s="6" t="s">
        <v>693</v>
      </c>
      <c r="H1025" s="8" t="n">
        <v>229</v>
      </c>
      <c r="I1025" s="8" t="n">
        <v>0</v>
      </c>
      <c r="J1025" s="7" t="n">
        <v>0</v>
      </c>
      <c r="K1025" s="9" t="s">
        <v>5183</v>
      </c>
      <c r="L1025" s="6" t="s">
        <v>5184</v>
      </c>
      <c r="M1025" s="6" t="s">
        <v>5185</v>
      </c>
      <c r="N1025" s="10"/>
      <c r="O1025" s="4" t="str">
        <f aca="false">IF(N1025="","",LEN(N1025))</f>
        <v/>
      </c>
    </row>
    <row r="1026" customFormat="false" ht="51.75" hidden="false" customHeight="true" outlineLevel="0" collapsed="false">
      <c r="A1026" s="4" t="n">
        <v>1025</v>
      </c>
      <c r="B1026" s="5" t="n">
        <f aca="false">IF(OR(C1026="სხვა მოდელი წერია",I1026&gt;=განმარტება!$B$4),1,IF(OR(C1026="ცარიელი",I1026&gt;=1),2,IF(H1026&gt;=განმარტება!$B$5,3,4)))</f>
        <v>4</v>
      </c>
      <c r="C1026" s="6" t="s">
        <v>15</v>
      </c>
      <c r="D1026" s="6" t="s">
        <v>5186</v>
      </c>
      <c r="E1026" s="7" t="s">
        <v>5187</v>
      </c>
      <c r="F1026" s="7" t="n">
        <v>1599</v>
      </c>
      <c r="G1026" s="6" t="s">
        <v>30</v>
      </c>
      <c r="H1026" s="8" t="n">
        <v>229</v>
      </c>
      <c r="I1026" s="8" t="n">
        <v>0</v>
      </c>
      <c r="J1026" s="7" t="n">
        <v>0</v>
      </c>
      <c r="K1026" s="9" t="s">
        <v>5188</v>
      </c>
      <c r="L1026" s="6" t="s">
        <v>5189</v>
      </c>
      <c r="M1026" s="6" t="s">
        <v>5190</v>
      </c>
      <c r="N1026" s="10"/>
      <c r="O1026" s="4" t="str">
        <f aca="false">IF(N1026="","",LEN(N1026))</f>
        <v/>
      </c>
    </row>
    <row r="1027" customFormat="false" ht="51.75" hidden="false" customHeight="true" outlineLevel="0" collapsed="false">
      <c r="A1027" s="4" t="n">
        <v>1026</v>
      </c>
      <c r="B1027" s="5" t="n">
        <f aca="false">IF(OR(C1027="სხვა მოდელი წერია",I1027&gt;=განმარტება!$B$4),1,IF(OR(C1027="ცარიელი",I1027&gt;=1),2,IF(H1027&gt;=განმარტება!$B$5,3,4)))</f>
        <v>4</v>
      </c>
      <c r="C1027" s="6" t="s">
        <v>15</v>
      </c>
      <c r="D1027" s="6" t="s">
        <v>5191</v>
      </c>
      <c r="E1027" s="7" t="s">
        <v>5192</v>
      </c>
      <c r="F1027" s="7" t="n">
        <v>1487</v>
      </c>
      <c r="G1027" s="6" t="s">
        <v>30</v>
      </c>
      <c r="H1027" s="8" t="n">
        <v>229</v>
      </c>
      <c r="I1027" s="8" t="n">
        <v>0</v>
      </c>
      <c r="J1027" s="7" t="n">
        <v>0</v>
      </c>
      <c r="K1027" s="9" t="s">
        <v>5193</v>
      </c>
      <c r="L1027" s="6" t="s">
        <v>5194</v>
      </c>
      <c r="M1027" s="6" t="s">
        <v>5195</v>
      </c>
      <c r="N1027" s="10"/>
      <c r="O1027" s="4" t="str">
        <f aca="false">IF(N1027="","",LEN(N1027))</f>
        <v/>
      </c>
    </row>
    <row r="1028" customFormat="false" ht="39" hidden="false" customHeight="true" outlineLevel="0" collapsed="false">
      <c r="A1028" s="4" t="n">
        <v>1027</v>
      </c>
      <c r="B1028" s="5" t="n">
        <f aca="false">IF(OR(C1028="სხვა მოდელი წერია",I1028&gt;=განმარტება!$B$4),1,IF(OR(C1028="ცარიელი",I1028&gt;=1),2,IF(H1028&gt;=განმარტება!$B$5,3,4)))</f>
        <v>4</v>
      </c>
      <c r="C1028" s="6" t="s">
        <v>15</v>
      </c>
      <c r="D1028" s="6" t="s">
        <v>5196</v>
      </c>
      <c r="E1028" s="7" t="s">
        <v>5197</v>
      </c>
      <c r="F1028" s="7" t="n">
        <v>3784</v>
      </c>
      <c r="G1028" s="6" t="s">
        <v>5198</v>
      </c>
      <c r="H1028" s="8" t="n">
        <v>229</v>
      </c>
      <c r="I1028" s="8" t="n">
        <v>0</v>
      </c>
      <c r="J1028" s="7" t="n">
        <v>0</v>
      </c>
      <c r="K1028" s="9" t="s">
        <v>5199</v>
      </c>
      <c r="L1028" s="6" t="s">
        <v>5200</v>
      </c>
      <c r="M1028" s="6" t="s">
        <v>5201</v>
      </c>
      <c r="N1028" s="10"/>
      <c r="O1028" s="4" t="str">
        <f aca="false">IF(N1028="","",LEN(N1028))</f>
        <v/>
      </c>
    </row>
    <row r="1029" customFormat="false" ht="64.5" hidden="false" customHeight="true" outlineLevel="0" collapsed="false">
      <c r="A1029" s="4" t="n">
        <v>1028</v>
      </c>
      <c r="B1029" s="5" t="n">
        <f aca="false">IF(OR(C1029="სხვა მოდელი წერია",I1029&gt;=განმარტება!$B$4),1,IF(OR(C1029="ცარიელი",I1029&gt;=1),2,IF(H1029&gt;=განმარტება!$B$5,3,4)))</f>
        <v>4</v>
      </c>
      <c r="C1029" s="6" t="s">
        <v>15</v>
      </c>
      <c r="D1029" s="6" t="s">
        <v>5202</v>
      </c>
      <c r="E1029" s="7" t="s">
        <v>5203</v>
      </c>
      <c r="F1029" s="7" t="n">
        <v>2499</v>
      </c>
      <c r="G1029" s="6" t="s">
        <v>188</v>
      </c>
      <c r="H1029" s="8" t="n">
        <v>229</v>
      </c>
      <c r="I1029" s="8" t="n">
        <v>0</v>
      </c>
      <c r="J1029" s="7" t="n">
        <v>0</v>
      </c>
      <c r="K1029" s="9" t="s">
        <v>5204</v>
      </c>
      <c r="L1029" s="6" t="s">
        <v>5205</v>
      </c>
      <c r="M1029" s="6" t="s">
        <v>5206</v>
      </c>
      <c r="N1029" s="10"/>
      <c r="O1029" s="4" t="str">
        <f aca="false">IF(N1029="","",LEN(N1029))</f>
        <v/>
      </c>
    </row>
    <row r="1030" customFormat="false" ht="51.75" hidden="false" customHeight="true" outlineLevel="0" collapsed="false">
      <c r="A1030" s="4" t="n">
        <v>1029</v>
      </c>
      <c r="B1030" s="5" t="n">
        <f aca="false">IF(OR(C1030="სხვა მოდელი წერია",I1030&gt;=განმარტება!$B$4),1,IF(OR(C1030="ცარიელი",I1030&gt;=1),2,IF(H1030&gt;=განმარტება!$B$5,3,4)))</f>
        <v>4</v>
      </c>
      <c r="C1030" s="6" t="s">
        <v>15</v>
      </c>
      <c r="D1030" s="6" t="s">
        <v>5207</v>
      </c>
      <c r="E1030" s="7" t="s">
        <v>5208</v>
      </c>
      <c r="F1030" s="7" t="n">
        <v>9187</v>
      </c>
      <c r="G1030" s="6" t="s">
        <v>837</v>
      </c>
      <c r="H1030" s="8" t="n">
        <v>225</v>
      </c>
      <c r="I1030" s="8" t="n">
        <v>0</v>
      </c>
      <c r="J1030" s="7" t="n">
        <v>0</v>
      </c>
      <c r="K1030" s="9" t="s">
        <v>5209</v>
      </c>
      <c r="L1030" s="6" t="s">
        <v>5210</v>
      </c>
      <c r="M1030" s="6" t="s">
        <v>5211</v>
      </c>
      <c r="N1030" s="10"/>
      <c r="O1030" s="4" t="str">
        <f aca="false">IF(N1030="","",LEN(N1030))</f>
        <v/>
      </c>
    </row>
    <row r="1031" customFormat="false" ht="51.75" hidden="false" customHeight="true" outlineLevel="0" collapsed="false">
      <c r="A1031" s="4" t="n">
        <v>1030</v>
      </c>
      <c r="B1031" s="5" t="n">
        <f aca="false">IF(OR(C1031="სხვა მოდელი წერია",I1031&gt;=განმარტება!$B$4),1,IF(OR(C1031="ცარიელი",I1031&gt;=1),2,IF(H1031&gt;=განმარტება!$B$5,3,4)))</f>
        <v>4</v>
      </c>
      <c r="C1031" s="6" t="s">
        <v>15</v>
      </c>
      <c r="D1031" s="6" t="s">
        <v>5212</v>
      </c>
      <c r="E1031" s="7" t="s">
        <v>5213</v>
      </c>
      <c r="F1031" s="7" t="n">
        <v>2459</v>
      </c>
      <c r="G1031" s="6" t="s">
        <v>693</v>
      </c>
      <c r="H1031" s="8" t="n">
        <v>224</v>
      </c>
      <c r="I1031" s="8" t="n">
        <v>0</v>
      </c>
      <c r="J1031" s="7" t="n">
        <v>0</v>
      </c>
      <c r="K1031" s="9" t="s">
        <v>5214</v>
      </c>
      <c r="L1031" s="6" t="s">
        <v>5215</v>
      </c>
      <c r="M1031" s="6" t="s">
        <v>5216</v>
      </c>
      <c r="N1031" s="10"/>
      <c r="O1031" s="4" t="str">
        <f aca="false">IF(N1031="","",LEN(N1031))</f>
        <v/>
      </c>
    </row>
    <row r="1032" customFormat="false" ht="39" hidden="false" customHeight="true" outlineLevel="0" collapsed="false">
      <c r="A1032" s="4" t="n">
        <v>1031</v>
      </c>
      <c r="B1032" s="5" t="n">
        <f aca="false">IF(OR(C1032="სხვა მოდელი წერია",I1032&gt;=განმარტება!$B$4),1,IF(OR(C1032="ცარიელი",I1032&gt;=1),2,IF(H1032&gt;=განმარტება!$B$5,3,4)))</f>
        <v>4</v>
      </c>
      <c r="C1032" s="6" t="s">
        <v>15</v>
      </c>
      <c r="D1032" s="6" t="s">
        <v>5217</v>
      </c>
      <c r="E1032" s="7" t="s">
        <v>5218</v>
      </c>
      <c r="F1032" s="7" t="n">
        <v>1993</v>
      </c>
      <c r="G1032" s="6" t="s">
        <v>1994</v>
      </c>
      <c r="H1032" s="8" t="n">
        <v>220</v>
      </c>
      <c r="I1032" s="8" t="n">
        <v>0</v>
      </c>
      <c r="J1032" s="7" t="n">
        <v>0</v>
      </c>
      <c r="K1032" s="9" t="s">
        <v>5219</v>
      </c>
      <c r="L1032" s="6" t="s">
        <v>5220</v>
      </c>
      <c r="M1032" s="6" t="s">
        <v>5221</v>
      </c>
      <c r="N1032" s="10"/>
      <c r="O1032" s="4" t="str">
        <f aca="false">IF(N1032="","",LEN(N1032))</f>
        <v/>
      </c>
    </row>
    <row r="1033" customFormat="false" ht="39" hidden="false" customHeight="true" outlineLevel="0" collapsed="false">
      <c r="A1033" s="4" t="n">
        <v>1032</v>
      </c>
      <c r="B1033" s="5" t="n">
        <f aca="false">IF(OR(C1033="სხვა მოდელი წერია",I1033&gt;=განმარტება!$B$4),1,IF(OR(C1033="ცარიელი",I1033&gt;=1),2,IF(H1033&gt;=განმარტება!$B$5,3,4)))</f>
        <v>4</v>
      </c>
      <c r="C1033" s="6" t="s">
        <v>15</v>
      </c>
      <c r="D1033" s="6" t="s">
        <v>5222</v>
      </c>
      <c r="E1033" s="7" t="s">
        <v>5223</v>
      </c>
      <c r="F1033" s="7" t="n">
        <v>2015</v>
      </c>
      <c r="G1033" s="6" t="s">
        <v>1994</v>
      </c>
      <c r="H1033" s="8" t="n">
        <v>219</v>
      </c>
      <c r="I1033" s="8" t="n">
        <v>0</v>
      </c>
      <c r="J1033" s="7" t="n">
        <v>0</v>
      </c>
      <c r="K1033" s="9" t="s">
        <v>5224</v>
      </c>
      <c r="L1033" s="6" t="s">
        <v>5225</v>
      </c>
      <c r="M1033" s="6" t="s">
        <v>5226</v>
      </c>
      <c r="N1033" s="10"/>
      <c r="O1033" s="4" t="str">
        <f aca="false">IF(N1033="","",LEN(N1033))</f>
        <v/>
      </c>
    </row>
    <row r="1034" customFormat="false" ht="39" hidden="false" customHeight="true" outlineLevel="0" collapsed="false">
      <c r="A1034" s="4" t="n">
        <v>1033</v>
      </c>
      <c r="B1034" s="5" t="n">
        <f aca="false">IF(OR(C1034="სხვა მოდელი წერია",I1034&gt;=განმარტება!$B$4),1,IF(OR(C1034="ცარიელი",I1034&gt;=1),2,IF(H1034&gt;=განმარტება!$B$5,3,4)))</f>
        <v>4</v>
      </c>
      <c r="C1034" s="6" t="s">
        <v>316</v>
      </c>
      <c r="D1034" s="6" t="s">
        <v>5227</v>
      </c>
      <c r="E1034" s="7" t="s">
        <v>5228</v>
      </c>
      <c r="F1034" s="7" t="n">
        <v>2345</v>
      </c>
      <c r="G1034" s="6" t="s">
        <v>3212</v>
      </c>
      <c r="H1034" s="8" t="n">
        <v>213</v>
      </c>
      <c r="I1034" s="8" t="n">
        <v>0</v>
      </c>
      <c r="J1034" s="7" t="n">
        <v>0</v>
      </c>
      <c r="K1034" s="9" t="s">
        <v>5229</v>
      </c>
      <c r="L1034" s="6" t="s">
        <v>5230</v>
      </c>
      <c r="M1034" s="6" t="s">
        <v>5231</v>
      </c>
      <c r="N1034" s="10"/>
      <c r="O1034" s="4" t="str">
        <f aca="false">IF(N1034="","",LEN(N1034))</f>
        <v/>
      </c>
    </row>
    <row r="1035" customFormat="false" ht="39" hidden="false" customHeight="true" outlineLevel="0" collapsed="false">
      <c r="A1035" s="4" t="n">
        <v>1034</v>
      </c>
      <c r="B1035" s="5" t="n">
        <f aca="false">IF(OR(C1035="სხვა მოდელი წერია",I1035&gt;=განმარტება!$B$4),1,IF(OR(C1035="ცარიელი",I1035&gt;=1),2,IF(H1035&gt;=განმარტება!$B$5,3,4)))</f>
        <v>4</v>
      </c>
      <c r="C1035" s="6" t="s">
        <v>15</v>
      </c>
      <c r="D1035" s="6" t="s">
        <v>5232</v>
      </c>
      <c r="E1035" s="7" t="s">
        <v>5233</v>
      </c>
      <c r="F1035" s="7" t="n">
        <v>1569</v>
      </c>
      <c r="G1035" s="6" t="s">
        <v>1994</v>
      </c>
      <c r="H1035" s="8" t="n">
        <v>209</v>
      </c>
      <c r="I1035" s="8" t="n">
        <v>0</v>
      </c>
      <c r="J1035" s="7" t="n">
        <v>0</v>
      </c>
      <c r="K1035" s="9" t="s">
        <v>5234</v>
      </c>
      <c r="L1035" s="6" t="s">
        <v>5235</v>
      </c>
      <c r="M1035" s="6" t="s">
        <v>5236</v>
      </c>
      <c r="N1035" s="10"/>
      <c r="O1035" s="4" t="str">
        <f aca="false">IF(N1035="","",LEN(N1035))</f>
        <v/>
      </c>
    </row>
    <row r="1036" customFormat="false" ht="39" hidden="false" customHeight="true" outlineLevel="0" collapsed="false">
      <c r="A1036" s="4" t="n">
        <v>1035</v>
      </c>
      <c r="B1036" s="5" t="n">
        <f aca="false">IF(OR(C1036="სხვა მოდელი წერია",I1036&gt;=განმარტება!$B$4),1,IF(OR(C1036="ცარიელი",I1036&gt;=1),2,IF(H1036&gt;=განმარტება!$B$5,3,4)))</f>
        <v>4</v>
      </c>
      <c r="C1036" s="6" t="s">
        <v>15</v>
      </c>
      <c r="D1036" s="6" t="s">
        <v>5237</v>
      </c>
      <c r="E1036" s="7" t="s">
        <v>5238</v>
      </c>
      <c r="F1036" s="7" t="n">
        <v>1633</v>
      </c>
      <c r="G1036" s="6" t="s">
        <v>285</v>
      </c>
      <c r="H1036" s="8" t="n">
        <v>209</v>
      </c>
      <c r="I1036" s="8" t="n">
        <v>0</v>
      </c>
      <c r="J1036" s="7" t="n">
        <v>0</v>
      </c>
      <c r="K1036" s="9" t="s">
        <v>5239</v>
      </c>
      <c r="L1036" s="6" t="s">
        <v>5240</v>
      </c>
      <c r="M1036" s="6" t="s">
        <v>5241</v>
      </c>
      <c r="N1036" s="10"/>
      <c r="O1036" s="4" t="str">
        <f aca="false">IF(N1036="","",LEN(N1036))</f>
        <v/>
      </c>
    </row>
    <row r="1037" customFormat="false" ht="39" hidden="false" customHeight="true" outlineLevel="0" collapsed="false">
      <c r="A1037" s="4" t="n">
        <v>1036</v>
      </c>
      <c r="B1037" s="5" t="n">
        <f aca="false">IF(OR(C1037="სხვა მოდელი წერია",I1037&gt;=განმარტება!$B$4),1,IF(OR(C1037="ცარიელი",I1037&gt;=1),2,IF(H1037&gt;=განმარტება!$B$5,3,4)))</f>
        <v>4</v>
      </c>
      <c r="C1037" s="6" t="s">
        <v>15</v>
      </c>
      <c r="D1037" s="6" t="s">
        <v>5242</v>
      </c>
      <c r="E1037" s="7" t="s">
        <v>5243</v>
      </c>
      <c r="F1037" s="7" t="n">
        <v>2890</v>
      </c>
      <c r="G1037" s="6" t="s">
        <v>238</v>
      </c>
      <c r="H1037" s="8" t="n">
        <v>209</v>
      </c>
      <c r="I1037" s="8" t="n">
        <v>0</v>
      </c>
      <c r="J1037" s="7" t="n">
        <v>0</v>
      </c>
      <c r="K1037" s="9" t="s">
        <v>5244</v>
      </c>
      <c r="L1037" s="6" t="s">
        <v>5245</v>
      </c>
      <c r="M1037" s="6" t="s">
        <v>5246</v>
      </c>
      <c r="N1037" s="10"/>
      <c r="O1037" s="4" t="str">
        <f aca="false">IF(N1037="","",LEN(N1037))</f>
        <v/>
      </c>
    </row>
    <row r="1038" customFormat="false" ht="39" hidden="false" customHeight="true" outlineLevel="0" collapsed="false">
      <c r="A1038" s="4" t="n">
        <v>1037</v>
      </c>
      <c r="B1038" s="5" t="n">
        <f aca="false">IF(OR(C1038="სხვა მოდელი წერია",I1038&gt;=განმარტება!$B$4),1,IF(OR(C1038="ცარიელი",I1038&gt;=1),2,IF(H1038&gt;=განმარტება!$B$5,3,4)))</f>
        <v>4</v>
      </c>
      <c r="C1038" s="6" t="s">
        <v>316</v>
      </c>
      <c r="D1038" s="6" t="s">
        <v>5247</v>
      </c>
      <c r="E1038" s="7" t="s">
        <v>5248</v>
      </c>
      <c r="F1038" s="7" t="n">
        <v>2038</v>
      </c>
      <c r="G1038" s="6" t="s">
        <v>1994</v>
      </c>
      <c r="H1038" s="8" t="n">
        <v>209</v>
      </c>
      <c r="I1038" s="8" t="n">
        <v>0</v>
      </c>
      <c r="J1038" s="7" t="n">
        <v>0</v>
      </c>
      <c r="K1038" s="9" t="s">
        <v>5249</v>
      </c>
      <c r="L1038" s="6" t="s">
        <v>5250</v>
      </c>
      <c r="M1038" s="6" t="s">
        <v>5251</v>
      </c>
      <c r="N1038" s="10"/>
      <c r="O1038" s="4" t="str">
        <f aca="false">IF(N1038="","",LEN(N1038))</f>
        <v/>
      </c>
    </row>
    <row r="1039" customFormat="false" ht="39" hidden="false" customHeight="true" outlineLevel="0" collapsed="false">
      <c r="A1039" s="4" t="n">
        <v>1038</v>
      </c>
      <c r="B1039" s="5" t="n">
        <f aca="false">IF(OR(C1039="სხვა მოდელი წერია",I1039&gt;=განმარტება!$B$4),1,IF(OR(C1039="ცარიელი",I1039&gt;=1),2,IF(H1039&gt;=განმარტება!$B$5,3,4)))</f>
        <v>4</v>
      </c>
      <c r="C1039" s="6" t="s">
        <v>316</v>
      </c>
      <c r="D1039" s="6" t="s">
        <v>5252</v>
      </c>
      <c r="E1039" s="7" t="s">
        <v>5253</v>
      </c>
      <c r="F1039" s="7" t="n">
        <v>2017</v>
      </c>
      <c r="G1039" s="6" t="s">
        <v>1994</v>
      </c>
      <c r="H1039" s="8" t="n">
        <v>209</v>
      </c>
      <c r="I1039" s="8" t="n">
        <v>0</v>
      </c>
      <c r="J1039" s="7" t="n">
        <v>0</v>
      </c>
      <c r="K1039" s="9" t="s">
        <v>5254</v>
      </c>
      <c r="L1039" s="6" t="s">
        <v>5255</v>
      </c>
      <c r="M1039" s="6" t="s">
        <v>5256</v>
      </c>
      <c r="N1039" s="10"/>
      <c r="O1039" s="4" t="str">
        <f aca="false">IF(N1039="","",LEN(N1039))</f>
        <v/>
      </c>
    </row>
    <row r="1040" customFormat="false" ht="39" hidden="false" customHeight="true" outlineLevel="0" collapsed="false">
      <c r="A1040" s="4" t="n">
        <v>1039</v>
      </c>
      <c r="B1040" s="5" t="n">
        <f aca="false">IF(OR(C1040="სხვა მოდელი წერია",I1040&gt;=განმარტება!$B$4),1,IF(OR(C1040="ცარიელი",I1040&gt;=1),2,IF(H1040&gt;=განმარტება!$B$5,3,4)))</f>
        <v>4</v>
      </c>
      <c r="C1040" s="6" t="s">
        <v>15</v>
      </c>
      <c r="D1040" s="6" t="s">
        <v>5257</v>
      </c>
      <c r="E1040" s="7" t="s">
        <v>5258</v>
      </c>
      <c r="F1040" s="7" t="n">
        <v>3076</v>
      </c>
      <c r="G1040" s="6" t="s">
        <v>296</v>
      </c>
      <c r="H1040" s="8" t="n">
        <v>209</v>
      </c>
      <c r="I1040" s="8" t="n">
        <v>0</v>
      </c>
      <c r="J1040" s="7" t="n">
        <v>0</v>
      </c>
      <c r="K1040" s="9" t="s">
        <v>5259</v>
      </c>
      <c r="L1040" s="6" t="s">
        <v>5260</v>
      </c>
      <c r="M1040" s="6" t="s">
        <v>5261</v>
      </c>
      <c r="N1040" s="10"/>
      <c r="O1040" s="4" t="str">
        <f aca="false">IF(N1040="","",LEN(N1040))</f>
        <v/>
      </c>
    </row>
    <row r="1041" customFormat="false" ht="39" hidden="false" customHeight="true" outlineLevel="0" collapsed="false">
      <c r="A1041" s="4" t="n">
        <v>1040</v>
      </c>
      <c r="B1041" s="5" t="n">
        <f aca="false">IF(OR(C1041="სხვა მოდელი წერია",I1041&gt;=განმარტება!$B$4),1,IF(OR(C1041="ცარიელი",I1041&gt;=1),2,IF(H1041&gt;=განმარტება!$B$5,3,4)))</f>
        <v>4</v>
      </c>
      <c r="C1041" s="6" t="s">
        <v>15</v>
      </c>
      <c r="D1041" s="6" t="s">
        <v>5262</v>
      </c>
      <c r="E1041" s="7" t="s">
        <v>5263</v>
      </c>
      <c r="F1041" s="7" t="n">
        <v>3157</v>
      </c>
      <c r="G1041" s="6" t="s">
        <v>296</v>
      </c>
      <c r="H1041" s="8" t="n">
        <v>209</v>
      </c>
      <c r="I1041" s="8" t="n">
        <v>0</v>
      </c>
      <c r="J1041" s="7" t="n">
        <v>0</v>
      </c>
      <c r="K1041" s="9" t="s">
        <v>5264</v>
      </c>
      <c r="L1041" s="6" t="s">
        <v>5265</v>
      </c>
      <c r="M1041" s="6" t="s">
        <v>5266</v>
      </c>
      <c r="N1041" s="10"/>
      <c r="O1041" s="4" t="str">
        <f aca="false">IF(N1041="","",LEN(N1041))</f>
        <v/>
      </c>
    </row>
    <row r="1042" customFormat="false" ht="39" hidden="false" customHeight="true" outlineLevel="0" collapsed="false">
      <c r="A1042" s="4" t="n">
        <v>1041</v>
      </c>
      <c r="B1042" s="5" t="n">
        <f aca="false">IF(OR(C1042="სხვა მოდელი წერია",I1042&gt;=განმარტება!$B$4),1,IF(OR(C1042="ცარიელი",I1042&gt;=1),2,IF(H1042&gt;=განმარტება!$B$5,3,4)))</f>
        <v>4</v>
      </c>
      <c r="C1042" s="6" t="s">
        <v>15</v>
      </c>
      <c r="D1042" s="6" t="s">
        <v>5267</v>
      </c>
      <c r="E1042" s="7" t="s">
        <v>5268</v>
      </c>
      <c r="F1042" s="7" t="n">
        <v>3063</v>
      </c>
      <c r="G1042" s="6" t="s">
        <v>3833</v>
      </c>
      <c r="H1042" s="8" t="n">
        <v>209</v>
      </c>
      <c r="I1042" s="8" t="n">
        <v>0</v>
      </c>
      <c r="J1042" s="7" t="n">
        <v>0</v>
      </c>
      <c r="K1042" s="9" t="s">
        <v>5269</v>
      </c>
      <c r="L1042" s="6" t="s">
        <v>5270</v>
      </c>
      <c r="M1042" s="6" t="s">
        <v>5271</v>
      </c>
      <c r="N1042" s="10"/>
      <c r="O1042" s="4" t="str">
        <f aca="false">IF(N1042="","",LEN(N1042))</f>
        <v/>
      </c>
    </row>
    <row r="1043" customFormat="false" ht="39" hidden="false" customHeight="true" outlineLevel="0" collapsed="false">
      <c r="A1043" s="4" t="n">
        <v>1042</v>
      </c>
      <c r="B1043" s="5" t="n">
        <f aca="false">IF(OR(C1043="სხვა მოდელი წერია",I1043&gt;=განმარტება!$B$4),1,IF(OR(C1043="ცარიელი",I1043&gt;=1),2,IF(H1043&gt;=განმარტება!$B$5,3,4)))</f>
        <v>4</v>
      </c>
      <c r="C1043" s="6" t="s">
        <v>316</v>
      </c>
      <c r="D1043" s="6" t="s">
        <v>5272</v>
      </c>
      <c r="E1043" s="7" t="s">
        <v>5273</v>
      </c>
      <c r="F1043" s="7" t="n">
        <v>669</v>
      </c>
      <c r="G1043" s="6" t="s">
        <v>3212</v>
      </c>
      <c r="H1043" s="8" t="n">
        <v>206</v>
      </c>
      <c r="I1043" s="8" t="n">
        <v>0</v>
      </c>
      <c r="J1043" s="7" t="n">
        <v>0</v>
      </c>
      <c r="K1043" s="9" t="s">
        <v>5274</v>
      </c>
      <c r="L1043" s="6" t="s">
        <v>5275</v>
      </c>
      <c r="M1043" s="6" t="s">
        <v>5276</v>
      </c>
      <c r="N1043" s="10"/>
      <c r="O1043" s="4" t="str">
        <f aca="false">IF(N1043="","",LEN(N1043))</f>
        <v/>
      </c>
    </row>
    <row r="1044" customFormat="false" ht="39" hidden="false" customHeight="true" outlineLevel="0" collapsed="false">
      <c r="A1044" s="4" t="n">
        <v>1043</v>
      </c>
      <c r="B1044" s="5" t="n">
        <f aca="false">IF(OR(C1044="სხვა მოდელი წერია",I1044&gt;=განმარტება!$B$4),1,IF(OR(C1044="ცარიელი",I1044&gt;=1),2,IF(H1044&gt;=განმარტება!$B$5,3,4)))</f>
        <v>4</v>
      </c>
      <c r="C1044" s="6" t="s">
        <v>15</v>
      </c>
      <c r="D1044" s="6" t="s">
        <v>5277</v>
      </c>
      <c r="E1044" s="7" t="s">
        <v>5278</v>
      </c>
      <c r="F1044" s="7" t="n">
        <v>2949</v>
      </c>
      <c r="G1044" s="6" t="s">
        <v>42</v>
      </c>
      <c r="H1044" s="8" t="n">
        <v>199</v>
      </c>
      <c r="I1044" s="8" t="n">
        <v>0</v>
      </c>
      <c r="J1044" s="7" t="n">
        <v>0</v>
      </c>
      <c r="K1044" s="9" t="s">
        <v>5279</v>
      </c>
      <c r="L1044" s="6" t="s">
        <v>5280</v>
      </c>
      <c r="M1044" s="6" t="s">
        <v>5281</v>
      </c>
      <c r="N1044" s="10"/>
      <c r="O1044" s="4" t="str">
        <f aca="false">IF(N1044="","",LEN(N1044))</f>
        <v/>
      </c>
    </row>
    <row r="1045" customFormat="false" ht="39" hidden="false" customHeight="true" outlineLevel="0" collapsed="false">
      <c r="A1045" s="4" t="n">
        <v>1044</v>
      </c>
      <c r="B1045" s="5" t="n">
        <f aca="false">IF(OR(C1045="სხვა მოდელი წერია",I1045&gt;=განმარტება!$B$4),1,IF(OR(C1045="ცარიელი",I1045&gt;=1),2,IF(H1045&gt;=განმარტება!$B$5,3,4)))</f>
        <v>4</v>
      </c>
      <c r="C1045" s="6" t="s">
        <v>15</v>
      </c>
      <c r="D1045" s="6" t="s">
        <v>5282</v>
      </c>
      <c r="E1045" s="7" t="s">
        <v>5283</v>
      </c>
      <c r="F1045" s="7" t="n">
        <v>2913</v>
      </c>
      <c r="G1045" s="6" t="s">
        <v>5284</v>
      </c>
      <c r="H1045" s="8" t="n">
        <v>199</v>
      </c>
      <c r="I1045" s="8" t="n">
        <v>0</v>
      </c>
      <c r="J1045" s="7" t="n">
        <v>0</v>
      </c>
      <c r="K1045" s="9" t="s">
        <v>5285</v>
      </c>
      <c r="L1045" s="6" t="s">
        <v>5286</v>
      </c>
      <c r="M1045" s="6" t="s">
        <v>5287</v>
      </c>
      <c r="N1045" s="10"/>
      <c r="O1045" s="4" t="str">
        <f aca="false">IF(N1045="","",LEN(N1045))</f>
        <v/>
      </c>
    </row>
    <row r="1046" customFormat="false" ht="39" hidden="false" customHeight="true" outlineLevel="0" collapsed="false">
      <c r="A1046" s="4" t="n">
        <v>1045</v>
      </c>
      <c r="B1046" s="5" t="n">
        <f aca="false">IF(OR(C1046="სხვა მოდელი წერია",I1046&gt;=განმარტება!$B$4),1,IF(OR(C1046="ცარიელი",I1046&gt;=1),2,IF(H1046&gt;=განმარტება!$B$5,3,4)))</f>
        <v>4</v>
      </c>
      <c r="C1046" s="6" t="s">
        <v>15</v>
      </c>
      <c r="D1046" s="6" t="s">
        <v>5288</v>
      </c>
      <c r="E1046" s="7" t="s">
        <v>5289</v>
      </c>
      <c r="F1046" s="7" t="n">
        <v>1543</v>
      </c>
      <c r="G1046" s="6" t="s">
        <v>1994</v>
      </c>
      <c r="H1046" s="8" t="n">
        <v>199</v>
      </c>
      <c r="I1046" s="8" t="n">
        <v>0</v>
      </c>
      <c r="J1046" s="7" t="n">
        <v>0</v>
      </c>
      <c r="K1046" s="9" t="s">
        <v>5290</v>
      </c>
      <c r="L1046" s="6" t="s">
        <v>5291</v>
      </c>
      <c r="M1046" s="6" t="s">
        <v>5292</v>
      </c>
      <c r="N1046" s="10"/>
      <c r="O1046" s="4" t="str">
        <f aca="false">IF(N1046="","",LEN(N1046))</f>
        <v/>
      </c>
    </row>
    <row r="1047" customFormat="false" ht="39" hidden="false" customHeight="true" outlineLevel="0" collapsed="false">
      <c r="A1047" s="4" t="n">
        <v>1046</v>
      </c>
      <c r="B1047" s="5" t="n">
        <f aca="false">IF(OR(C1047="სხვა მოდელი წერია",I1047&gt;=განმარტება!$B$4),1,IF(OR(C1047="ცარიელი",I1047&gt;=1),2,IF(H1047&gt;=განმარტება!$B$5,3,4)))</f>
        <v>4</v>
      </c>
      <c r="C1047" s="6" t="s">
        <v>15</v>
      </c>
      <c r="D1047" s="6" t="s">
        <v>1422</v>
      </c>
      <c r="E1047" s="7" t="s">
        <v>5293</v>
      </c>
      <c r="F1047" s="7" t="n">
        <v>8910</v>
      </c>
      <c r="G1047" s="6" t="s">
        <v>1267</v>
      </c>
      <c r="H1047" s="8" t="n">
        <v>199</v>
      </c>
      <c r="I1047" s="8" t="n">
        <v>0</v>
      </c>
      <c r="J1047" s="7" t="n">
        <v>0</v>
      </c>
      <c r="K1047" s="9" t="s">
        <v>5294</v>
      </c>
      <c r="L1047" s="6" t="s">
        <v>5295</v>
      </c>
      <c r="M1047" s="6" t="s">
        <v>1426</v>
      </c>
      <c r="N1047" s="10"/>
      <c r="O1047" s="4" t="str">
        <f aca="false">IF(N1047="","",LEN(N1047))</f>
        <v/>
      </c>
    </row>
    <row r="1048" customFormat="false" ht="39" hidden="false" customHeight="true" outlineLevel="0" collapsed="false">
      <c r="A1048" s="4" t="n">
        <v>1047</v>
      </c>
      <c r="B1048" s="5" t="n">
        <f aca="false">IF(OR(C1048="სხვა მოდელი წერია",I1048&gt;=განმარტება!$B$4),1,IF(OR(C1048="ცარიელი",I1048&gt;=1),2,IF(H1048&gt;=განმარტება!$B$5,3,4)))</f>
        <v>4</v>
      </c>
      <c r="C1048" s="6" t="s">
        <v>15</v>
      </c>
      <c r="D1048" s="6" t="s">
        <v>5296</v>
      </c>
      <c r="E1048" s="7" t="s">
        <v>5297</v>
      </c>
      <c r="F1048" s="7" t="n">
        <v>2464</v>
      </c>
      <c r="G1048" s="6" t="s">
        <v>563</v>
      </c>
      <c r="H1048" s="8" t="n">
        <v>199</v>
      </c>
      <c r="I1048" s="8" t="n">
        <v>0</v>
      </c>
      <c r="J1048" s="7" t="n">
        <v>0</v>
      </c>
      <c r="K1048" s="9" t="s">
        <v>5298</v>
      </c>
      <c r="L1048" s="6" t="s">
        <v>5299</v>
      </c>
      <c r="M1048" s="6" t="s">
        <v>5300</v>
      </c>
      <c r="N1048" s="10"/>
      <c r="O1048" s="4" t="str">
        <f aca="false">IF(N1048="","",LEN(N1048))</f>
        <v/>
      </c>
    </row>
    <row r="1049" customFormat="false" ht="39" hidden="false" customHeight="true" outlineLevel="0" collapsed="false">
      <c r="A1049" s="4" t="n">
        <v>1048</v>
      </c>
      <c r="B1049" s="5" t="n">
        <f aca="false">IF(OR(C1049="სხვა მოდელი წერია",I1049&gt;=განმარტება!$B$4),1,IF(OR(C1049="ცარიელი",I1049&gt;=1),2,IF(H1049&gt;=განმარტება!$B$5,3,4)))</f>
        <v>4</v>
      </c>
      <c r="C1049" s="6" t="s">
        <v>15</v>
      </c>
      <c r="D1049" s="6" t="s">
        <v>5301</v>
      </c>
      <c r="E1049" s="7" t="s">
        <v>5302</v>
      </c>
      <c r="F1049" s="7" t="n">
        <v>826</v>
      </c>
      <c r="G1049" s="6" t="s">
        <v>563</v>
      </c>
      <c r="H1049" s="8" t="n">
        <v>199</v>
      </c>
      <c r="I1049" s="8" t="n">
        <v>0</v>
      </c>
      <c r="J1049" s="7" t="n">
        <v>0</v>
      </c>
      <c r="K1049" s="9" t="s">
        <v>5303</v>
      </c>
      <c r="L1049" s="6" t="s">
        <v>5304</v>
      </c>
      <c r="M1049" s="6" t="s">
        <v>5305</v>
      </c>
      <c r="N1049" s="10"/>
      <c r="O1049" s="4" t="str">
        <f aca="false">IF(N1049="","",LEN(N1049))</f>
        <v/>
      </c>
    </row>
    <row r="1050" customFormat="false" ht="39" hidden="false" customHeight="true" outlineLevel="0" collapsed="false">
      <c r="A1050" s="4" t="n">
        <v>1049</v>
      </c>
      <c r="B1050" s="5" t="n">
        <f aca="false">IF(OR(C1050="სხვა მოდელი წერია",I1050&gt;=განმარტება!$B$4),1,IF(OR(C1050="ცარიელი",I1050&gt;=1),2,IF(H1050&gt;=განმარტება!$B$5,3,4)))</f>
        <v>4</v>
      </c>
      <c r="C1050" s="6" t="s">
        <v>15</v>
      </c>
      <c r="D1050" s="6" t="s">
        <v>5306</v>
      </c>
      <c r="E1050" s="7" t="s">
        <v>5307</v>
      </c>
      <c r="F1050" s="7" t="n">
        <v>2829</v>
      </c>
      <c r="G1050" s="6" t="s">
        <v>238</v>
      </c>
      <c r="H1050" s="8" t="n">
        <v>199</v>
      </c>
      <c r="I1050" s="8" t="n">
        <v>0</v>
      </c>
      <c r="J1050" s="7" t="n">
        <v>0</v>
      </c>
      <c r="K1050" s="9" t="s">
        <v>5308</v>
      </c>
      <c r="L1050" s="6" t="s">
        <v>5309</v>
      </c>
      <c r="M1050" s="6" t="s">
        <v>5310</v>
      </c>
      <c r="N1050" s="10"/>
      <c r="O1050" s="4" t="str">
        <f aca="false">IF(N1050="","",LEN(N1050))</f>
        <v/>
      </c>
    </row>
    <row r="1051" customFormat="false" ht="39" hidden="false" customHeight="true" outlineLevel="0" collapsed="false">
      <c r="A1051" s="4" t="n">
        <v>1050</v>
      </c>
      <c r="B1051" s="5" t="n">
        <f aca="false">IF(OR(C1051="სხვა მოდელი წერია",I1051&gt;=განმარტება!$B$4),1,IF(OR(C1051="ცარიელი",I1051&gt;=1),2,IF(H1051&gt;=განმარტება!$B$5,3,4)))</f>
        <v>4</v>
      </c>
      <c r="C1051" s="6" t="s">
        <v>15</v>
      </c>
      <c r="D1051" s="6" t="s">
        <v>5311</v>
      </c>
      <c r="E1051" s="7" t="s">
        <v>5312</v>
      </c>
      <c r="F1051" s="7" t="n">
        <v>1716</v>
      </c>
      <c r="G1051" s="6" t="s">
        <v>83</v>
      </c>
      <c r="H1051" s="8" t="n">
        <v>199</v>
      </c>
      <c r="I1051" s="8" t="n">
        <v>0</v>
      </c>
      <c r="J1051" s="7" t="n">
        <v>0</v>
      </c>
      <c r="K1051" s="9" t="s">
        <v>5313</v>
      </c>
      <c r="L1051" s="6" t="s">
        <v>5314</v>
      </c>
      <c r="M1051" s="6" t="s">
        <v>5315</v>
      </c>
      <c r="N1051" s="10"/>
      <c r="O1051" s="4" t="str">
        <f aca="false">IF(N1051="","",LEN(N1051))</f>
        <v/>
      </c>
    </row>
    <row r="1052" customFormat="false" ht="39" hidden="false" customHeight="true" outlineLevel="0" collapsed="false">
      <c r="A1052" s="4" t="n">
        <v>1051</v>
      </c>
      <c r="B1052" s="5" t="n">
        <f aca="false">IF(OR(C1052="სხვა მოდელი წერია",I1052&gt;=განმარტება!$B$4),1,IF(OR(C1052="ცარიელი",I1052&gt;=1),2,IF(H1052&gt;=განმარტება!$B$5,3,4)))</f>
        <v>4</v>
      </c>
      <c r="C1052" s="6" t="s">
        <v>15</v>
      </c>
      <c r="D1052" s="6" t="s">
        <v>5316</v>
      </c>
      <c r="E1052" s="7" t="s">
        <v>5317</v>
      </c>
      <c r="F1052" s="7" t="n">
        <v>3423</v>
      </c>
      <c r="G1052" s="6" t="s">
        <v>563</v>
      </c>
      <c r="H1052" s="8" t="n">
        <v>199</v>
      </c>
      <c r="I1052" s="8" t="n">
        <v>0</v>
      </c>
      <c r="J1052" s="7" t="n">
        <v>0</v>
      </c>
      <c r="K1052" s="9" t="s">
        <v>5318</v>
      </c>
      <c r="L1052" s="6" t="s">
        <v>5319</v>
      </c>
      <c r="M1052" s="6" t="s">
        <v>5320</v>
      </c>
      <c r="N1052" s="10"/>
      <c r="O1052" s="4" t="str">
        <f aca="false">IF(N1052="","",LEN(N1052))</f>
        <v/>
      </c>
    </row>
    <row r="1053" customFormat="false" ht="39" hidden="false" customHeight="true" outlineLevel="0" collapsed="false">
      <c r="A1053" s="4" t="n">
        <v>1052</v>
      </c>
      <c r="B1053" s="5" t="n">
        <f aca="false">IF(OR(C1053="სხვა მოდელი წერია",I1053&gt;=განმარტება!$B$4),1,IF(OR(C1053="ცარიელი",I1053&gt;=1),2,IF(H1053&gt;=განმარტება!$B$5,3,4)))</f>
        <v>4</v>
      </c>
      <c r="C1053" s="6" t="s">
        <v>15</v>
      </c>
      <c r="D1053" s="6" t="s">
        <v>5321</v>
      </c>
      <c r="E1053" s="7" t="s">
        <v>5322</v>
      </c>
      <c r="F1053" s="7" t="n">
        <v>3424</v>
      </c>
      <c r="G1053" s="6" t="s">
        <v>563</v>
      </c>
      <c r="H1053" s="8" t="n">
        <v>199</v>
      </c>
      <c r="I1053" s="8" t="n">
        <v>0</v>
      </c>
      <c r="J1053" s="7" t="n">
        <v>0</v>
      </c>
      <c r="K1053" s="9" t="s">
        <v>5323</v>
      </c>
      <c r="L1053" s="6" t="s">
        <v>5324</v>
      </c>
      <c r="M1053" s="6" t="s">
        <v>5325</v>
      </c>
      <c r="N1053" s="10"/>
      <c r="O1053" s="4" t="str">
        <f aca="false">IF(N1053="","",LEN(N1053))</f>
        <v/>
      </c>
    </row>
    <row r="1054" customFormat="false" ht="39" hidden="false" customHeight="true" outlineLevel="0" collapsed="false">
      <c r="A1054" s="4" t="n">
        <v>1053</v>
      </c>
      <c r="B1054" s="5" t="n">
        <f aca="false">IF(OR(C1054="სხვა მოდელი წერია",I1054&gt;=განმარტება!$B$4),1,IF(OR(C1054="ცარიელი",I1054&gt;=1),2,IF(H1054&gt;=განმარტება!$B$5,3,4)))</f>
        <v>4</v>
      </c>
      <c r="C1054" s="6" t="s">
        <v>15</v>
      </c>
      <c r="D1054" s="6" t="s">
        <v>5326</v>
      </c>
      <c r="E1054" s="7" t="s">
        <v>5327</v>
      </c>
      <c r="F1054" s="7" t="n">
        <v>1693</v>
      </c>
      <c r="G1054" s="6" t="s">
        <v>279</v>
      </c>
      <c r="H1054" s="8" t="n">
        <v>198</v>
      </c>
      <c r="I1054" s="8" t="n">
        <v>0</v>
      </c>
      <c r="J1054" s="7" t="n">
        <v>0</v>
      </c>
      <c r="K1054" s="9" t="s">
        <v>5328</v>
      </c>
      <c r="L1054" s="6" t="s">
        <v>5329</v>
      </c>
      <c r="M1054" s="6" t="s">
        <v>5330</v>
      </c>
      <c r="N1054" s="10"/>
      <c r="O1054" s="4" t="str">
        <f aca="false">IF(N1054="","",LEN(N1054))</f>
        <v/>
      </c>
    </row>
    <row r="1055" customFormat="false" ht="39" hidden="false" customHeight="true" outlineLevel="0" collapsed="false">
      <c r="A1055" s="4" t="n">
        <v>1054</v>
      </c>
      <c r="B1055" s="5" t="n">
        <f aca="false">IF(OR(C1055="სხვა მოდელი წერია",I1055&gt;=განმარტება!$B$4),1,IF(OR(C1055="ცარიელი",I1055&gt;=1),2,IF(H1055&gt;=განმარტება!$B$5,3,4)))</f>
        <v>4</v>
      </c>
      <c r="C1055" s="6" t="s">
        <v>316</v>
      </c>
      <c r="D1055" s="6" t="s">
        <v>5331</v>
      </c>
      <c r="E1055" s="7" t="s">
        <v>5332</v>
      </c>
      <c r="F1055" s="7" t="n">
        <v>1566</v>
      </c>
      <c r="G1055" s="6" t="s">
        <v>1994</v>
      </c>
      <c r="H1055" s="8" t="n">
        <v>195</v>
      </c>
      <c r="I1055" s="8" t="n">
        <v>0</v>
      </c>
      <c r="J1055" s="7" t="n">
        <v>0</v>
      </c>
      <c r="K1055" s="9" t="s">
        <v>5333</v>
      </c>
      <c r="L1055" s="6" t="s">
        <v>5334</v>
      </c>
      <c r="M1055" s="6" t="s">
        <v>5335</v>
      </c>
      <c r="N1055" s="10"/>
      <c r="O1055" s="4" t="str">
        <f aca="false">IF(N1055="","",LEN(N1055))</f>
        <v/>
      </c>
    </row>
    <row r="1056" customFormat="false" ht="39" hidden="false" customHeight="true" outlineLevel="0" collapsed="false">
      <c r="A1056" s="4" t="n">
        <v>1055</v>
      </c>
      <c r="B1056" s="5" t="n">
        <f aca="false">IF(OR(C1056="სხვა მოდელი წერია",I1056&gt;=განმარტება!$B$4),1,IF(OR(C1056="ცარიელი",I1056&gt;=1),2,IF(H1056&gt;=განმარტება!$B$5,3,4)))</f>
        <v>4</v>
      </c>
      <c r="C1056" s="6" t="s">
        <v>15</v>
      </c>
      <c r="D1056" s="6" t="s">
        <v>5336</v>
      </c>
      <c r="E1056" s="7" t="s">
        <v>5337</v>
      </c>
      <c r="F1056" s="7" t="n">
        <v>3788</v>
      </c>
      <c r="G1056" s="6" t="s">
        <v>42</v>
      </c>
      <c r="H1056" s="8" t="n">
        <v>189</v>
      </c>
      <c r="I1056" s="8" t="n">
        <v>0</v>
      </c>
      <c r="J1056" s="7" t="n">
        <v>0</v>
      </c>
      <c r="K1056" s="9" t="s">
        <v>5338</v>
      </c>
      <c r="L1056" s="6" t="s">
        <v>5339</v>
      </c>
      <c r="M1056" s="6" t="s">
        <v>5340</v>
      </c>
      <c r="N1056" s="10"/>
      <c r="O1056" s="4" t="str">
        <f aca="false">IF(N1056="","",LEN(N1056))</f>
        <v/>
      </c>
    </row>
    <row r="1057" customFormat="false" ht="39" hidden="false" customHeight="true" outlineLevel="0" collapsed="false">
      <c r="A1057" s="4" t="n">
        <v>1056</v>
      </c>
      <c r="B1057" s="5" t="n">
        <f aca="false">IF(OR(C1057="სხვა მოდელი წერია",I1057&gt;=განმარტება!$B$4),1,IF(OR(C1057="ცარიელი",I1057&gt;=1),2,IF(H1057&gt;=განმარტება!$B$5,3,4)))</f>
        <v>4</v>
      </c>
      <c r="C1057" s="6" t="s">
        <v>15</v>
      </c>
      <c r="D1057" s="6" t="s">
        <v>5341</v>
      </c>
      <c r="E1057" s="7" t="s">
        <v>5342</v>
      </c>
      <c r="F1057" s="7" t="n">
        <v>2696</v>
      </c>
      <c r="G1057" s="6" t="s">
        <v>42</v>
      </c>
      <c r="H1057" s="8" t="n">
        <v>189</v>
      </c>
      <c r="I1057" s="8" t="n">
        <v>0</v>
      </c>
      <c r="J1057" s="7" t="n">
        <v>0</v>
      </c>
      <c r="K1057" s="9" t="s">
        <v>5343</v>
      </c>
      <c r="L1057" s="6" t="s">
        <v>5344</v>
      </c>
      <c r="M1057" s="6" t="s">
        <v>5345</v>
      </c>
      <c r="N1057" s="10"/>
      <c r="O1057" s="4" t="str">
        <f aca="false">IF(N1057="","",LEN(N1057))</f>
        <v/>
      </c>
    </row>
    <row r="1058" customFormat="false" ht="39" hidden="false" customHeight="true" outlineLevel="0" collapsed="false">
      <c r="A1058" s="4" t="n">
        <v>1057</v>
      </c>
      <c r="B1058" s="5" t="n">
        <f aca="false">IF(OR(C1058="სხვა მოდელი წერია",I1058&gt;=განმარტება!$B$4),1,IF(OR(C1058="ცარიელი",I1058&gt;=1),2,IF(H1058&gt;=განმარტება!$B$5,3,4)))</f>
        <v>4</v>
      </c>
      <c r="C1058" s="6" t="s">
        <v>15</v>
      </c>
      <c r="D1058" s="6" t="s">
        <v>1422</v>
      </c>
      <c r="E1058" s="7" t="s">
        <v>5346</v>
      </c>
      <c r="F1058" s="7" t="n">
        <v>8912</v>
      </c>
      <c r="G1058" s="6" t="s">
        <v>1267</v>
      </c>
      <c r="H1058" s="8" t="n">
        <v>189</v>
      </c>
      <c r="I1058" s="8" t="n">
        <v>0</v>
      </c>
      <c r="J1058" s="7" t="n">
        <v>0</v>
      </c>
      <c r="K1058" s="9" t="s">
        <v>5347</v>
      </c>
      <c r="L1058" s="6" t="s">
        <v>5295</v>
      </c>
      <c r="M1058" s="6" t="s">
        <v>1426</v>
      </c>
      <c r="N1058" s="10"/>
      <c r="O1058" s="4" t="str">
        <f aca="false">IF(N1058="","",LEN(N1058))</f>
        <v/>
      </c>
    </row>
    <row r="1059" customFormat="false" ht="39" hidden="false" customHeight="true" outlineLevel="0" collapsed="false">
      <c r="A1059" s="4" t="n">
        <v>1058</v>
      </c>
      <c r="B1059" s="5" t="n">
        <f aca="false">IF(OR(C1059="სხვა მოდელი წერია",I1059&gt;=განმარტება!$B$4),1,IF(OR(C1059="ცარიელი",I1059&gt;=1),2,IF(H1059&gt;=განმარტება!$B$5,3,4)))</f>
        <v>4</v>
      </c>
      <c r="C1059" s="6" t="s">
        <v>15</v>
      </c>
      <c r="D1059" s="6" t="s">
        <v>1422</v>
      </c>
      <c r="E1059" s="7" t="s">
        <v>5348</v>
      </c>
      <c r="F1059" s="7" t="n">
        <v>8914</v>
      </c>
      <c r="G1059" s="6" t="s">
        <v>1267</v>
      </c>
      <c r="H1059" s="8" t="n">
        <v>189</v>
      </c>
      <c r="I1059" s="8" t="n">
        <v>0</v>
      </c>
      <c r="J1059" s="7" t="n">
        <v>0</v>
      </c>
      <c r="K1059" s="9" t="s">
        <v>5349</v>
      </c>
      <c r="L1059" s="6" t="s">
        <v>5295</v>
      </c>
      <c r="M1059" s="6" t="s">
        <v>1426</v>
      </c>
      <c r="N1059" s="10"/>
      <c r="O1059" s="4" t="str">
        <f aca="false">IF(N1059="","",LEN(N1059))</f>
        <v/>
      </c>
    </row>
    <row r="1060" customFormat="false" ht="39" hidden="false" customHeight="true" outlineLevel="0" collapsed="false">
      <c r="A1060" s="4" t="n">
        <v>1059</v>
      </c>
      <c r="B1060" s="5" t="n">
        <f aca="false">IF(OR(C1060="სხვა მოდელი წერია",I1060&gt;=განმარტება!$B$4),1,IF(OR(C1060="ცარიელი",I1060&gt;=1),2,IF(H1060&gt;=განმარტება!$B$5,3,4)))</f>
        <v>4</v>
      </c>
      <c r="C1060" s="6" t="s">
        <v>15</v>
      </c>
      <c r="D1060" s="6" t="s">
        <v>1422</v>
      </c>
      <c r="E1060" s="7" t="s">
        <v>5350</v>
      </c>
      <c r="F1060" s="7" t="n">
        <v>8915</v>
      </c>
      <c r="G1060" s="6" t="s">
        <v>1267</v>
      </c>
      <c r="H1060" s="8" t="n">
        <v>189</v>
      </c>
      <c r="I1060" s="8" t="n">
        <v>0</v>
      </c>
      <c r="J1060" s="7" t="n">
        <v>0</v>
      </c>
      <c r="K1060" s="9" t="s">
        <v>5351</v>
      </c>
      <c r="L1060" s="6" t="s">
        <v>5352</v>
      </c>
      <c r="M1060" s="6" t="s">
        <v>1426</v>
      </c>
      <c r="N1060" s="10"/>
      <c r="O1060" s="4" t="str">
        <f aca="false">IF(N1060="","",LEN(N1060))</f>
        <v/>
      </c>
    </row>
    <row r="1061" customFormat="false" ht="39" hidden="false" customHeight="true" outlineLevel="0" collapsed="false">
      <c r="A1061" s="4" t="n">
        <v>1060</v>
      </c>
      <c r="B1061" s="5" t="n">
        <f aca="false">IF(OR(C1061="სხვა მოდელი წერია",I1061&gt;=განმარტება!$B$4),1,IF(OR(C1061="ცარიელი",I1061&gt;=1),2,IF(H1061&gt;=განმარტება!$B$5,3,4)))</f>
        <v>4</v>
      </c>
      <c r="C1061" s="6" t="s">
        <v>15</v>
      </c>
      <c r="D1061" s="6" t="s">
        <v>5353</v>
      </c>
      <c r="E1061" s="7" t="s">
        <v>5354</v>
      </c>
      <c r="F1061" s="7" t="n">
        <v>2831</v>
      </c>
      <c r="G1061" s="6" t="s">
        <v>238</v>
      </c>
      <c r="H1061" s="8" t="n">
        <v>179</v>
      </c>
      <c r="I1061" s="8" t="n">
        <v>0</v>
      </c>
      <c r="J1061" s="7" t="n">
        <v>0</v>
      </c>
      <c r="K1061" s="9" t="s">
        <v>5355</v>
      </c>
      <c r="L1061" s="6" t="s">
        <v>5356</v>
      </c>
      <c r="M1061" s="6" t="s">
        <v>5357</v>
      </c>
      <c r="N1061" s="10"/>
      <c r="O1061" s="4" t="str">
        <f aca="false">IF(N1061="","",LEN(N1061))</f>
        <v/>
      </c>
    </row>
    <row r="1062" customFormat="false" ht="51.75" hidden="false" customHeight="true" outlineLevel="0" collapsed="false">
      <c r="A1062" s="4" t="n">
        <v>1061</v>
      </c>
      <c r="B1062" s="5" t="n">
        <f aca="false">IF(OR(C1062="სხვა მოდელი წერია",I1062&gt;=განმარტება!$B$4),1,IF(OR(C1062="ცარიელი",I1062&gt;=1),2,IF(H1062&gt;=განმარტება!$B$5,3,4)))</f>
        <v>4</v>
      </c>
      <c r="C1062" s="6" t="s">
        <v>15</v>
      </c>
      <c r="D1062" s="6" t="s">
        <v>5358</v>
      </c>
      <c r="E1062" s="7" t="s">
        <v>5359</v>
      </c>
      <c r="F1062" s="7" t="n">
        <v>3156</v>
      </c>
      <c r="G1062" s="6" t="s">
        <v>693</v>
      </c>
      <c r="H1062" s="8" t="n">
        <v>179</v>
      </c>
      <c r="I1062" s="8" t="n">
        <v>0</v>
      </c>
      <c r="J1062" s="7" t="n">
        <v>0</v>
      </c>
      <c r="K1062" s="9" t="s">
        <v>5360</v>
      </c>
      <c r="L1062" s="6" t="s">
        <v>5361</v>
      </c>
      <c r="M1062" s="6" t="s">
        <v>5362</v>
      </c>
      <c r="N1062" s="10"/>
      <c r="O1062" s="4" t="str">
        <f aca="false">IF(N1062="","",LEN(N1062))</f>
        <v/>
      </c>
    </row>
    <row r="1063" customFormat="false" ht="51.75" hidden="false" customHeight="true" outlineLevel="0" collapsed="false">
      <c r="A1063" s="4" t="n">
        <v>1062</v>
      </c>
      <c r="B1063" s="5" t="n">
        <f aca="false">IF(OR(C1063="სხვა მოდელი წერია",I1063&gt;=განმარტება!$B$4),1,IF(OR(C1063="ცარიელი",I1063&gt;=1),2,IF(H1063&gt;=განმარტება!$B$5,3,4)))</f>
        <v>4</v>
      </c>
      <c r="C1063" s="6" t="s">
        <v>15</v>
      </c>
      <c r="D1063" s="6" t="s">
        <v>5363</v>
      </c>
      <c r="E1063" s="7" t="s">
        <v>5364</v>
      </c>
      <c r="F1063" s="7" t="n">
        <v>2814</v>
      </c>
      <c r="G1063" s="6" t="s">
        <v>693</v>
      </c>
      <c r="H1063" s="8" t="n">
        <v>179</v>
      </c>
      <c r="I1063" s="8" t="n">
        <v>0</v>
      </c>
      <c r="J1063" s="7" t="n">
        <v>0</v>
      </c>
      <c r="K1063" s="9" t="s">
        <v>5365</v>
      </c>
      <c r="L1063" s="6" t="s">
        <v>5366</v>
      </c>
      <c r="M1063" s="6" t="s">
        <v>5367</v>
      </c>
      <c r="N1063" s="10"/>
      <c r="O1063" s="4" t="str">
        <f aca="false">IF(N1063="","",LEN(N1063))</f>
        <v/>
      </c>
    </row>
    <row r="1064" customFormat="false" ht="39" hidden="false" customHeight="true" outlineLevel="0" collapsed="false">
      <c r="A1064" s="4" t="n">
        <v>1063</v>
      </c>
      <c r="B1064" s="5" t="n">
        <f aca="false">IF(OR(C1064="სხვა მოდელი წერია",I1064&gt;=განმარტება!$B$4),1,IF(OR(C1064="ცარიელი",I1064&gt;=1),2,IF(H1064&gt;=განმარტება!$B$5,3,4)))</f>
        <v>4</v>
      </c>
      <c r="C1064" s="6" t="s">
        <v>15</v>
      </c>
      <c r="D1064" s="6" t="s">
        <v>5368</v>
      </c>
      <c r="E1064" s="7" t="s">
        <v>5369</v>
      </c>
      <c r="F1064" s="7" t="n">
        <v>398</v>
      </c>
      <c r="G1064" s="6" t="s">
        <v>563</v>
      </c>
      <c r="H1064" s="8" t="n">
        <v>174</v>
      </c>
      <c r="I1064" s="8" t="n">
        <v>0</v>
      </c>
      <c r="J1064" s="7" t="n">
        <v>0</v>
      </c>
      <c r="K1064" s="9" t="s">
        <v>5370</v>
      </c>
      <c r="L1064" s="6" t="s">
        <v>5371</v>
      </c>
      <c r="M1064" s="6" t="s">
        <v>5372</v>
      </c>
      <c r="N1064" s="10"/>
      <c r="O1064" s="4" t="str">
        <f aca="false">IF(N1064="","",LEN(N1064))</f>
        <v/>
      </c>
    </row>
    <row r="1065" customFormat="false" ht="39" hidden="false" customHeight="true" outlineLevel="0" collapsed="false">
      <c r="A1065" s="4" t="n">
        <v>1064</v>
      </c>
      <c r="B1065" s="5" t="n">
        <f aca="false">IF(OR(C1065="სხვა მოდელი წერია",I1065&gt;=განმარტება!$B$4),1,IF(OR(C1065="ცარიელი",I1065&gt;=1),2,IF(H1065&gt;=განმარტება!$B$5,3,4)))</f>
        <v>4</v>
      </c>
      <c r="C1065" s="6" t="s">
        <v>15</v>
      </c>
      <c r="D1065" s="6" t="s">
        <v>5373</v>
      </c>
      <c r="E1065" s="7" t="s">
        <v>5374</v>
      </c>
      <c r="F1065" s="7" t="n">
        <v>1805</v>
      </c>
      <c r="G1065" s="6" t="s">
        <v>177</v>
      </c>
      <c r="H1065" s="8" t="n">
        <v>170</v>
      </c>
      <c r="I1065" s="8" t="n">
        <v>0</v>
      </c>
      <c r="J1065" s="7" t="n">
        <v>0</v>
      </c>
      <c r="K1065" s="9" t="s">
        <v>5375</v>
      </c>
      <c r="L1065" s="6" t="s">
        <v>5376</v>
      </c>
      <c r="M1065" s="6" t="s">
        <v>5377</v>
      </c>
      <c r="N1065" s="10"/>
      <c r="O1065" s="4" t="str">
        <f aca="false">IF(N1065="","",LEN(N1065))</f>
        <v/>
      </c>
    </row>
    <row r="1066" customFormat="false" ht="39" hidden="false" customHeight="true" outlineLevel="0" collapsed="false">
      <c r="A1066" s="4" t="n">
        <v>1065</v>
      </c>
      <c r="B1066" s="5" t="n">
        <f aca="false">IF(OR(C1066="სხვა მოდელი წერია",I1066&gt;=განმარტება!$B$4),1,IF(OR(C1066="ცარიელი",I1066&gt;=1),2,IF(H1066&gt;=განმარტება!$B$5,3,4)))</f>
        <v>4</v>
      </c>
      <c r="C1066" s="6" t="s">
        <v>15</v>
      </c>
      <c r="D1066" s="6" t="s">
        <v>5378</v>
      </c>
      <c r="E1066" s="7" t="s">
        <v>5379</v>
      </c>
      <c r="F1066" s="7" t="n">
        <v>3789</v>
      </c>
      <c r="G1066" s="6" t="s">
        <v>42</v>
      </c>
      <c r="H1066" s="8" t="n">
        <v>169</v>
      </c>
      <c r="I1066" s="8" t="n">
        <v>0</v>
      </c>
      <c r="J1066" s="7" t="n">
        <v>0</v>
      </c>
      <c r="K1066" s="9" t="s">
        <v>5380</v>
      </c>
      <c r="L1066" s="6" t="s">
        <v>5381</v>
      </c>
      <c r="M1066" s="6" t="s">
        <v>5382</v>
      </c>
      <c r="N1066" s="10"/>
      <c r="O1066" s="4" t="str">
        <f aca="false">IF(N1066="","",LEN(N1066))</f>
        <v/>
      </c>
    </row>
    <row r="1067" customFormat="false" ht="39" hidden="false" customHeight="true" outlineLevel="0" collapsed="false">
      <c r="A1067" s="4" t="n">
        <v>1066</v>
      </c>
      <c r="B1067" s="5" t="n">
        <f aca="false">IF(OR(C1067="სხვა მოდელი წერია",I1067&gt;=განმარტება!$B$4),1,IF(OR(C1067="ცარიელი",I1067&gt;=1),2,IF(H1067&gt;=განმარტება!$B$5,3,4)))</f>
        <v>4</v>
      </c>
      <c r="C1067" s="6" t="s">
        <v>15</v>
      </c>
      <c r="D1067" s="6" t="s">
        <v>5383</v>
      </c>
      <c r="E1067" s="7" t="s">
        <v>5384</v>
      </c>
      <c r="F1067" s="7" t="n">
        <v>3976</v>
      </c>
      <c r="G1067" s="6" t="s">
        <v>42</v>
      </c>
      <c r="H1067" s="8" t="n">
        <v>169</v>
      </c>
      <c r="I1067" s="8" t="n">
        <v>0</v>
      </c>
      <c r="J1067" s="7" t="n">
        <v>0</v>
      </c>
      <c r="K1067" s="9" t="s">
        <v>5385</v>
      </c>
      <c r="L1067" s="6" t="s">
        <v>5386</v>
      </c>
      <c r="M1067" s="6" t="s">
        <v>5387</v>
      </c>
      <c r="N1067" s="10"/>
      <c r="O1067" s="4" t="str">
        <f aca="false">IF(N1067="","",LEN(N1067))</f>
        <v/>
      </c>
    </row>
    <row r="1068" customFormat="false" ht="39" hidden="false" customHeight="true" outlineLevel="0" collapsed="false">
      <c r="A1068" s="4" t="n">
        <v>1067</v>
      </c>
      <c r="B1068" s="5" t="n">
        <f aca="false">IF(OR(C1068="სხვა მოდელი წერია",I1068&gt;=განმარტება!$B$4),1,IF(OR(C1068="ცარიელი",I1068&gt;=1),2,IF(H1068&gt;=განმარტება!$B$5,3,4)))</f>
        <v>4</v>
      </c>
      <c r="C1068" s="6" t="s">
        <v>15</v>
      </c>
      <c r="D1068" s="6" t="s">
        <v>5388</v>
      </c>
      <c r="E1068" s="7" t="s">
        <v>5389</v>
      </c>
      <c r="F1068" s="7" t="n">
        <v>3791</v>
      </c>
      <c r="G1068" s="6" t="s">
        <v>177</v>
      </c>
      <c r="H1068" s="8" t="n">
        <v>169</v>
      </c>
      <c r="I1068" s="8" t="n">
        <v>0</v>
      </c>
      <c r="J1068" s="7" t="n">
        <v>0</v>
      </c>
      <c r="K1068" s="9" t="s">
        <v>5390</v>
      </c>
      <c r="L1068" s="6" t="s">
        <v>5391</v>
      </c>
      <c r="M1068" s="6" t="s">
        <v>5392</v>
      </c>
      <c r="N1068" s="10"/>
      <c r="O1068" s="4" t="str">
        <f aca="false">IF(N1068="","",LEN(N1068))</f>
        <v/>
      </c>
    </row>
    <row r="1069" customFormat="false" ht="39" hidden="false" customHeight="true" outlineLevel="0" collapsed="false">
      <c r="A1069" s="4" t="n">
        <v>1068</v>
      </c>
      <c r="B1069" s="5" t="n">
        <f aca="false">IF(OR(C1069="სხვა მოდელი წერია",I1069&gt;=განმარტება!$B$4),1,IF(OR(C1069="ცარიელი",I1069&gt;=1),2,IF(H1069&gt;=განმარტება!$B$5,3,4)))</f>
        <v>4</v>
      </c>
      <c r="C1069" s="6" t="s">
        <v>15</v>
      </c>
      <c r="D1069" s="6" t="s">
        <v>5393</v>
      </c>
      <c r="E1069" s="7" t="s">
        <v>5394</v>
      </c>
      <c r="F1069" s="7" t="n">
        <v>2081</v>
      </c>
      <c r="G1069" s="6" t="s">
        <v>177</v>
      </c>
      <c r="H1069" s="8" t="n">
        <v>169</v>
      </c>
      <c r="I1069" s="8" t="n">
        <v>0</v>
      </c>
      <c r="J1069" s="7" t="n">
        <v>0</v>
      </c>
      <c r="K1069" s="9" t="s">
        <v>5395</v>
      </c>
      <c r="L1069" s="6" t="s">
        <v>5396</v>
      </c>
      <c r="M1069" s="6" t="s">
        <v>5397</v>
      </c>
      <c r="N1069" s="10"/>
      <c r="O1069" s="4" t="str">
        <f aca="false">IF(N1069="","",LEN(N1069))</f>
        <v/>
      </c>
    </row>
    <row r="1070" customFormat="false" ht="51.75" hidden="false" customHeight="true" outlineLevel="0" collapsed="false">
      <c r="A1070" s="4" t="n">
        <v>1069</v>
      </c>
      <c r="B1070" s="5" t="n">
        <f aca="false">IF(OR(C1070="სხვა მოდელი წერია",I1070&gt;=განმარტება!$B$4),1,IF(OR(C1070="ცარიელი",I1070&gt;=1),2,IF(H1070&gt;=განმარტება!$B$5,3,4)))</f>
        <v>4</v>
      </c>
      <c r="C1070" s="6" t="s">
        <v>15</v>
      </c>
      <c r="D1070" s="6" t="s">
        <v>5398</v>
      </c>
      <c r="E1070" s="7" t="s">
        <v>5399</v>
      </c>
      <c r="F1070" s="7" t="n">
        <v>2337</v>
      </c>
      <c r="G1070" s="6" t="s">
        <v>217</v>
      </c>
      <c r="H1070" s="8" t="n">
        <v>169</v>
      </c>
      <c r="I1070" s="8" t="n">
        <v>0</v>
      </c>
      <c r="J1070" s="7" t="n">
        <v>0</v>
      </c>
      <c r="K1070" s="9" t="s">
        <v>5400</v>
      </c>
      <c r="L1070" s="6" t="s">
        <v>5401</v>
      </c>
      <c r="M1070" s="6" t="s">
        <v>5402</v>
      </c>
      <c r="N1070" s="10"/>
      <c r="O1070" s="4" t="str">
        <f aca="false">IF(N1070="","",LEN(N1070))</f>
        <v/>
      </c>
    </row>
    <row r="1071" customFormat="false" ht="39" hidden="false" customHeight="true" outlineLevel="0" collapsed="false">
      <c r="A1071" s="4" t="n">
        <v>1070</v>
      </c>
      <c r="B1071" s="5" t="n">
        <f aca="false">IF(OR(C1071="სხვა მოდელი წერია",I1071&gt;=განმარტება!$B$4),1,IF(OR(C1071="ცარიელი",I1071&gt;=1),2,IF(H1071&gt;=განმარტება!$B$5,3,4)))</f>
        <v>4</v>
      </c>
      <c r="C1071" s="6" t="s">
        <v>15</v>
      </c>
      <c r="D1071" s="6" t="s">
        <v>5403</v>
      </c>
      <c r="E1071" s="7" t="s">
        <v>5404</v>
      </c>
      <c r="F1071" s="7" t="n">
        <v>2057</v>
      </c>
      <c r="G1071" s="6" t="s">
        <v>1994</v>
      </c>
      <c r="H1071" s="8" t="n">
        <v>165</v>
      </c>
      <c r="I1071" s="8" t="n">
        <v>0</v>
      </c>
      <c r="J1071" s="7" t="n">
        <v>0</v>
      </c>
      <c r="K1071" s="9" t="s">
        <v>5405</v>
      </c>
      <c r="L1071" s="6" t="s">
        <v>5406</v>
      </c>
      <c r="M1071" s="6" t="s">
        <v>5407</v>
      </c>
      <c r="N1071" s="10"/>
      <c r="O1071" s="4" t="str">
        <f aca="false">IF(N1071="","",LEN(N1071))</f>
        <v/>
      </c>
    </row>
    <row r="1072" customFormat="false" ht="39" hidden="false" customHeight="true" outlineLevel="0" collapsed="false">
      <c r="A1072" s="4" t="n">
        <v>1071</v>
      </c>
      <c r="B1072" s="5" t="n">
        <f aca="false">IF(OR(C1072="სხვა მოდელი წერია",I1072&gt;=განმარტება!$B$4),1,IF(OR(C1072="ცარიელი",I1072&gt;=1),2,IF(H1072&gt;=განმარტება!$B$5,3,4)))</f>
        <v>4</v>
      </c>
      <c r="C1072" s="6" t="s">
        <v>15</v>
      </c>
      <c r="D1072" s="6" t="s">
        <v>5408</v>
      </c>
      <c r="E1072" s="7" t="s">
        <v>5409</v>
      </c>
      <c r="F1072" s="7" t="n">
        <v>1522</v>
      </c>
      <c r="G1072" s="6" t="s">
        <v>238</v>
      </c>
      <c r="H1072" s="8" t="n">
        <v>165</v>
      </c>
      <c r="I1072" s="8" t="n">
        <v>0</v>
      </c>
      <c r="J1072" s="7" t="n">
        <v>0</v>
      </c>
      <c r="K1072" s="9" t="s">
        <v>5410</v>
      </c>
      <c r="L1072" s="6" t="s">
        <v>5411</v>
      </c>
      <c r="M1072" s="6" t="s">
        <v>5412</v>
      </c>
      <c r="N1072" s="10"/>
      <c r="O1072" s="4" t="str">
        <f aca="false">IF(N1072="","",LEN(N1072))</f>
        <v/>
      </c>
    </row>
    <row r="1073" customFormat="false" ht="39" hidden="false" customHeight="true" outlineLevel="0" collapsed="false">
      <c r="A1073" s="4" t="n">
        <v>1072</v>
      </c>
      <c r="B1073" s="5" t="n">
        <f aca="false">IF(OR(C1073="სხვა მოდელი წერია",I1073&gt;=განმარტება!$B$4),1,IF(OR(C1073="ცარიელი",I1073&gt;=1),2,IF(H1073&gt;=განმარტება!$B$5,3,4)))</f>
        <v>4</v>
      </c>
      <c r="C1073" s="6" t="s">
        <v>15</v>
      </c>
      <c r="D1073" s="6" t="s">
        <v>5413</v>
      </c>
      <c r="E1073" s="7" t="s">
        <v>5414</v>
      </c>
      <c r="F1073" s="7" t="n">
        <v>141</v>
      </c>
      <c r="G1073" s="6" t="s">
        <v>238</v>
      </c>
      <c r="H1073" s="8" t="n">
        <v>165</v>
      </c>
      <c r="I1073" s="8" t="n">
        <v>0</v>
      </c>
      <c r="J1073" s="7" t="n">
        <v>0</v>
      </c>
      <c r="K1073" s="9" t="s">
        <v>5415</v>
      </c>
      <c r="L1073" s="6" t="s">
        <v>5416</v>
      </c>
      <c r="M1073" s="6" t="s">
        <v>5417</v>
      </c>
      <c r="N1073" s="10"/>
      <c r="O1073" s="4" t="str">
        <f aca="false">IF(N1073="","",LEN(N1073))</f>
        <v/>
      </c>
    </row>
    <row r="1074" customFormat="false" ht="39" hidden="false" customHeight="true" outlineLevel="0" collapsed="false">
      <c r="A1074" s="4" t="n">
        <v>1073</v>
      </c>
      <c r="B1074" s="5" t="n">
        <f aca="false">IF(OR(C1074="სხვა მოდელი წერია",I1074&gt;=განმარტება!$B$4),1,IF(OR(C1074="ცარიელი",I1074&gt;=1),2,IF(H1074&gt;=განმარტება!$B$5,3,4)))</f>
        <v>4</v>
      </c>
      <c r="C1074" s="6" t="s">
        <v>316</v>
      </c>
      <c r="D1074" s="6" t="s">
        <v>5418</v>
      </c>
      <c r="E1074" s="7" t="s">
        <v>5419</v>
      </c>
      <c r="F1074" s="7" t="n">
        <v>2344</v>
      </c>
      <c r="G1074" s="6" t="s">
        <v>3212</v>
      </c>
      <c r="H1074" s="8" t="n">
        <v>165</v>
      </c>
      <c r="I1074" s="8" t="n">
        <v>0</v>
      </c>
      <c r="J1074" s="7" t="n">
        <v>0</v>
      </c>
      <c r="K1074" s="9" t="s">
        <v>5420</v>
      </c>
      <c r="L1074" s="6" t="s">
        <v>5421</v>
      </c>
      <c r="M1074" s="6" t="s">
        <v>5422</v>
      </c>
      <c r="N1074" s="10"/>
      <c r="O1074" s="4" t="str">
        <f aca="false">IF(N1074="","",LEN(N1074))</f>
        <v/>
      </c>
    </row>
    <row r="1075" customFormat="false" ht="39" hidden="false" customHeight="true" outlineLevel="0" collapsed="false">
      <c r="A1075" s="4" t="n">
        <v>1074</v>
      </c>
      <c r="B1075" s="5" t="n">
        <f aca="false">IF(OR(C1075="სხვა მოდელი წერია",I1075&gt;=განმარტება!$B$4),1,IF(OR(C1075="ცარიელი",I1075&gt;=1),2,IF(H1075&gt;=განმარტება!$B$5,3,4)))</f>
        <v>4</v>
      </c>
      <c r="C1075" s="6" t="s">
        <v>15</v>
      </c>
      <c r="D1075" s="6" t="s">
        <v>5423</v>
      </c>
      <c r="E1075" s="7" t="s">
        <v>5424</v>
      </c>
      <c r="F1075" s="7" t="n">
        <v>2426</v>
      </c>
      <c r="G1075" s="6" t="s">
        <v>563</v>
      </c>
      <c r="H1075" s="8" t="n">
        <v>161</v>
      </c>
      <c r="I1075" s="8" t="n">
        <v>0</v>
      </c>
      <c r="J1075" s="7" t="n">
        <v>0</v>
      </c>
      <c r="K1075" s="9" t="s">
        <v>5425</v>
      </c>
      <c r="L1075" s="6" t="s">
        <v>5426</v>
      </c>
      <c r="M1075" s="6" t="s">
        <v>5427</v>
      </c>
      <c r="N1075" s="10"/>
      <c r="O1075" s="4" t="str">
        <f aca="false">IF(N1075="","",LEN(N1075))</f>
        <v/>
      </c>
    </row>
    <row r="1076" customFormat="false" ht="39" hidden="false" customHeight="true" outlineLevel="0" collapsed="false">
      <c r="A1076" s="4" t="n">
        <v>1075</v>
      </c>
      <c r="B1076" s="5" t="n">
        <f aca="false">IF(OR(C1076="სხვა მოდელი წერია",I1076&gt;=განმარტება!$B$4),1,IF(OR(C1076="ცარიელი",I1076&gt;=1),2,IF(H1076&gt;=განმარტება!$B$5,3,4)))</f>
        <v>4</v>
      </c>
      <c r="C1076" s="6" t="s">
        <v>15</v>
      </c>
      <c r="D1076" s="6" t="s">
        <v>5428</v>
      </c>
      <c r="E1076" s="7" t="s">
        <v>5429</v>
      </c>
      <c r="F1076" s="7" t="n">
        <v>8925</v>
      </c>
      <c r="G1076" s="6" t="s">
        <v>1267</v>
      </c>
      <c r="H1076" s="8" t="n">
        <v>159</v>
      </c>
      <c r="I1076" s="8" t="n">
        <v>0</v>
      </c>
      <c r="J1076" s="7" t="n">
        <v>0</v>
      </c>
      <c r="K1076" s="9" t="s">
        <v>5430</v>
      </c>
      <c r="L1076" s="6" t="s">
        <v>5431</v>
      </c>
      <c r="M1076" s="6" t="s">
        <v>5432</v>
      </c>
      <c r="N1076" s="10"/>
      <c r="O1076" s="4" t="str">
        <f aca="false">IF(N1076="","",LEN(N1076))</f>
        <v/>
      </c>
    </row>
    <row r="1077" customFormat="false" ht="39" hidden="false" customHeight="true" outlineLevel="0" collapsed="false">
      <c r="A1077" s="4" t="n">
        <v>1076</v>
      </c>
      <c r="B1077" s="5" t="n">
        <f aca="false">IF(OR(C1077="სხვა მოდელი წერია",I1077&gt;=განმარტება!$B$4),1,IF(OR(C1077="ცარიელი",I1077&gt;=1),2,IF(H1077&gt;=განმარტება!$B$5,3,4)))</f>
        <v>4</v>
      </c>
      <c r="C1077" s="6" t="s">
        <v>15</v>
      </c>
      <c r="D1077" s="6" t="s">
        <v>5433</v>
      </c>
      <c r="E1077" s="7" t="s">
        <v>5434</v>
      </c>
      <c r="F1077" s="7" t="n">
        <v>3158</v>
      </c>
      <c r="G1077" s="6" t="s">
        <v>238</v>
      </c>
      <c r="H1077" s="8" t="n">
        <v>159</v>
      </c>
      <c r="I1077" s="8" t="n">
        <v>0</v>
      </c>
      <c r="J1077" s="7" t="n">
        <v>0</v>
      </c>
      <c r="K1077" s="9" t="s">
        <v>5435</v>
      </c>
      <c r="L1077" s="6" t="s">
        <v>5436</v>
      </c>
      <c r="M1077" s="6" t="s">
        <v>5437</v>
      </c>
      <c r="N1077" s="10"/>
      <c r="O1077" s="4" t="str">
        <f aca="false">IF(N1077="","",LEN(N1077))</f>
        <v/>
      </c>
    </row>
    <row r="1078" customFormat="false" ht="39" hidden="false" customHeight="true" outlineLevel="0" collapsed="false">
      <c r="A1078" s="4" t="n">
        <v>1077</v>
      </c>
      <c r="B1078" s="5" t="n">
        <f aca="false">IF(OR(C1078="სხვა მოდელი წერია",I1078&gt;=განმარტება!$B$4),1,IF(OR(C1078="ცარიელი",I1078&gt;=1),2,IF(H1078&gt;=განმარტება!$B$5,3,4)))</f>
        <v>4</v>
      </c>
      <c r="C1078" s="6" t="s">
        <v>15</v>
      </c>
      <c r="D1078" s="6" t="s">
        <v>5438</v>
      </c>
      <c r="E1078" s="7" t="s">
        <v>5439</v>
      </c>
      <c r="F1078" s="7" t="n">
        <v>1755</v>
      </c>
      <c r="G1078" s="6" t="s">
        <v>83</v>
      </c>
      <c r="H1078" s="8" t="n">
        <v>159</v>
      </c>
      <c r="I1078" s="8" t="n">
        <v>0</v>
      </c>
      <c r="J1078" s="7" t="n">
        <v>0</v>
      </c>
      <c r="K1078" s="9" t="s">
        <v>5440</v>
      </c>
      <c r="L1078" s="6" t="s">
        <v>5441</v>
      </c>
      <c r="M1078" s="6" t="s">
        <v>5442</v>
      </c>
      <c r="N1078" s="10"/>
      <c r="O1078" s="4" t="str">
        <f aca="false">IF(N1078="","",LEN(N1078))</f>
        <v/>
      </c>
    </row>
    <row r="1079" customFormat="false" ht="51.75" hidden="false" customHeight="true" outlineLevel="0" collapsed="false">
      <c r="A1079" s="4" t="n">
        <v>1078</v>
      </c>
      <c r="B1079" s="5" t="n">
        <f aca="false">IF(OR(C1079="სხვა მოდელი წერია",I1079&gt;=განმარტება!$B$4),1,IF(OR(C1079="ცარიელი",I1079&gt;=1),2,IF(H1079&gt;=განმარტება!$B$5,3,4)))</f>
        <v>4</v>
      </c>
      <c r="C1079" s="6" t="s">
        <v>15</v>
      </c>
      <c r="D1079" s="6" t="s">
        <v>5443</v>
      </c>
      <c r="E1079" s="7" t="s">
        <v>5444</v>
      </c>
      <c r="F1079" s="7" t="n">
        <v>140</v>
      </c>
      <c r="G1079" s="6" t="s">
        <v>30</v>
      </c>
      <c r="H1079" s="8" t="n">
        <v>159</v>
      </c>
      <c r="I1079" s="8" t="n">
        <v>0</v>
      </c>
      <c r="J1079" s="7" t="n">
        <v>0</v>
      </c>
      <c r="K1079" s="9" t="s">
        <v>5445</v>
      </c>
      <c r="L1079" s="6" t="s">
        <v>5446</v>
      </c>
      <c r="M1079" s="6" t="s">
        <v>5447</v>
      </c>
      <c r="N1079" s="10"/>
      <c r="O1079" s="4" t="str">
        <f aca="false">IF(N1079="","",LEN(N1079))</f>
        <v/>
      </c>
    </row>
    <row r="1080" customFormat="false" ht="39" hidden="false" customHeight="true" outlineLevel="0" collapsed="false">
      <c r="A1080" s="4" t="n">
        <v>1079</v>
      </c>
      <c r="B1080" s="5" t="n">
        <f aca="false">IF(OR(C1080="სხვა მოდელი წერია",I1080&gt;=განმარტება!$B$4),1,IF(OR(C1080="ცარიელი",I1080&gt;=1),2,IF(H1080&gt;=განმარტება!$B$5,3,4)))</f>
        <v>4</v>
      </c>
      <c r="C1080" s="6" t="s">
        <v>15</v>
      </c>
      <c r="D1080" s="6" t="s">
        <v>5448</v>
      </c>
      <c r="E1080" s="7" t="s">
        <v>5449</v>
      </c>
      <c r="F1080" s="7" t="n">
        <v>3416</v>
      </c>
      <c r="G1080" s="6" t="s">
        <v>42</v>
      </c>
      <c r="H1080" s="8" t="n">
        <v>149</v>
      </c>
      <c r="I1080" s="8" t="n">
        <v>0</v>
      </c>
      <c r="J1080" s="7" t="n">
        <v>0</v>
      </c>
      <c r="K1080" s="9" t="s">
        <v>5450</v>
      </c>
      <c r="L1080" s="6" t="s">
        <v>5451</v>
      </c>
      <c r="M1080" s="6" t="s">
        <v>5452</v>
      </c>
      <c r="N1080" s="10"/>
      <c r="O1080" s="4" t="str">
        <f aca="false">IF(N1080="","",LEN(N1080))</f>
        <v/>
      </c>
    </row>
    <row r="1081" customFormat="false" ht="39" hidden="false" customHeight="true" outlineLevel="0" collapsed="false">
      <c r="A1081" s="4" t="n">
        <v>1080</v>
      </c>
      <c r="B1081" s="5" t="n">
        <f aca="false">IF(OR(C1081="სხვა მოდელი წერია",I1081&gt;=განმარტება!$B$4),1,IF(OR(C1081="ცარიელი",I1081&gt;=1),2,IF(H1081&gt;=განმარტება!$B$5,3,4)))</f>
        <v>4</v>
      </c>
      <c r="C1081" s="6" t="s">
        <v>15</v>
      </c>
      <c r="D1081" s="6" t="s">
        <v>5453</v>
      </c>
      <c r="E1081" s="7" t="s">
        <v>5454</v>
      </c>
      <c r="F1081" s="7" t="n">
        <v>1806</v>
      </c>
      <c r="G1081" s="6" t="s">
        <v>177</v>
      </c>
      <c r="H1081" s="8" t="n">
        <v>149</v>
      </c>
      <c r="I1081" s="8" t="n">
        <v>0</v>
      </c>
      <c r="J1081" s="7" t="n">
        <v>0</v>
      </c>
      <c r="K1081" s="9" t="s">
        <v>5455</v>
      </c>
      <c r="L1081" s="6" t="s">
        <v>5456</v>
      </c>
      <c r="M1081" s="6" t="s">
        <v>5457</v>
      </c>
      <c r="N1081" s="10"/>
      <c r="O1081" s="4" t="str">
        <f aca="false">IF(N1081="","",LEN(N1081))</f>
        <v/>
      </c>
    </row>
    <row r="1082" customFormat="false" ht="39" hidden="false" customHeight="true" outlineLevel="0" collapsed="false">
      <c r="A1082" s="4" t="n">
        <v>1081</v>
      </c>
      <c r="B1082" s="5" t="n">
        <f aca="false">IF(OR(C1082="სხვა მოდელი წერია",I1082&gt;=განმარტება!$B$4),1,IF(OR(C1082="ცარიელი",I1082&gt;=1),2,IF(H1082&gt;=განმარტება!$B$5,3,4)))</f>
        <v>4</v>
      </c>
      <c r="C1082" s="6" t="s">
        <v>15</v>
      </c>
      <c r="D1082" s="6" t="s">
        <v>5458</v>
      </c>
      <c r="E1082" s="7" t="s">
        <v>5459</v>
      </c>
      <c r="F1082" s="7" t="n">
        <v>2343</v>
      </c>
      <c r="G1082" s="6" t="s">
        <v>177</v>
      </c>
      <c r="H1082" s="8" t="n">
        <v>149</v>
      </c>
      <c r="I1082" s="8" t="n">
        <v>0</v>
      </c>
      <c r="J1082" s="7" t="n">
        <v>0</v>
      </c>
      <c r="K1082" s="9" t="s">
        <v>5460</v>
      </c>
      <c r="L1082" s="6" t="s">
        <v>5461</v>
      </c>
      <c r="M1082" s="6" t="s">
        <v>5462</v>
      </c>
      <c r="N1082" s="10"/>
      <c r="O1082" s="4" t="str">
        <f aca="false">IF(N1082="","",LEN(N1082))</f>
        <v/>
      </c>
    </row>
    <row r="1083" customFormat="false" ht="39" hidden="false" customHeight="true" outlineLevel="0" collapsed="false">
      <c r="A1083" s="4" t="n">
        <v>1082</v>
      </c>
      <c r="B1083" s="5" t="n">
        <f aca="false">IF(OR(C1083="სხვა მოდელი წერია",I1083&gt;=განმარტება!$B$4),1,IF(OR(C1083="ცარიელი",I1083&gt;=1),2,IF(H1083&gt;=განმარტება!$B$5,3,4)))</f>
        <v>4</v>
      </c>
      <c r="C1083" s="6" t="s">
        <v>15</v>
      </c>
      <c r="D1083" s="6" t="s">
        <v>5463</v>
      </c>
      <c r="E1083" s="7" t="s">
        <v>5464</v>
      </c>
      <c r="F1083" s="7" t="n">
        <v>3421</v>
      </c>
      <c r="G1083" s="6" t="s">
        <v>177</v>
      </c>
      <c r="H1083" s="8" t="n">
        <v>149</v>
      </c>
      <c r="I1083" s="8" t="n">
        <v>0</v>
      </c>
      <c r="J1083" s="7" t="n">
        <v>0</v>
      </c>
      <c r="K1083" s="9" t="s">
        <v>5465</v>
      </c>
      <c r="L1083" s="6" t="s">
        <v>5466</v>
      </c>
      <c r="M1083" s="6" t="s">
        <v>5467</v>
      </c>
      <c r="N1083" s="10"/>
      <c r="O1083" s="4" t="str">
        <f aca="false">IF(N1083="","",LEN(N1083))</f>
        <v/>
      </c>
    </row>
    <row r="1084" customFormat="false" ht="39" hidden="false" customHeight="true" outlineLevel="0" collapsed="false">
      <c r="A1084" s="4" t="n">
        <v>1083</v>
      </c>
      <c r="B1084" s="5" t="n">
        <f aca="false">IF(OR(C1084="სხვა მოდელი წერია",I1084&gt;=განმარტება!$B$4),1,IF(OR(C1084="ცარიელი",I1084&gt;=1),2,IF(H1084&gt;=განმარტება!$B$5,3,4)))</f>
        <v>4</v>
      </c>
      <c r="C1084" s="6" t="s">
        <v>15</v>
      </c>
      <c r="D1084" s="6" t="s">
        <v>5468</v>
      </c>
      <c r="E1084" s="7" t="s">
        <v>5469</v>
      </c>
      <c r="F1084" s="7" t="n">
        <v>3420</v>
      </c>
      <c r="G1084" s="6" t="s">
        <v>238</v>
      </c>
      <c r="H1084" s="8" t="n">
        <v>149</v>
      </c>
      <c r="I1084" s="8" t="n">
        <v>0</v>
      </c>
      <c r="J1084" s="7" t="n">
        <v>0</v>
      </c>
      <c r="K1084" s="9" t="s">
        <v>5470</v>
      </c>
      <c r="L1084" s="6" t="s">
        <v>5471</v>
      </c>
      <c r="M1084" s="6" t="s">
        <v>5472</v>
      </c>
      <c r="N1084" s="10"/>
      <c r="O1084" s="4" t="str">
        <f aca="false">IF(N1084="","",LEN(N1084))</f>
        <v/>
      </c>
    </row>
    <row r="1085" customFormat="false" ht="39" hidden="false" customHeight="true" outlineLevel="0" collapsed="false">
      <c r="A1085" s="4" t="n">
        <v>1084</v>
      </c>
      <c r="B1085" s="5" t="n">
        <f aca="false">IF(OR(C1085="სხვა მოდელი წერია",I1085&gt;=განმარტება!$B$4),1,IF(OR(C1085="ცარიელი",I1085&gt;=1),2,IF(H1085&gt;=განმარტება!$B$5,3,4)))</f>
        <v>4</v>
      </c>
      <c r="C1085" s="6" t="s">
        <v>15</v>
      </c>
      <c r="D1085" s="6" t="s">
        <v>5473</v>
      </c>
      <c r="E1085" s="7" t="s">
        <v>5474</v>
      </c>
      <c r="F1085" s="7" t="n">
        <v>2218</v>
      </c>
      <c r="G1085" s="6" t="s">
        <v>238</v>
      </c>
      <c r="H1085" s="8" t="n">
        <v>149</v>
      </c>
      <c r="I1085" s="8" t="n">
        <v>0</v>
      </c>
      <c r="J1085" s="7" t="n">
        <v>0</v>
      </c>
      <c r="K1085" s="9" t="s">
        <v>5475</v>
      </c>
      <c r="L1085" s="6" t="s">
        <v>5476</v>
      </c>
      <c r="M1085" s="6" t="s">
        <v>5477</v>
      </c>
      <c r="N1085" s="10"/>
      <c r="O1085" s="4" t="str">
        <f aca="false">IF(N1085="","",LEN(N1085))</f>
        <v/>
      </c>
    </row>
    <row r="1086" customFormat="false" ht="39" hidden="false" customHeight="true" outlineLevel="0" collapsed="false">
      <c r="A1086" s="4" t="n">
        <v>1085</v>
      </c>
      <c r="B1086" s="5" t="n">
        <f aca="false">IF(OR(C1086="სხვა მოდელი წერია",I1086&gt;=განმარტება!$B$4),1,IF(OR(C1086="ცარიელი",I1086&gt;=1),2,IF(H1086&gt;=განმარტება!$B$5,3,4)))</f>
        <v>4</v>
      </c>
      <c r="C1086" s="6" t="s">
        <v>15</v>
      </c>
      <c r="D1086" s="6" t="s">
        <v>5478</v>
      </c>
      <c r="E1086" s="7" t="s">
        <v>5479</v>
      </c>
      <c r="F1086" s="7" t="n">
        <v>2300</v>
      </c>
      <c r="G1086" s="6" t="s">
        <v>1712</v>
      </c>
      <c r="H1086" s="8" t="n">
        <v>149</v>
      </c>
      <c r="I1086" s="8" t="n">
        <v>0</v>
      </c>
      <c r="J1086" s="7" t="n">
        <v>0</v>
      </c>
      <c r="K1086" s="9" t="s">
        <v>5480</v>
      </c>
      <c r="L1086" s="6" t="s">
        <v>5481</v>
      </c>
      <c r="M1086" s="6" t="s">
        <v>5482</v>
      </c>
      <c r="N1086" s="10"/>
      <c r="O1086" s="4" t="str">
        <f aca="false">IF(N1086="","",LEN(N1086))</f>
        <v/>
      </c>
    </row>
    <row r="1087" customFormat="false" ht="39" hidden="false" customHeight="true" outlineLevel="0" collapsed="false">
      <c r="A1087" s="4" t="n">
        <v>1086</v>
      </c>
      <c r="B1087" s="5" t="n">
        <f aca="false">IF(OR(C1087="სხვა მოდელი წერია",I1087&gt;=განმარტება!$B$4),1,IF(OR(C1087="ცარიელი",I1087&gt;=1),2,IF(H1087&gt;=განმარტება!$B$5,3,4)))</f>
        <v>4</v>
      </c>
      <c r="C1087" s="6" t="s">
        <v>15</v>
      </c>
      <c r="D1087" s="6" t="s">
        <v>5483</v>
      </c>
      <c r="E1087" s="7" t="s">
        <v>5484</v>
      </c>
      <c r="F1087" s="7" t="n">
        <v>1941</v>
      </c>
      <c r="G1087" s="6" t="s">
        <v>285</v>
      </c>
      <c r="H1087" s="8" t="n">
        <v>139</v>
      </c>
      <c r="I1087" s="8" t="n">
        <v>0</v>
      </c>
      <c r="J1087" s="7" t="n">
        <v>0</v>
      </c>
      <c r="K1087" s="9" t="s">
        <v>5485</v>
      </c>
      <c r="L1087" s="6" t="s">
        <v>5486</v>
      </c>
      <c r="M1087" s="6" t="s">
        <v>5487</v>
      </c>
      <c r="N1087" s="10"/>
      <c r="O1087" s="4" t="str">
        <f aca="false">IF(N1087="","",LEN(N1087))</f>
        <v/>
      </c>
    </row>
    <row r="1088" customFormat="false" ht="51.75" hidden="false" customHeight="true" outlineLevel="0" collapsed="false">
      <c r="A1088" s="4" t="n">
        <v>1087</v>
      </c>
      <c r="B1088" s="5" t="n">
        <f aca="false">IF(OR(C1088="სხვა მოდელი წერია",I1088&gt;=განმარტება!$B$4),1,IF(OR(C1088="ცარიელი",I1088&gt;=1),2,IF(H1088&gt;=განმარტება!$B$5,3,4)))</f>
        <v>4</v>
      </c>
      <c r="C1088" s="6" t="s">
        <v>15</v>
      </c>
      <c r="D1088" s="6" t="s">
        <v>5488</v>
      </c>
      <c r="E1088" s="7" t="s">
        <v>5489</v>
      </c>
      <c r="F1088" s="7" t="n">
        <v>1792</v>
      </c>
      <c r="G1088" s="6" t="s">
        <v>30</v>
      </c>
      <c r="H1088" s="8" t="n">
        <v>139</v>
      </c>
      <c r="I1088" s="8" t="n">
        <v>0</v>
      </c>
      <c r="J1088" s="7" t="n">
        <v>0</v>
      </c>
      <c r="K1088" s="9" t="s">
        <v>5490</v>
      </c>
      <c r="L1088" s="6" t="s">
        <v>5491</v>
      </c>
      <c r="M1088" s="6" t="s">
        <v>5492</v>
      </c>
      <c r="N1088" s="10"/>
      <c r="O1088" s="4" t="str">
        <f aca="false">IF(N1088="","",LEN(N1088))</f>
        <v/>
      </c>
    </row>
    <row r="1089" customFormat="false" ht="39" hidden="false" customHeight="true" outlineLevel="0" collapsed="false">
      <c r="A1089" s="4" t="n">
        <v>1088</v>
      </c>
      <c r="B1089" s="5" t="n">
        <f aca="false">IF(OR(C1089="სხვა მოდელი წერია",I1089&gt;=განმარტება!$B$4),1,IF(OR(C1089="ცარიელი",I1089&gt;=1),2,IF(H1089&gt;=განმარტება!$B$5,3,4)))</f>
        <v>4</v>
      </c>
      <c r="C1089" s="6" t="s">
        <v>15</v>
      </c>
      <c r="D1089" s="6" t="s">
        <v>5493</v>
      </c>
      <c r="E1089" s="7" t="s">
        <v>5494</v>
      </c>
      <c r="F1089" s="7" t="n">
        <v>742</v>
      </c>
      <c r="G1089" s="6" t="s">
        <v>3212</v>
      </c>
      <c r="H1089" s="8" t="n">
        <v>139</v>
      </c>
      <c r="I1089" s="8" t="n">
        <v>0</v>
      </c>
      <c r="J1089" s="7" t="n">
        <v>0</v>
      </c>
      <c r="K1089" s="9" t="s">
        <v>5495</v>
      </c>
      <c r="L1089" s="6" t="s">
        <v>5496</v>
      </c>
      <c r="M1089" s="6" t="s">
        <v>5497</v>
      </c>
      <c r="N1089" s="10"/>
      <c r="O1089" s="4" t="str">
        <f aca="false">IF(N1089="","",LEN(N1089))</f>
        <v/>
      </c>
    </row>
    <row r="1090" customFormat="false" ht="39" hidden="false" customHeight="true" outlineLevel="0" collapsed="false">
      <c r="A1090" s="4" t="n">
        <v>1089</v>
      </c>
      <c r="B1090" s="5" t="n">
        <f aca="false">IF(OR(C1090="სხვა მოდელი წერია",I1090&gt;=განმარტება!$B$4),1,IF(OR(C1090="ცარიელი",I1090&gt;=1),2,IF(H1090&gt;=განმარტება!$B$5,3,4)))</f>
        <v>4</v>
      </c>
      <c r="C1090" s="6" t="s">
        <v>316</v>
      </c>
      <c r="D1090" s="6" t="s">
        <v>5498</v>
      </c>
      <c r="E1090" s="7" t="s">
        <v>5499</v>
      </c>
      <c r="F1090" s="7" t="n">
        <v>1759</v>
      </c>
      <c r="G1090" s="6" t="s">
        <v>1994</v>
      </c>
      <c r="H1090" s="8" t="n">
        <v>138</v>
      </c>
      <c r="I1090" s="8" t="n">
        <v>0</v>
      </c>
      <c r="J1090" s="7" t="n">
        <v>0</v>
      </c>
      <c r="K1090" s="9" t="s">
        <v>5500</v>
      </c>
      <c r="L1090" s="6" t="s">
        <v>5501</v>
      </c>
      <c r="M1090" s="6" t="s">
        <v>5502</v>
      </c>
      <c r="N1090" s="10"/>
      <c r="O1090" s="4" t="str">
        <f aca="false">IF(N1090="","",LEN(N1090))</f>
        <v/>
      </c>
    </row>
    <row r="1091" customFormat="false" ht="64.5" hidden="false" customHeight="true" outlineLevel="0" collapsed="false">
      <c r="A1091" s="4" t="n">
        <v>1090</v>
      </c>
      <c r="B1091" s="5" t="n">
        <f aca="false">IF(OR(C1091="სხვა მოდელი წერია",I1091&gt;=განმარტება!$B$4),1,IF(OR(C1091="ცარიელი",I1091&gt;=1),2,IF(H1091&gt;=განმარტება!$B$5,3,4)))</f>
        <v>4</v>
      </c>
      <c r="C1091" s="6" t="s">
        <v>15</v>
      </c>
      <c r="D1091" s="6" t="s">
        <v>5503</v>
      </c>
      <c r="E1091" s="7" t="s">
        <v>5504</v>
      </c>
      <c r="F1091" s="7" t="n">
        <v>2196</v>
      </c>
      <c r="G1091" s="6" t="s">
        <v>5505</v>
      </c>
      <c r="H1091" s="8" t="n">
        <v>126</v>
      </c>
      <c r="I1091" s="8" t="n">
        <v>0</v>
      </c>
      <c r="J1091" s="7" t="n">
        <v>0</v>
      </c>
      <c r="K1091" s="9" t="s">
        <v>5506</v>
      </c>
      <c r="L1091" s="6" t="s">
        <v>5507</v>
      </c>
      <c r="M1091" s="6" t="s">
        <v>5508</v>
      </c>
      <c r="N1091" s="10"/>
      <c r="O1091" s="4" t="str">
        <f aca="false">IF(N1091="","",LEN(N1091))</f>
        <v/>
      </c>
    </row>
    <row r="1092" customFormat="false" ht="39" hidden="false" customHeight="true" outlineLevel="0" collapsed="false">
      <c r="A1092" s="4" t="n">
        <v>1091</v>
      </c>
      <c r="B1092" s="5" t="n">
        <f aca="false">IF(OR(C1092="სხვა მოდელი წერია",I1092&gt;=განმარტება!$B$4),1,IF(OR(C1092="ცარიელი",I1092&gt;=1),2,IF(H1092&gt;=განმარტება!$B$5,3,4)))</f>
        <v>4</v>
      </c>
      <c r="C1092" s="6" t="s">
        <v>15</v>
      </c>
      <c r="D1092" s="6" t="s">
        <v>5509</v>
      </c>
      <c r="E1092" s="7" t="s">
        <v>5510</v>
      </c>
      <c r="F1092" s="7" t="n">
        <v>3075</v>
      </c>
      <c r="G1092" s="6" t="s">
        <v>3833</v>
      </c>
      <c r="H1092" s="8" t="n">
        <v>125</v>
      </c>
      <c r="I1092" s="8" t="n">
        <v>0</v>
      </c>
      <c r="J1092" s="7" t="n">
        <v>0</v>
      </c>
      <c r="K1092" s="9" t="s">
        <v>5511</v>
      </c>
      <c r="L1092" s="6" t="s">
        <v>5512</v>
      </c>
      <c r="M1092" s="6" t="s">
        <v>5513</v>
      </c>
      <c r="N1092" s="10"/>
      <c r="O1092" s="4" t="str">
        <f aca="false">IF(N1092="","",LEN(N1092))</f>
        <v/>
      </c>
    </row>
    <row r="1093" customFormat="false" ht="77.25" hidden="false" customHeight="true" outlineLevel="0" collapsed="false">
      <c r="A1093" s="4" t="n">
        <v>1092</v>
      </c>
      <c r="B1093" s="5" t="n">
        <f aca="false">IF(OR(C1093="სხვა მოდელი წერია",I1093&gt;=განმარტება!$B$4),1,IF(OR(C1093="ცარიელი",I1093&gt;=1),2,IF(H1093&gt;=განმარტება!$B$5,3,4)))</f>
        <v>4</v>
      </c>
      <c r="C1093" s="6" t="s">
        <v>15</v>
      </c>
      <c r="D1093" s="6" t="s">
        <v>5514</v>
      </c>
      <c r="E1093" s="7" t="s">
        <v>5515</v>
      </c>
      <c r="F1093" s="7" t="n">
        <v>5083</v>
      </c>
      <c r="G1093" s="6" t="s">
        <v>4145</v>
      </c>
      <c r="H1093" s="8" t="n">
        <v>120</v>
      </c>
      <c r="I1093" s="8" t="n">
        <v>0</v>
      </c>
      <c r="J1093" s="7" t="n">
        <v>0</v>
      </c>
      <c r="K1093" s="9" t="s">
        <v>5516</v>
      </c>
      <c r="L1093" s="6" t="s">
        <v>5517</v>
      </c>
      <c r="M1093" s="6" t="s">
        <v>5518</v>
      </c>
      <c r="N1093" s="10"/>
      <c r="O1093" s="4" t="str">
        <f aca="false">IF(N1093="","",LEN(N1093))</f>
        <v/>
      </c>
    </row>
    <row r="1094" customFormat="false" ht="39" hidden="false" customHeight="true" outlineLevel="0" collapsed="false">
      <c r="A1094" s="4" t="n">
        <v>1093</v>
      </c>
      <c r="B1094" s="5" t="n">
        <f aca="false">IF(OR(C1094="სხვა მოდელი წერია",I1094&gt;=განმარტება!$B$4),1,IF(OR(C1094="ცარიელი",I1094&gt;=1),2,IF(H1094&gt;=განმარტება!$B$5,3,4)))</f>
        <v>4</v>
      </c>
      <c r="C1094" s="6" t="s">
        <v>316</v>
      </c>
      <c r="D1094" s="6" t="s">
        <v>5519</v>
      </c>
      <c r="E1094" s="7" t="s">
        <v>5520</v>
      </c>
      <c r="F1094" s="7" t="n">
        <v>1818</v>
      </c>
      <c r="G1094" s="6" t="s">
        <v>1994</v>
      </c>
      <c r="H1094" s="8" t="n">
        <v>115</v>
      </c>
      <c r="I1094" s="8" t="n">
        <v>0</v>
      </c>
      <c r="J1094" s="7" t="n">
        <v>0</v>
      </c>
      <c r="K1094" s="9" t="s">
        <v>5521</v>
      </c>
      <c r="L1094" s="6" t="s">
        <v>5522</v>
      </c>
      <c r="M1094" s="6" t="s">
        <v>5523</v>
      </c>
      <c r="N1094" s="10"/>
      <c r="O1094" s="4" t="str">
        <f aca="false">IF(N1094="","",LEN(N1094))</f>
        <v/>
      </c>
    </row>
    <row r="1095" customFormat="false" ht="51.75" hidden="false" customHeight="true" outlineLevel="0" collapsed="false">
      <c r="A1095" s="4" t="n">
        <v>1094</v>
      </c>
      <c r="B1095" s="5" t="n">
        <f aca="false">IF(OR(C1095="სხვა მოდელი წერია",I1095&gt;=განმარტება!$B$4),1,IF(OR(C1095="ცარიელი",I1095&gt;=1),2,IF(H1095&gt;=განმარტება!$B$5,3,4)))</f>
        <v>4</v>
      </c>
      <c r="C1095" s="6" t="s">
        <v>15</v>
      </c>
      <c r="D1095" s="6" t="s">
        <v>5524</v>
      </c>
      <c r="E1095" s="7" t="s">
        <v>5525</v>
      </c>
      <c r="F1095" s="7" t="n">
        <v>1731</v>
      </c>
      <c r="G1095" s="6" t="s">
        <v>4981</v>
      </c>
      <c r="H1095" s="8" t="n">
        <v>115</v>
      </c>
      <c r="I1095" s="8" t="n">
        <v>0</v>
      </c>
      <c r="J1095" s="7" t="n">
        <v>0</v>
      </c>
      <c r="K1095" s="9" t="s">
        <v>5526</v>
      </c>
      <c r="L1095" s="6" t="s">
        <v>5527</v>
      </c>
      <c r="M1095" s="6" t="s">
        <v>5528</v>
      </c>
      <c r="N1095" s="10"/>
      <c r="O1095" s="4" t="str">
        <f aca="false">IF(N1095="","",LEN(N1095))</f>
        <v/>
      </c>
    </row>
    <row r="1096" customFormat="false" ht="77.25" hidden="false" customHeight="true" outlineLevel="0" collapsed="false">
      <c r="A1096" s="4" t="n">
        <v>1095</v>
      </c>
      <c r="B1096" s="5" t="n">
        <f aca="false">IF(OR(C1096="სხვა მოდელი წერია",I1096&gt;=განმარტება!$B$4),1,IF(OR(C1096="ცარიელი",I1096&gt;=1),2,IF(H1096&gt;=განმარტება!$B$5,3,4)))</f>
        <v>4</v>
      </c>
      <c r="C1096" s="6" t="s">
        <v>15</v>
      </c>
      <c r="D1096" s="6" t="s">
        <v>5529</v>
      </c>
      <c r="E1096" s="7" t="s">
        <v>5530</v>
      </c>
      <c r="F1096" s="7" t="n">
        <v>5082</v>
      </c>
      <c r="G1096" s="6" t="s">
        <v>4145</v>
      </c>
      <c r="H1096" s="8" t="n">
        <v>110</v>
      </c>
      <c r="I1096" s="8" t="n">
        <v>0</v>
      </c>
      <c r="J1096" s="7" t="n">
        <v>0</v>
      </c>
      <c r="K1096" s="9" t="s">
        <v>5531</v>
      </c>
      <c r="L1096" s="6" t="s">
        <v>5532</v>
      </c>
      <c r="M1096" s="6" t="s">
        <v>5533</v>
      </c>
      <c r="N1096" s="10"/>
      <c r="O1096" s="4" t="str">
        <f aca="false">IF(N1096="","",LEN(N1096))</f>
        <v/>
      </c>
    </row>
    <row r="1097" customFormat="false" ht="39" hidden="false" customHeight="true" outlineLevel="0" collapsed="false">
      <c r="A1097" s="4" t="n">
        <v>1096</v>
      </c>
      <c r="B1097" s="5" t="n">
        <f aca="false">IF(OR(C1097="სხვა მოდელი წერია",I1097&gt;=განმარტება!$B$4),1,IF(OR(C1097="ცარიელი",I1097&gt;=1),2,IF(H1097&gt;=განმარტება!$B$5,3,4)))</f>
        <v>4</v>
      </c>
      <c r="C1097" s="6" t="s">
        <v>15</v>
      </c>
      <c r="D1097" s="6" t="s">
        <v>5534</v>
      </c>
      <c r="E1097" s="7" t="s">
        <v>5535</v>
      </c>
      <c r="F1097" s="7" t="n">
        <v>399</v>
      </c>
      <c r="G1097" s="6" t="s">
        <v>563</v>
      </c>
      <c r="H1097" s="8" t="n">
        <v>109</v>
      </c>
      <c r="I1097" s="8" t="n">
        <v>0</v>
      </c>
      <c r="J1097" s="7" t="n">
        <v>0</v>
      </c>
      <c r="K1097" s="9" t="s">
        <v>5536</v>
      </c>
      <c r="L1097" s="6" t="s">
        <v>5537</v>
      </c>
      <c r="M1097" s="6" t="s">
        <v>5538</v>
      </c>
      <c r="N1097" s="10"/>
      <c r="O1097" s="4" t="str">
        <f aca="false">IF(N1097="","",LEN(N1097))</f>
        <v/>
      </c>
    </row>
    <row r="1098" customFormat="false" ht="39" hidden="false" customHeight="true" outlineLevel="0" collapsed="false">
      <c r="A1098" s="4" t="n">
        <v>1097</v>
      </c>
      <c r="B1098" s="5" t="n">
        <f aca="false">IF(OR(C1098="სხვა მოდელი წერია",I1098&gt;=განმარტება!$B$4),1,IF(OR(C1098="ცარიელი",I1098&gt;=1),2,IF(H1098&gt;=განმარტება!$B$5,3,4)))</f>
        <v>4</v>
      </c>
      <c r="C1098" s="6" t="s">
        <v>316</v>
      </c>
      <c r="D1098" s="6" t="s">
        <v>5539</v>
      </c>
      <c r="E1098" s="7" t="s">
        <v>5540</v>
      </c>
      <c r="F1098" s="7" t="n">
        <v>2071</v>
      </c>
      <c r="G1098" s="6" t="s">
        <v>5541</v>
      </c>
      <c r="H1098" s="8" t="n">
        <v>109</v>
      </c>
      <c r="I1098" s="8" t="n">
        <v>0</v>
      </c>
      <c r="J1098" s="7" t="n">
        <v>0</v>
      </c>
      <c r="K1098" s="9" t="s">
        <v>5542</v>
      </c>
      <c r="L1098" s="6" t="s">
        <v>5543</v>
      </c>
      <c r="M1098" s="6" t="s">
        <v>5544</v>
      </c>
      <c r="N1098" s="10"/>
      <c r="O1098" s="4" t="str">
        <f aca="false">IF(N1098="","",LEN(N1098))</f>
        <v/>
      </c>
    </row>
    <row r="1099" customFormat="false" ht="39" hidden="false" customHeight="true" outlineLevel="0" collapsed="false">
      <c r="A1099" s="4" t="n">
        <v>1098</v>
      </c>
      <c r="B1099" s="5" t="n">
        <f aca="false">IF(OR(C1099="სხვა მოდელი წერია",I1099&gt;=განმარტება!$B$4),1,IF(OR(C1099="ცარიელი",I1099&gt;=1),2,IF(H1099&gt;=განმარტება!$B$5,3,4)))</f>
        <v>4</v>
      </c>
      <c r="C1099" s="6" t="s">
        <v>15</v>
      </c>
      <c r="D1099" s="6" t="s">
        <v>5545</v>
      </c>
      <c r="E1099" s="7" t="s">
        <v>5546</v>
      </c>
      <c r="F1099" s="7" t="n">
        <v>404</v>
      </c>
      <c r="G1099" s="6" t="s">
        <v>563</v>
      </c>
      <c r="H1099" s="8" t="n">
        <v>105</v>
      </c>
      <c r="I1099" s="8" t="n">
        <v>0</v>
      </c>
      <c r="J1099" s="7" t="n">
        <v>0</v>
      </c>
      <c r="K1099" s="9" t="s">
        <v>5547</v>
      </c>
      <c r="L1099" s="6" t="s">
        <v>5548</v>
      </c>
      <c r="M1099" s="6" t="s">
        <v>5549</v>
      </c>
      <c r="N1099" s="10"/>
      <c r="O1099" s="4" t="str">
        <f aca="false">IF(N1099="","",LEN(N1099))</f>
        <v/>
      </c>
    </row>
    <row r="1100" customFormat="false" ht="39" hidden="false" customHeight="true" outlineLevel="0" collapsed="false">
      <c r="A1100" s="4" t="n">
        <v>1099</v>
      </c>
      <c r="B1100" s="5" t="n">
        <f aca="false">IF(OR(C1100="სხვა მოდელი წერია",I1100&gt;=განმარტება!$B$4),1,IF(OR(C1100="ცარიელი",I1100&gt;=1),2,IF(H1100&gt;=განმარტება!$B$5,3,4)))</f>
        <v>4</v>
      </c>
      <c r="C1100" s="6" t="s">
        <v>15</v>
      </c>
      <c r="D1100" s="6" t="s">
        <v>5550</v>
      </c>
      <c r="E1100" s="7" t="s">
        <v>5551</v>
      </c>
      <c r="F1100" s="7" t="n">
        <v>1990</v>
      </c>
      <c r="G1100" s="6" t="s">
        <v>5552</v>
      </c>
      <c r="H1100" s="8" t="n">
        <v>105</v>
      </c>
      <c r="I1100" s="8" t="n">
        <v>0</v>
      </c>
      <c r="J1100" s="7" t="n">
        <v>0</v>
      </c>
      <c r="K1100" s="9" t="s">
        <v>5553</v>
      </c>
      <c r="L1100" s="6" t="s">
        <v>5554</v>
      </c>
      <c r="M1100" s="6" t="s">
        <v>5555</v>
      </c>
      <c r="N1100" s="10"/>
      <c r="O1100" s="4" t="str">
        <f aca="false">IF(N1100="","",LEN(N1100))</f>
        <v/>
      </c>
    </row>
    <row r="1101" customFormat="false" ht="39" hidden="false" customHeight="true" outlineLevel="0" collapsed="false">
      <c r="A1101" s="4" t="n">
        <v>1100</v>
      </c>
      <c r="B1101" s="5" t="n">
        <f aca="false">IF(OR(C1101="სხვა მოდელი წერია",I1101&gt;=განმარტება!$B$4),1,IF(OR(C1101="ცარიელი",I1101&gt;=1),2,IF(H1101&gt;=განმარტება!$B$5,3,4)))</f>
        <v>4</v>
      </c>
      <c r="C1101" s="6" t="s">
        <v>15</v>
      </c>
      <c r="D1101" s="6" t="s">
        <v>5556</v>
      </c>
      <c r="E1101" s="7" t="s">
        <v>5557</v>
      </c>
      <c r="F1101" s="7" t="n">
        <v>2431</v>
      </c>
      <c r="G1101" s="6" t="s">
        <v>563</v>
      </c>
      <c r="H1101" s="8" t="n">
        <v>105</v>
      </c>
      <c r="I1101" s="8" t="n">
        <v>0</v>
      </c>
      <c r="J1101" s="7" t="n">
        <v>0</v>
      </c>
      <c r="K1101" s="9" t="s">
        <v>5558</v>
      </c>
      <c r="L1101" s="6" t="s">
        <v>5559</v>
      </c>
      <c r="M1101" s="6" t="s">
        <v>5560</v>
      </c>
      <c r="N1101" s="10"/>
      <c r="O1101" s="4" t="str">
        <f aca="false">IF(N1101="","",LEN(N1101))</f>
        <v/>
      </c>
    </row>
    <row r="1102" customFormat="false" ht="77.25" hidden="false" customHeight="true" outlineLevel="0" collapsed="false">
      <c r="A1102" s="4" t="n">
        <v>1101</v>
      </c>
      <c r="B1102" s="5" t="n">
        <f aca="false">IF(OR(C1102="სხვა მოდელი წერია",I1102&gt;=განმარტება!$B$4),1,IF(OR(C1102="ცარიელი",I1102&gt;=1),2,IF(H1102&gt;=განმარტება!$B$5,3,4)))</f>
        <v>4</v>
      </c>
      <c r="C1102" s="6" t="s">
        <v>15</v>
      </c>
      <c r="D1102" s="6" t="s">
        <v>5561</v>
      </c>
      <c r="E1102" s="7" t="s">
        <v>5562</v>
      </c>
      <c r="F1102" s="7" t="n">
        <v>5084</v>
      </c>
      <c r="G1102" s="6" t="s">
        <v>4145</v>
      </c>
      <c r="H1102" s="8" t="n">
        <v>105</v>
      </c>
      <c r="I1102" s="8" t="n">
        <v>0</v>
      </c>
      <c r="J1102" s="7" t="n">
        <v>0</v>
      </c>
      <c r="K1102" s="9" t="s">
        <v>5563</v>
      </c>
      <c r="L1102" s="6" t="s">
        <v>5564</v>
      </c>
      <c r="M1102" s="6" t="s">
        <v>5565</v>
      </c>
      <c r="N1102" s="10"/>
      <c r="O1102" s="4" t="str">
        <f aca="false">IF(N1102="","",LEN(N1102))</f>
        <v/>
      </c>
    </row>
    <row r="1103" customFormat="false" ht="39" hidden="false" customHeight="true" outlineLevel="0" collapsed="false">
      <c r="A1103" s="4" t="n">
        <v>1102</v>
      </c>
      <c r="B1103" s="5" t="n">
        <f aca="false">IF(OR(C1103="სხვა მოდელი წერია",I1103&gt;=განმარტება!$B$4),1,IF(OR(C1103="ცარიელი",I1103&gt;=1),2,IF(H1103&gt;=განმარტება!$B$5,3,4)))</f>
        <v>4</v>
      </c>
      <c r="C1103" s="6" t="s">
        <v>15</v>
      </c>
      <c r="D1103" s="6" t="s">
        <v>5566</v>
      </c>
      <c r="E1103" s="7" t="s">
        <v>5567</v>
      </c>
      <c r="F1103" s="7" t="n">
        <v>2419</v>
      </c>
      <c r="G1103" s="6" t="s">
        <v>177</v>
      </c>
      <c r="H1103" s="8" t="n">
        <v>104</v>
      </c>
      <c r="I1103" s="8" t="n">
        <v>0</v>
      </c>
      <c r="J1103" s="7" t="n">
        <v>0</v>
      </c>
      <c r="K1103" s="9" t="s">
        <v>5568</v>
      </c>
      <c r="L1103" s="6" t="s">
        <v>5569</v>
      </c>
      <c r="M1103" s="6" t="s">
        <v>5570</v>
      </c>
      <c r="N1103" s="10"/>
      <c r="O1103" s="4" t="str">
        <f aca="false">IF(N1103="","",LEN(N1103))</f>
        <v/>
      </c>
    </row>
    <row r="1104" customFormat="false" ht="39" hidden="false" customHeight="true" outlineLevel="0" collapsed="false">
      <c r="A1104" s="4" t="n">
        <v>1103</v>
      </c>
      <c r="B1104" s="5" t="n">
        <f aca="false">IF(OR(C1104="სხვა მოდელი წერია",I1104&gt;=განმარტება!$B$4),1,IF(OR(C1104="ცარიელი",I1104&gt;=1),2,IF(H1104&gt;=განმარტება!$B$5,3,4)))</f>
        <v>4</v>
      </c>
      <c r="C1104" s="6" t="s">
        <v>15</v>
      </c>
      <c r="D1104" s="6" t="s">
        <v>5571</v>
      </c>
      <c r="E1104" s="7" t="s">
        <v>5572</v>
      </c>
      <c r="F1104" s="7" t="n">
        <v>1753</v>
      </c>
      <c r="G1104" s="6" t="s">
        <v>296</v>
      </c>
      <c r="H1104" s="8" t="n">
        <v>104</v>
      </c>
      <c r="I1104" s="8" t="n">
        <v>0</v>
      </c>
      <c r="J1104" s="7" t="n">
        <v>0</v>
      </c>
      <c r="K1104" s="9" t="s">
        <v>5573</v>
      </c>
      <c r="L1104" s="6" t="s">
        <v>5574</v>
      </c>
      <c r="M1104" s="6" t="s">
        <v>5575</v>
      </c>
      <c r="N1104" s="10"/>
      <c r="O1104" s="4" t="str">
        <f aca="false">IF(N1104="","",LEN(N1104))</f>
        <v/>
      </c>
    </row>
    <row r="1105" customFormat="false" ht="39" hidden="false" customHeight="true" outlineLevel="0" collapsed="false">
      <c r="A1105" s="4" t="n">
        <v>1104</v>
      </c>
      <c r="B1105" s="5" t="n">
        <f aca="false">IF(OR(C1105="სხვა მოდელი წერია",I1105&gt;=განმარტება!$B$4),1,IF(OR(C1105="ცარიელი",I1105&gt;=1),2,IF(H1105&gt;=განმარტება!$B$5,3,4)))</f>
        <v>4</v>
      </c>
      <c r="C1105" s="6" t="s">
        <v>15</v>
      </c>
      <c r="D1105" s="6" t="s">
        <v>5576</v>
      </c>
      <c r="E1105" s="7" t="s">
        <v>5577</v>
      </c>
      <c r="F1105" s="7" t="n">
        <v>1770</v>
      </c>
      <c r="G1105" s="6" t="s">
        <v>238</v>
      </c>
      <c r="H1105" s="8" t="n">
        <v>103</v>
      </c>
      <c r="I1105" s="8" t="n">
        <v>0</v>
      </c>
      <c r="J1105" s="7" t="n">
        <v>0</v>
      </c>
      <c r="K1105" s="9" t="s">
        <v>5578</v>
      </c>
      <c r="L1105" s="6" t="s">
        <v>5579</v>
      </c>
      <c r="M1105" s="6" t="s">
        <v>5580</v>
      </c>
      <c r="N1105" s="10"/>
      <c r="O1105" s="4" t="str">
        <f aca="false">IF(N1105="","",LEN(N1105))</f>
        <v/>
      </c>
    </row>
    <row r="1106" customFormat="false" ht="64.5" hidden="false" customHeight="true" outlineLevel="0" collapsed="false">
      <c r="A1106" s="4" t="n">
        <v>1105</v>
      </c>
      <c r="B1106" s="5" t="n">
        <f aca="false">IF(OR(C1106="სხვა მოდელი წერია",I1106&gt;=განმარტება!$B$4),1,IF(OR(C1106="ცარიელი",I1106&gt;=1),2,IF(H1106&gt;=განმარტება!$B$5,3,4)))</f>
        <v>4</v>
      </c>
      <c r="C1106" s="6" t="s">
        <v>15</v>
      </c>
      <c r="D1106" s="6" t="s">
        <v>5581</v>
      </c>
      <c r="E1106" s="7" t="s">
        <v>5582</v>
      </c>
      <c r="F1106" s="7" t="n">
        <v>1114</v>
      </c>
      <c r="G1106" s="6" t="s">
        <v>145</v>
      </c>
      <c r="H1106" s="8" t="n">
        <v>99</v>
      </c>
      <c r="I1106" s="8" t="n">
        <v>0</v>
      </c>
      <c r="J1106" s="7" t="n">
        <v>0</v>
      </c>
      <c r="K1106" s="9" t="s">
        <v>5583</v>
      </c>
      <c r="L1106" s="6" t="s">
        <v>5584</v>
      </c>
      <c r="M1106" s="6" t="s">
        <v>5585</v>
      </c>
      <c r="N1106" s="10"/>
      <c r="O1106" s="4" t="str">
        <f aca="false">IF(N1106="","",LEN(N1106))</f>
        <v/>
      </c>
    </row>
    <row r="1107" customFormat="false" ht="39" hidden="false" customHeight="true" outlineLevel="0" collapsed="false">
      <c r="A1107" s="4" t="n">
        <v>1106</v>
      </c>
      <c r="B1107" s="5" t="n">
        <f aca="false">IF(OR(C1107="სხვა მოდელი წერია",I1107&gt;=განმარტება!$B$4),1,IF(OR(C1107="ცარიელი",I1107&gt;=1),2,IF(H1107&gt;=განმარტება!$B$5,3,4)))</f>
        <v>4</v>
      </c>
      <c r="C1107" s="6" t="s">
        <v>15</v>
      </c>
      <c r="D1107" s="6" t="s">
        <v>5586</v>
      </c>
      <c r="E1107" s="7" t="s">
        <v>5587</v>
      </c>
      <c r="F1107" s="7" t="n">
        <v>557</v>
      </c>
      <c r="G1107" s="6" t="s">
        <v>5541</v>
      </c>
      <c r="H1107" s="8" t="n">
        <v>99</v>
      </c>
      <c r="I1107" s="8" t="n">
        <v>0</v>
      </c>
      <c r="J1107" s="7" t="n">
        <v>0</v>
      </c>
      <c r="K1107" s="9" t="s">
        <v>5588</v>
      </c>
      <c r="L1107" s="6" t="s">
        <v>5589</v>
      </c>
      <c r="M1107" s="6" t="s">
        <v>5590</v>
      </c>
      <c r="N1107" s="10"/>
      <c r="O1107" s="4" t="str">
        <f aca="false">IF(N1107="","",LEN(N1107))</f>
        <v/>
      </c>
    </row>
    <row r="1108" customFormat="false" ht="39" hidden="false" customHeight="true" outlineLevel="0" collapsed="false">
      <c r="A1108" s="4" t="n">
        <v>1107</v>
      </c>
      <c r="B1108" s="5" t="n">
        <f aca="false">IF(OR(C1108="სხვა მოდელი წერია",I1108&gt;=განმარტება!$B$4),1,IF(OR(C1108="ცარიელი",I1108&gt;=1),2,IF(H1108&gt;=განმარტება!$B$5,3,4)))</f>
        <v>4</v>
      </c>
      <c r="C1108" s="6" t="s">
        <v>15</v>
      </c>
      <c r="D1108" s="6" t="s">
        <v>5591</v>
      </c>
      <c r="E1108" s="7" t="s">
        <v>5592</v>
      </c>
      <c r="F1108" s="7" t="n">
        <v>732</v>
      </c>
      <c r="G1108" s="6" t="s">
        <v>3212</v>
      </c>
      <c r="H1108" s="8" t="n">
        <v>99</v>
      </c>
      <c r="I1108" s="8" t="n">
        <v>0</v>
      </c>
      <c r="J1108" s="7" t="n">
        <v>0</v>
      </c>
      <c r="K1108" s="9" t="s">
        <v>5593</v>
      </c>
      <c r="L1108" s="6" t="s">
        <v>5594</v>
      </c>
      <c r="M1108" s="6" t="s">
        <v>5595</v>
      </c>
      <c r="N1108" s="10"/>
      <c r="O1108" s="4" t="str">
        <f aca="false">IF(N1108="","",LEN(N1108))</f>
        <v/>
      </c>
    </row>
    <row r="1109" customFormat="false" ht="39" hidden="false" customHeight="true" outlineLevel="0" collapsed="false">
      <c r="A1109" s="4" t="n">
        <v>1108</v>
      </c>
      <c r="B1109" s="5" t="n">
        <f aca="false">IF(OR(C1109="სხვა მოდელი წერია",I1109&gt;=განმარტება!$B$4),1,IF(OR(C1109="ცარიელი",I1109&gt;=1),2,IF(H1109&gt;=განმარტება!$B$5,3,4)))</f>
        <v>4</v>
      </c>
      <c r="C1109" s="6" t="s">
        <v>15</v>
      </c>
      <c r="D1109" s="6" t="s">
        <v>5596</v>
      </c>
      <c r="E1109" s="7" t="s">
        <v>5597</v>
      </c>
      <c r="F1109" s="7" t="n">
        <v>2732</v>
      </c>
      <c r="G1109" s="6" t="s">
        <v>177</v>
      </c>
      <c r="H1109" s="8" t="n">
        <v>97</v>
      </c>
      <c r="I1109" s="8" t="n">
        <v>0</v>
      </c>
      <c r="J1109" s="7" t="n">
        <v>0</v>
      </c>
      <c r="K1109" s="9" t="s">
        <v>5598</v>
      </c>
      <c r="L1109" s="6" t="s">
        <v>5599</v>
      </c>
      <c r="M1109" s="6" t="s">
        <v>5600</v>
      </c>
      <c r="N1109" s="10"/>
      <c r="O1109" s="4" t="str">
        <f aca="false">IF(N1109="","",LEN(N1109))</f>
        <v/>
      </c>
    </row>
    <row r="1110" customFormat="false" ht="39" hidden="false" customHeight="true" outlineLevel="0" collapsed="false">
      <c r="A1110" s="4" t="n">
        <v>1109</v>
      </c>
      <c r="B1110" s="5" t="n">
        <f aca="false">IF(OR(C1110="სხვა მოდელი წერია",I1110&gt;=განმარტება!$B$4),1,IF(OR(C1110="ცარიელი",I1110&gt;=1),2,IF(H1110&gt;=განმარტება!$B$5,3,4)))</f>
        <v>4</v>
      </c>
      <c r="C1110" s="6" t="s">
        <v>15</v>
      </c>
      <c r="D1110" s="6" t="s">
        <v>5601</v>
      </c>
      <c r="E1110" s="7" t="s">
        <v>5602</v>
      </c>
      <c r="F1110" s="7" t="n">
        <v>3078</v>
      </c>
      <c r="G1110" s="6" t="s">
        <v>238</v>
      </c>
      <c r="H1110" s="8" t="n">
        <v>89</v>
      </c>
      <c r="I1110" s="8" t="n">
        <v>0</v>
      </c>
      <c r="J1110" s="7" t="n">
        <v>0</v>
      </c>
      <c r="K1110" s="9" t="s">
        <v>5603</v>
      </c>
      <c r="L1110" s="6" t="s">
        <v>5604</v>
      </c>
      <c r="M1110" s="6" t="s">
        <v>5605</v>
      </c>
      <c r="N1110" s="10"/>
      <c r="O1110" s="4" t="str">
        <f aca="false">IF(N1110="","",LEN(N1110))</f>
        <v/>
      </c>
    </row>
    <row r="1111" customFormat="false" ht="39" hidden="false" customHeight="true" outlineLevel="0" collapsed="false">
      <c r="A1111" s="4" t="n">
        <v>1110</v>
      </c>
      <c r="B1111" s="5" t="n">
        <f aca="false">IF(OR(C1111="სხვა მოდელი წერია",I1111&gt;=განმარტება!$B$4),1,IF(OR(C1111="ცარიელი",I1111&gt;=1),2,IF(H1111&gt;=განმარტება!$B$5,3,4)))</f>
        <v>4</v>
      </c>
      <c r="C1111" s="6" t="s">
        <v>316</v>
      </c>
      <c r="D1111" s="6" t="s">
        <v>5606</v>
      </c>
      <c r="E1111" s="7" t="s">
        <v>5607</v>
      </c>
      <c r="F1111" s="7" t="n">
        <v>2357</v>
      </c>
      <c r="G1111" s="6" t="s">
        <v>1712</v>
      </c>
      <c r="H1111" s="8" t="n">
        <v>89</v>
      </c>
      <c r="I1111" s="8" t="n">
        <v>0</v>
      </c>
      <c r="J1111" s="7" t="n">
        <v>0</v>
      </c>
      <c r="K1111" s="9" t="s">
        <v>5608</v>
      </c>
      <c r="L1111" s="6" t="s">
        <v>5609</v>
      </c>
      <c r="M1111" s="6" t="s">
        <v>5610</v>
      </c>
      <c r="N1111" s="10"/>
      <c r="O1111" s="4" t="str">
        <f aca="false">IF(N1111="","",LEN(N1111))</f>
        <v/>
      </c>
    </row>
    <row r="1112" customFormat="false" ht="39" hidden="false" customHeight="true" outlineLevel="0" collapsed="false">
      <c r="A1112" s="4" t="n">
        <v>1111</v>
      </c>
      <c r="B1112" s="5" t="n">
        <f aca="false">IF(OR(C1112="სხვა მოდელი წერია",I1112&gt;=განმარტება!$B$4),1,IF(OR(C1112="ცარიელი",I1112&gt;=1),2,IF(H1112&gt;=განმარტება!$B$5,3,4)))</f>
        <v>4</v>
      </c>
      <c r="C1112" s="6" t="s">
        <v>15</v>
      </c>
      <c r="D1112" s="6" t="s">
        <v>5611</v>
      </c>
      <c r="E1112" s="7" t="s">
        <v>5612</v>
      </c>
      <c r="F1112" s="7" t="n">
        <v>1951</v>
      </c>
      <c r="G1112" s="6" t="s">
        <v>5541</v>
      </c>
      <c r="H1112" s="8" t="n">
        <v>88</v>
      </c>
      <c r="I1112" s="8" t="n">
        <v>0</v>
      </c>
      <c r="J1112" s="7" t="n">
        <v>0</v>
      </c>
      <c r="K1112" s="9" t="s">
        <v>5613</v>
      </c>
      <c r="L1112" s="6" t="s">
        <v>5614</v>
      </c>
      <c r="M1112" s="6" t="s">
        <v>5615</v>
      </c>
      <c r="N1112" s="10"/>
      <c r="O1112" s="4" t="str">
        <f aca="false">IF(N1112="","",LEN(N1112))</f>
        <v/>
      </c>
    </row>
    <row r="1113" customFormat="false" ht="39" hidden="false" customHeight="true" outlineLevel="0" collapsed="false">
      <c r="A1113" s="4" t="n">
        <v>1112</v>
      </c>
      <c r="B1113" s="5" t="n">
        <f aca="false">IF(OR(C1113="სხვა მოდელი წერია",I1113&gt;=განმარტება!$B$4),1,IF(OR(C1113="ცარიელი",I1113&gt;=1),2,IF(H1113&gt;=განმარტება!$B$5,3,4)))</f>
        <v>4</v>
      </c>
      <c r="C1113" s="6" t="s">
        <v>15</v>
      </c>
      <c r="D1113" s="6" t="s">
        <v>5616</v>
      </c>
      <c r="E1113" s="7" t="s">
        <v>5617</v>
      </c>
      <c r="F1113" s="7" t="n">
        <v>2430</v>
      </c>
      <c r="G1113" s="6" t="s">
        <v>563</v>
      </c>
      <c r="H1113" s="8" t="n">
        <v>85</v>
      </c>
      <c r="I1113" s="8" t="n">
        <v>0</v>
      </c>
      <c r="J1113" s="7" t="n">
        <v>0</v>
      </c>
      <c r="K1113" s="9" t="s">
        <v>5618</v>
      </c>
      <c r="L1113" s="6" t="s">
        <v>5619</v>
      </c>
      <c r="M1113" s="6" t="s">
        <v>5620</v>
      </c>
      <c r="N1113" s="10"/>
      <c r="O1113" s="4" t="str">
        <f aca="false">IF(N1113="","",LEN(N1113))</f>
        <v/>
      </c>
    </row>
    <row r="1114" customFormat="false" ht="39" hidden="false" customHeight="true" outlineLevel="0" collapsed="false">
      <c r="A1114" s="4" t="n">
        <v>1113</v>
      </c>
      <c r="B1114" s="5" t="n">
        <f aca="false">IF(OR(C1114="სხვა მოდელი წერია",I1114&gt;=განმარტება!$B$4),1,IF(OR(C1114="ცარიელი",I1114&gt;=1),2,IF(H1114&gt;=განმარტება!$B$5,3,4)))</f>
        <v>4</v>
      </c>
      <c r="C1114" s="6" t="s">
        <v>316</v>
      </c>
      <c r="D1114" s="6" t="s">
        <v>5621</v>
      </c>
      <c r="E1114" s="7" t="s">
        <v>5622</v>
      </c>
      <c r="F1114" s="7" t="n">
        <v>1541</v>
      </c>
      <c r="G1114" s="6" t="s">
        <v>1994</v>
      </c>
      <c r="H1114" s="8" t="n">
        <v>80</v>
      </c>
      <c r="I1114" s="8" t="n">
        <v>0</v>
      </c>
      <c r="J1114" s="7" t="n">
        <v>0</v>
      </c>
      <c r="K1114" s="9" t="s">
        <v>5623</v>
      </c>
      <c r="L1114" s="6" t="s">
        <v>5624</v>
      </c>
      <c r="M1114" s="6" t="s">
        <v>5625</v>
      </c>
      <c r="N1114" s="10"/>
      <c r="O1114" s="4" t="str">
        <f aca="false">IF(N1114="","",LEN(N1114))</f>
        <v/>
      </c>
    </row>
    <row r="1115" customFormat="false" ht="39" hidden="false" customHeight="true" outlineLevel="0" collapsed="false">
      <c r="A1115" s="4" t="n">
        <v>1114</v>
      </c>
      <c r="B1115" s="5" t="n">
        <f aca="false">IF(OR(C1115="სხვა მოდელი წერია",I1115&gt;=განმარტება!$B$4),1,IF(OR(C1115="ცარიელი",I1115&gt;=1),2,IF(H1115&gt;=განმარტება!$B$5,3,4)))</f>
        <v>4</v>
      </c>
      <c r="C1115" s="6" t="s">
        <v>15</v>
      </c>
      <c r="D1115" s="6" t="s">
        <v>5626</v>
      </c>
      <c r="E1115" s="7" t="s">
        <v>5627</v>
      </c>
      <c r="F1115" s="7" t="n">
        <v>2054</v>
      </c>
      <c r="G1115" s="6" t="s">
        <v>1994</v>
      </c>
      <c r="H1115" s="8" t="n">
        <v>80</v>
      </c>
      <c r="I1115" s="8" t="n">
        <v>0</v>
      </c>
      <c r="J1115" s="7" t="n">
        <v>0</v>
      </c>
      <c r="K1115" s="9" t="s">
        <v>5628</v>
      </c>
      <c r="L1115" s="6" t="s">
        <v>5629</v>
      </c>
      <c r="M1115" s="6" t="s">
        <v>5630</v>
      </c>
      <c r="N1115" s="10"/>
      <c r="O1115" s="4" t="str">
        <f aca="false">IF(N1115="","",LEN(N1115))</f>
        <v/>
      </c>
    </row>
    <row r="1116" customFormat="false" ht="64.5" hidden="false" customHeight="true" outlineLevel="0" collapsed="false">
      <c r="A1116" s="4" t="n">
        <v>1115</v>
      </c>
      <c r="B1116" s="5" t="n">
        <f aca="false">IF(OR(C1116="სხვა მოდელი წერია",I1116&gt;=განმარტება!$B$4),1,IF(OR(C1116="ცარიელი",I1116&gt;=1),2,IF(H1116&gt;=განმარტება!$B$5,3,4)))</f>
        <v>4</v>
      </c>
      <c r="C1116" s="6" t="s">
        <v>15</v>
      </c>
      <c r="D1116" s="6" t="s">
        <v>5631</v>
      </c>
      <c r="E1116" s="7" t="s">
        <v>5632</v>
      </c>
      <c r="F1116" s="7" t="n">
        <v>2295</v>
      </c>
      <c r="G1116" s="6" t="s">
        <v>714</v>
      </c>
      <c r="H1116" s="8" t="n">
        <v>72</v>
      </c>
      <c r="I1116" s="8" t="n">
        <v>0</v>
      </c>
      <c r="J1116" s="7" t="n">
        <v>0</v>
      </c>
      <c r="K1116" s="9" t="s">
        <v>5633</v>
      </c>
      <c r="L1116" s="6" t="s">
        <v>5634</v>
      </c>
      <c r="M1116" s="6" t="s">
        <v>5635</v>
      </c>
      <c r="N1116" s="10"/>
      <c r="O1116" s="4" t="str">
        <f aca="false">IF(N1116="","",LEN(N1116))</f>
        <v/>
      </c>
    </row>
    <row r="1117" customFormat="false" ht="39" hidden="false" customHeight="true" outlineLevel="0" collapsed="false">
      <c r="A1117" s="4" t="n">
        <v>1116</v>
      </c>
      <c r="B1117" s="5" t="n">
        <f aca="false">IF(OR(C1117="სხვა მოდელი წერია",I1117&gt;=განმარტება!$B$4),1,IF(OR(C1117="ცარიელი",I1117&gt;=1),2,IF(H1117&gt;=განმარტება!$B$5,3,4)))</f>
        <v>4</v>
      </c>
      <c r="C1117" s="6" t="s">
        <v>15</v>
      </c>
      <c r="D1117" s="6" t="s">
        <v>5636</v>
      </c>
      <c r="E1117" s="7" t="s">
        <v>5637</v>
      </c>
      <c r="F1117" s="7" t="n">
        <v>3974</v>
      </c>
      <c r="G1117" s="6" t="s">
        <v>238</v>
      </c>
      <c r="H1117" s="8" t="n">
        <v>70</v>
      </c>
      <c r="I1117" s="8" t="n">
        <v>0</v>
      </c>
      <c r="J1117" s="7" t="n">
        <v>0</v>
      </c>
      <c r="K1117" s="9" t="s">
        <v>5638</v>
      </c>
      <c r="L1117" s="6" t="s">
        <v>5639</v>
      </c>
      <c r="M1117" s="6" t="s">
        <v>5640</v>
      </c>
      <c r="N1117" s="10"/>
      <c r="O1117" s="4" t="str">
        <f aca="false">IF(N1117="","",LEN(N1117))</f>
        <v/>
      </c>
    </row>
    <row r="1118" customFormat="false" ht="39" hidden="false" customHeight="true" outlineLevel="0" collapsed="false">
      <c r="A1118" s="4" t="n">
        <v>1117</v>
      </c>
      <c r="B1118" s="5" t="n">
        <f aca="false">IF(OR(C1118="სხვა მოდელი წერია",I1118&gt;=განმარტება!$B$4),1,IF(OR(C1118="ცარიელი",I1118&gt;=1),2,IF(H1118&gt;=განმარტება!$B$5,3,4)))</f>
        <v>4</v>
      </c>
      <c r="C1118" s="6" t="s">
        <v>15</v>
      </c>
      <c r="D1118" s="6" t="s">
        <v>5641</v>
      </c>
      <c r="E1118" s="7" t="s">
        <v>5642</v>
      </c>
      <c r="F1118" s="7" t="n">
        <v>2012</v>
      </c>
      <c r="G1118" s="6" t="s">
        <v>1994</v>
      </c>
      <c r="H1118" s="8" t="n">
        <v>65</v>
      </c>
      <c r="I1118" s="8" t="n">
        <v>0</v>
      </c>
      <c r="J1118" s="7" t="n">
        <v>0</v>
      </c>
      <c r="K1118" s="9" t="s">
        <v>5643</v>
      </c>
      <c r="L1118" s="6" t="s">
        <v>5644</v>
      </c>
      <c r="M1118" s="6" t="s">
        <v>5645</v>
      </c>
      <c r="N1118" s="10"/>
      <c r="O1118" s="4" t="str">
        <f aca="false">IF(N1118="","",LEN(N1118))</f>
        <v/>
      </c>
    </row>
    <row r="1119" customFormat="false" ht="64.5" hidden="false" customHeight="true" outlineLevel="0" collapsed="false">
      <c r="A1119" s="4" t="n">
        <v>1118</v>
      </c>
      <c r="B1119" s="5" t="n">
        <f aca="false">IF(OR(C1119="სხვა მოდელი წერია",I1119&gt;=განმარტება!$B$4),1,IF(OR(C1119="ცარიელი",I1119&gt;=1),2,IF(H1119&gt;=განმარტება!$B$5,3,4)))</f>
        <v>4</v>
      </c>
      <c r="C1119" s="6" t="s">
        <v>15</v>
      </c>
      <c r="D1119" s="6" t="s">
        <v>5646</v>
      </c>
      <c r="E1119" s="7" t="s">
        <v>5647</v>
      </c>
      <c r="F1119" s="7" t="n">
        <v>1829</v>
      </c>
      <c r="G1119" s="6" t="s">
        <v>714</v>
      </c>
      <c r="H1119" s="8" t="n">
        <v>64</v>
      </c>
      <c r="I1119" s="8" t="n">
        <v>0</v>
      </c>
      <c r="J1119" s="7" t="n">
        <v>0</v>
      </c>
      <c r="K1119" s="9" t="s">
        <v>5648</v>
      </c>
      <c r="L1119" s="6" t="s">
        <v>5649</v>
      </c>
      <c r="M1119" s="6" t="s">
        <v>5650</v>
      </c>
      <c r="N1119" s="10"/>
      <c r="O1119" s="4" t="str">
        <f aca="false">IF(N1119="","",LEN(N1119))</f>
        <v/>
      </c>
    </row>
    <row r="1120" customFormat="false" ht="39" hidden="false" customHeight="true" outlineLevel="0" collapsed="false">
      <c r="A1120" s="4" t="n">
        <v>1119</v>
      </c>
      <c r="B1120" s="5" t="n">
        <f aca="false">IF(OR(C1120="სხვა მოდელი წერია",I1120&gt;=განმარტება!$B$4),1,IF(OR(C1120="ცარიელი",I1120&gt;=1),2,IF(H1120&gt;=განმარტება!$B$5,3,4)))</f>
        <v>4</v>
      </c>
      <c r="C1120" s="6" t="s">
        <v>15</v>
      </c>
      <c r="D1120" s="6" t="s">
        <v>5651</v>
      </c>
      <c r="E1120" s="7" t="s">
        <v>5652</v>
      </c>
      <c r="F1120" s="7" t="n">
        <v>2359</v>
      </c>
      <c r="G1120" s="6" t="s">
        <v>5541</v>
      </c>
      <c r="H1120" s="8" t="n">
        <v>59</v>
      </c>
      <c r="I1120" s="8" t="n">
        <v>0</v>
      </c>
      <c r="J1120" s="7" t="n">
        <v>0</v>
      </c>
      <c r="K1120" s="9" t="s">
        <v>5653</v>
      </c>
      <c r="L1120" s="6" t="s">
        <v>5654</v>
      </c>
      <c r="M1120" s="6" t="s">
        <v>5655</v>
      </c>
      <c r="N1120" s="10"/>
      <c r="O1120" s="4" t="str">
        <f aca="false">IF(N1120="","",LEN(N1120))</f>
        <v/>
      </c>
    </row>
    <row r="1121" customFormat="false" ht="39" hidden="false" customHeight="true" outlineLevel="0" collapsed="false">
      <c r="A1121" s="4" t="n">
        <v>1120</v>
      </c>
      <c r="B1121" s="5" t="n">
        <f aca="false">IF(OR(C1121="სხვა მოდელი წერია",I1121&gt;=განმარტება!$B$4),1,IF(OR(C1121="ცარიელი",I1121&gt;=1),2,IF(H1121&gt;=განმარტება!$B$5,3,4)))</f>
        <v>4</v>
      </c>
      <c r="C1121" s="6" t="s">
        <v>316</v>
      </c>
      <c r="D1121" s="6" t="s">
        <v>5656</v>
      </c>
      <c r="E1121" s="7" t="s">
        <v>5657</v>
      </c>
      <c r="F1121" s="7" t="n">
        <v>733</v>
      </c>
      <c r="G1121" s="6" t="s">
        <v>3212</v>
      </c>
      <c r="H1121" s="8" t="n">
        <v>57</v>
      </c>
      <c r="I1121" s="8" t="n">
        <v>0</v>
      </c>
      <c r="J1121" s="7" t="n">
        <v>0</v>
      </c>
      <c r="K1121" s="9" t="s">
        <v>5658</v>
      </c>
      <c r="L1121" s="6" t="s">
        <v>5659</v>
      </c>
      <c r="M1121" s="6" t="s">
        <v>5660</v>
      </c>
      <c r="N1121" s="10"/>
      <c r="O1121" s="4" t="str">
        <f aca="false">IF(N1121="","",LEN(N1121))</f>
        <v/>
      </c>
    </row>
    <row r="1122" customFormat="false" ht="51.75" hidden="false" customHeight="true" outlineLevel="0" collapsed="false">
      <c r="A1122" s="4" t="n">
        <v>1121</v>
      </c>
      <c r="B1122" s="5" t="n">
        <f aca="false">IF(OR(C1122="სხვა მოდელი წერია",I1122&gt;=განმარტება!$B$4),1,IF(OR(C1122="ცარიელი",I1122&gt;=1),2,IF(H1122&gt;=განმარტება!$B$5,3,4)))</f>
        <v>4</v>
      </c>
      <c r="C1122" s="6" t="s">
        <v>15</v>
      </c>
      <c r="D1122" s="6" t="s">
        <v>5661</v>
      </c>
      <c r="E1122" s="7" t="s">
        <v>5662</v>
      </c>
      <c r="F1122" s="7" t="n">
        <v>434</v>
      </c>
      <c r="G1122" s="6" t="s">
        <v>30</v>
      </c>
      <c r="H1122" s="8" t="n">
        <v>45</v>
      </c>
      <c r="I1122" s="8" t="n">
        <v>0</v>
      </c>
      <c r="J1122" s="7" t="n">
        <v>0</v>
      </c>
      <c r="K1122" s="9" t="s">
        <v>5663</v>
      </c>
      <c r="L1122" s="6" t="s">
        <v>5664</v>
      </c>
      <c r="M1122" s="6" t="s">
        <v>5665</v>
      </c>
      <c r="N1122" s="10"/>
      <c r="O1122" s="4" t="str">
        <f aca="false">IF(N1122="","",LEN(N1122))</f>
        <v/>
      </c>
    </row>
    <row r="1123" customFormat="false" ht="39" hidden="false" customHeight="true" outlineLevel="0" collapsed="false">
      <c r="A1123" s="4" t="n">
        <v>1122</v>
      </c>
      <c r="B1123" s="5" t="n">
        <f aca="false">IF(OR(C1123="სხვა მოდელი წერია",I1123&gt;=განმარტება!$B$4),1,IF(OR(C1123="ცარიელი",I1123&gt;=1),2,IF(H1123&gt;=განმარტება!$B$5,3,4)))</f>
        <v>4</v>
      </c>
      <c r="C1123" s="6" t="s">
        <v>316</v>
      </c>
      <c r="D1123" s="6" t="s">
        <v>5666</v>
      </c>
      <c r="E1123" s="7" t="s">
        <v>5667</v>
      </c>
      <c r="F1123" s="7" t="n">
        <v>2029</v>
      </c>
      <c r="G1123" s="6" t="s">
        <v>1994</v>
      </c>
      <c r="H1123" s="8" t="n">
        <v>45</v>
      </c>
      <c r="I1123" s="8" t="n">
        <v>0</v>
      </c>
      <c r="J1123" s="7" t="n">
        <v>0</v>
      </c>
      <c r="K1123" s="9" t="s">
        <v>5668</v>
      </c>
      <c r="L1123" s="6" t="s">
        <v>5669</v>
      </c>
      <c r="M1123" s="6" t="s">
        <v>5670</v>
      </c>
      <c r="N1123" s="10"/>
      <c r="O1123" s="4" t="str">
        <f aca="false">IF(N1123="","",LEN(N1123))</f>
        <v/>
      </c>
    </row>
    <row r="1124" customFormat="false" ht="39" hidden="false" customHeight="true" outlineLevel="0" collapsed="false">
      <c r="A1124" s="4" t="n">
        <v>1123</v>
      </c>
      <c r="B1124" s="5" t="n">
        <f aca="false">IF(OR(C1124="სხვა მოდელი წერია",I1124&gt;=განმარტება!$B$4),1,IF(OR(C1124="ცარიელი",I1124&gt;=1),2,IF(H1124&gt;=განმარტება!$B$5,3,4)))</f>
        <v>4</v>
      </c>
      <c r="C1124" s="6" t="s">
        <v>15</v>
      </c>
      <c r="D1124" s="6" t="s">
        <v>5671</v>
      </c>
      <c r="E1124" s="7" t="s">
        <v>5672</v>
      </c>
      <c r="F1124" s="7" t="n">
        <v>672</v>
      </c>
      <c r="G1124" s="6" t="s">
        <v>5061</v>
      </c>
      <c r="H1124" s="8" t="n">
        <v>41</v>
      </c>
      <c r="I1124" s="8" t="n">
        <v>0</v>
      </c>
      <c r="J1124" s="7" t="n">
        <v>0</v>
      </c>
      <c r="K1124" s="9" t="s">
        <v>5673</v>
      </c>
      <c r="L1124" s="6" t="s">
        <v>5674</v>
      </c>
      <c r="M1124" s="6" t="s">
        <v>5675</v>
      </c>
      <c r="N1124" s="10"/>
      <c r="O1124" s="4" t="str">
        <f aca="false">IF(N1124="","",LEN(N1124))</f>
        <v/>
      </c>
    </row>
    <row r="1125" customFormat="false" ht="39" hidden="false" customHeight="true" outlineLevel="0" collapsed="false">
      <c r="A1125" s="4" t="n">
        <v>1124</v>
      </c>
      <c r="B1125" s="5" t="n">
        <f aca="false">IF(OR(C1125="სხვა მოდელი წერია",I1125&gt;=განმარტება!$B$4),1,IF(OR(C1125="ცარიელი",I1125&gt;=1),2,IF(H1125&gt;=განმარტება!$B$5,3,4)))</f>
        <v>4</v>
      </c>
      <c r="C1125" s="6" t="s">
        <v>15</v>
      </c>
      <c r="D1125" s="6" t="s">
        <v>5676</v>
      </c>
      <c r="E1125" s="7" t="s">
        <v>5677</v>
      </c>
      <c r="F1125" s="7" t="n">
        <v>1884</v>
      </c>
      <c r="G1125" s="6" t="s">
        <v>5061</v>
      </c>
      <c r="H1125" s="8" t="n">
        <v>41</v>
      </c>
      <c r="I1125" s="8" t="n">
        <v>0</v>
      </c>
      <c r="J1125" s="7" t="n">
        <v>0</v>
      </c>
      <c r="K1125" s="9" t="s">
        <v>5678</v>
      </c>
      <c r="L1125" s="6" t="s">
        <v>5679</v>
      </c>
      <c r="M1125" s="6" t="s">
        <v>5680</v>
      </c>
      <c r="N1125" s="10"/>
      <c r="O1125" s="4" t="str">
        <f aca="false">IF(N1125="","",LEN(N1125))</f>
        <v/>
      </c>
    </row>
    <row r="1126" customFormat="false" ht="39" hidden="false" customHeight="true" outlineLevel="0" collapsed="false">
      <c r="A1126" s="4" t="n">
        <v>1125</v>
      </c>
      <c r="B1126" s="5" t="n">
        <f aca="false">IF(OR(C1126="სხვა მოდელი წერია",I1126&gt;=განმარტება!$B$4),1,IF(OR(C1126="ცარიელი",I1126&gt;=1),2,IF(H1126&gt;=განმარტება!$B$5,3,4)))</f>
        <v>4</v>
      </c>
      <c r="C1126" s="6" t="s">
        <v>316</v>
      </c>
      <c r="D1126" s="6" t="s">
        <v>5681</v>
      </c>
      <c r="E1126" s="7" t="s">
        <v>5682</v>
      </c>
      <c r="F1126" s="7" t="n">
        <v>2023</v>
      </c>
      <c r="G1126" s="6" t="s">
        <v>1994</v>
      </c>
      <c r="H1126" s="8" t="n">
        <v>40</v>
      </c>
      <c r="I1126" s="8" t="n">
        <v>0</v>
      </c>
      <c r="J1126" s="7" t="n">
        <v>0</v>
      </c>
      <c r="K1126" s="9" t="s">
        <v>5683</v>
      </c>
      <c r="L1126" s="6" t="s">
        <v>5684</v>
      </c>
      <c r="M1126" s="6" t="s">
        <v>5685</v>
      </c>
      <c r="N1126" s="10"/>
      <c r="O1126" s="4" t="str">
        <f aca="false">IF(N1126="","",LEN(N1126))</f>
        <v/>
      </c>
    </row>
    <row r="1127" customFormat="false" ht="39" hidden="false" customHeight="true" outlineLevel="0" collapsed="false">
      <c r="A1127" s="4" t="n">
        <v>1126</v>
      </c>
      <c r="B1127" s="5" t="n">
        <f aca="false">IF(OR(C1127="სხვა მოდელი წერია",I1127&gt;=განმარტება!$B$4),1,IF(OR(C1127="ცარიელი",I1127&gt;=1),2,IF(H1127&gt;=განმარტება!$B$5,3,4)))</f>
        <v>4</v>
      </c>
      <c r="C1127" s="6" t="s">
        <v>316</v>
      </c>
      <c r="D1127" s="6" t="s">
        <v>5686</v>
      </c>
      <c r="E1127" s="7" t="s">
        <v>5687</v>
      </c>
      <c r="F1127" s="7" t="n">
        <v>2035</v>
      </c>
      <c r="G1127" s="6" t="s">
        <v>1994</v>
      </c>
      <c r="H1127" s="8" t="n">
        <v>39</v>
      </c>
      <c r="I1127" s="8" t="n">
        <v>0</v>
      </c>
      <c r="J1127" s="7" t="n">
        <v>0</v>
      </c>
      <c r="K1127" s="9" t="s">
        <v>5688</v>
      </c>
      <c r="L1127" s="6" t="s">
        <v>5689</v>
      </c>
      <c r="M1127" s="6" t="s">
        <v>5690</v>
      </c>
      <c r="N1127" s="10"/>
      <c r="O1127" s="4" t="str">
        <f aca="false">IF(N1127="","",LEN(N1127))</f>
        <v/>
      </c>
    </row>
    <row r="1128" customFormat="false" ht="39" hidden="false" customHeight="true" outlineLevel="0" collapsed="false">
      <c r="A1128" s="4" t="n">
        <v>1127</v>
      </c>
      <c r="B1128" s="5" t="n">
        <f aca="false">IF(OR(C1128="სხვა მოდელი წერია",I1128&gt;=განმარტება!$B$4),1,IF(OR(C1128="ცარიელი",I1128&gt;=1),2,IF(H1128&gt;=განმარტება!$B$5,3,4)))</f>
        <v>4</v>
      </c>
      <c r="C1128" s="6" t="s">
        <v>15</v>
      </c>
      <c r="D1128" s="6" t="s">
        <v>5691</v>
      </c>
      <c r="E1128" s="7" t="s">
        <v>5692</v>
      </c>
      <c r="F1128" s="7" t="n">
        <v>1855</v>
      </c>
      <c r="G1128" s="6" t="s">
        <v>340</v>
      </c>
      <c r="H1128" s="8" t="n">
        <v>39</v>
      </c>
      <c r="I1128" s="8" t="n">
        <v>0</v>
      </c>
      <c r="J1128" s="7" t="n">
        <v>0</v>
      </c>
      <c r="K1128" s="9" t="s">
        <v>5693</v>
      </c>
      <c r="L1128" s="6" t="s">
        <v>5694</v>
      </c>
      <c r="M1128" s="6" t="s">
        <v>5695</v>
      </c>
      <c r="N1128" s="10"/>
      <c r="O1128" s="4" t="str">
        <f aca="false">IF(N1128="","",LEN(N1128))</f>
        <v/>
      </c>
    </row>
    <row r="1129" customFormat="false" ht="39" hidden="false" customHeight="true" outlineLevel="0" collapsed="false">
      <c r="A1129" s="4" t="n">
        <v>1128</v>
      </c>
      <c r="B1129" s="5" t="n">
        <f aca="false">IF(OR(C1129="სხვა მოდელი წერია",I1129&gt;=განმარტება!$B$4),1,IF(OR(C1129="ცარიელი",I1129&gt;=1),2,IF(H1129&gt;=განმარტება!$B$5,3,4)))</f>
        <v>4</v>
      </c>
      <c r="C1129" s="6" t="s">
        <v>15</v>
      </c>
      <c r="D1129" s="6" t="s">
        <v>5696</v>
      </c>
      <c r="E1129" s="7" t="s">
        <v>5697</v>
      </c>
      <c r="F1129" s="7" t="n">
        <v>3289</v>
      </c>
      <c r="G1129" s="6" t="s">
        <v>5284</v>
      </c>
      <c r="H1129" s="8" t="n">
        <v>39</v>
      </c>
      <c r="I1129" s="8" t="n">
        <v>0</v>
      </c>
      <c r="J1129" s="7" t="n">
        <v>0</v>
      </c>
      <c r="K1129" s="9" t="s">
        <v>5698</v>
      </c>
      <c r="L1129" s="6" t="s">
        <v>5699</v>
      </c>
      <c r="M1129" s="6" t="s">
        <v>5700</v>
      </c>
      <c r="N1129" s="10"/>
      <c r="O1129" s="4" t="str">
        <f aca="false">IF(N1129="","",LEN(N1129))</f>
        <v/>
      </c>
    </row>
    <row r="1130" customFormat="false" ht="39" hidden="false" customHeight="true" outlineLevel="0" collapsed="false">
      <c r="A1130" s="4" t="n">
        <v>1129</v>
      </c>
      <c r="B1130" s="5" t="n">
        <f aca="false">IF(OR(C1130="სხვა მოდელი წერია",I1130&gt;=განმარტება!$B$4),1,IF(OR(C1130="ცარიელი",I1130&gt;=1),2,IF(H1130&gt;=განმარტება!$B$5,3,4)))</f>
        <v>4</v>
      </c>
      <c r="C1130" s="6" t="s">
        <v>15</v>
      </c>
      <c r="D1130" s="6" t="s">
        <v>5701</v>
      </c>
      <c r="E1130" s="7" t="s">
        <v>5702</v>
      </c>
      <c r="F1130" s="7" t="n">
        <v>5169</v>
      </c>
      <c r="G1130" s="6" t="s">
        <v>858</v>
      </c>
      <c r="H1130" s="8" t="n">
        <v>32</v>
      </c>
      <c r="I1130" s="8" t="n">
        <v>0</v>
      </c>
      <c r="J1130" s="7" t="n">
        <v>0</v>
      </c>
      <c r="K1130" s="9" t="s">
        <v>5703</v>
      </c>
      <c r="L1130" s="6" t="s">
        <v>5704</v>
      </c>
      <c r="M1130" s="6" t="s">
        <v>5705</v>
      </c>
      <c r="N1130" s="10"/>
      <c r="O1130" s="4" t="str">
        <f aca="false">IF(N1130="","",LEN(N1130))</f>
        <v/>
      </c>
    </row>
    <row r="1131" customFormat="false" ht="39" hidden="false" customHeight="true" outlineLevel="0" collapsed="false">
      <c r="A1131" s="4" t="n">
        <v>1130</v>
      </c>
      <c r="B1131" s="5" t="n">
        <f aca="false">IF(OR(C1131="სხვა მოდელი წერია",I1131&gt;=განმარტება!$B$4),1,IF(OR(C1131="ცარიელი",I1131&gt;=1),2,IF(H1131&gt;=განმარტება!$B$5,3,4)))</f>
        <v>4</v>
      </c>
      <c r="C1131" s="6" t="s">
        <v>316</v>
      </c>
      <c r="D1131" s="6" t="s">
        <v>5706</v>
      </c>
      <c r="E1131" s="7" t="s">
        <v>5707</v>
      </c>
      <c r="F1131" s="7" t="n">
        <v>5168</v>
      </c>
      <c r="G1131" s="6" t="s">
        <v>858</v>
      </c>
      <c r="H1131" s="8" t="n">
        <v>30</v>
      </c>
      <c r="I1131" s="8" t="n">
        <v>0</v>
      </c>
      <c r="J1131" s="7" t="n">
        <v>0</v>
      </c>
      <c r="K1131" s="9" t="s">
        <v>5708</v>
      </c>
      <c r="L1131" s="6" t="s">
        <v>5709</v>
      </c>
      <c r="M1131" s="6" t="s">
        <v>5710</v>
      </c>
      <c r="N1131" s="10"/>
      <c r="O1131" s="4" t="str">
        <f aca="false">IF(N1131="","",LEN(N1131))</f>
        <v/>
      </c>
    </row>
    <row r="1132" customFormat="false" ht="39" hidden="false" customHeight="true" outlineLevel="0" collapsed="false">
      <c r="A1132" s="4" t="n">
        <v>1131</v>
      </c>
      <c r="B1132" s="5" t="n">
        <f aca="false">IF(OR(C1132="სხვა მოდელი წერია",I1132&gt;=განმარტება!$B$4),1,IF(OR(C1132="ცარიელი",I1132&gt;=1),2,IF(H1132&gt;=განმარტება!$B$5,3,4)))</f>
        <v>4</v>
      </c>
      <c r="C1132" s="6" t="s">
        <v>15</v>
      </c>
      <c r="D1132" s="6" t="s">
        <v>5711</v>
      </c>
      <c r="E1132" s="7" t="s">
        <v>5712</v>
      </c>
      <c r="F1132" s="7" t="n">
        <v>1883</v>
      </c>
      <c r="G1132" s="6" t="s">
        <v>5061</v>
      </c>
      <c r="H1132" s="8" t="n">
        <v>14</v>
      </c>
      <c r="I1132" s="8" t="n">
        <v>0</v>
      </c>
      <c r="J1132" s="7" t="n">
        <v>0</v>
      </c>
      <c r="K1132" s="9" t="s">
        <v>5713</v>
      </c>
      <c r="L1132" s="6" t="s">
        <v>5714</v>
      </c>
      <c r="M1132" s="6" t="s">
        <v>5715</v>
      </c>
      <c r="N1132" s="10"/>
      <c r="O1132" s="4" t="str">
        <f aca="false">IF(N1132="","",LEN(N1132))</f>
        <v/>
      </c>
    </row>
    <row r="1133" customFormat="false" ht="39" hidden="false" customHeight="true" outlineLevel="0" collapsed="false">
      <c r="A1133" s="4" t="n">
        <v>1132</v>
      </c>
      <c r="B1133" s="5" t="n">
        <f aca="false">IF(OR(C1133="სხვა მოდელი წერია",I1133&gt;=განმარტება!$B$4),1,IF(OR(C1133="ცარიელი",I1133&gt;=1),2,IF(H1133&gt;=განმარტება!$B$5,3,4)))</f>
        <v>4</v>
      </c>
      <c r="C1133" s="6" t="s">
        <v>316</v>
      </c>
      <c r="D1133" s="6" t="s">
        <v>5716</v>
      </c>
      <c r="E1133" s="7" t="s">
        <v>5717</v>
      </c>
      <c r="F1133" s="7" t="n">
        <v>1940</v>
      </c>
      <c r="G1133" s="6" t="s">
        <v>5718</v>
      </c>
      <c r="H1133" s="8" t="n">
        <v>8</v>
      </c>
      <c r="I1133" s="8" t="n">
        <v>0</v>
      </c>
      <c r="J1133" s="7" t="n">
        <v>0</v>
      </c>
      <c r="K1133" s="9" t="s">
        <v>5719</v>
      </c>
      <c r="L1133" s="6" t="s">
        <v>5720</v>
      </c>
      <c r="M1133" s="6" t="s">
        <v>5721</v>
      </c>
      <c r="N1133" s="10"/>
      <c r="O1133" s="4" t="str">
        <f aca="false">IF(N1133="","",LEN(N1133))</f>
        <v/>
      </c>
    </row>
    <row r="1134" customFormat="false" ht="39" hidden="false" customHeight="true" outlineLevel="0" collapsed="false">
      <c r="A1134" s="4" t="n">
        <v>1133</v>
      </c>
      <c r="B1134" s="5" t="n">
        <f aca="false">IF(OR(C1134="სხვა მოდელი წერია",I1134&gt;=განმარტება!$B$4),1,IF(OR(C1134="ცარიელი",I1134&gt;=1),2,IF(H1134&gt;=განმარტება!$B$5,3,4)))</f>
        <v>4</v>
      </c>
      <c r="C1134" s="6" t="s">
        <v>15</v>
      </c>
      <c r="D1134" s="6" t="s">
        <v>5722</v>
      </c>
      <c r="E1134" s="7" t="s">
        <v>5723</v>
      </c>
      <c r="F1134" s="7" t="n">
        <v>1938</v>
      </c>
      <c r="G1134" s="6" t="s">
        <v>5718</v>
      </c>
      <c r="H1134" s="8" t="n">
        <v>7</v>
      </c>
      <c r="I1134" s="8" t="n">
        <v>0</v>
      </c>
      <c r="J1134" s="7" t="n">
        <v>0</v>
      </c>
      <c r="K1134" s="9" t="s">
        <v>5724</v>
      </c>
      <c r="L1134" s="6" t="s">
        <v>5725</v>
      </c>
      <c r="M1134" s="6" t="s">
        <v>5726</v>
      </c>
      <c r="N1134" s="10"/>
      <c r="O1134" s="4" t="str">
        <f aca="false">IF(N1134="","",LEN(N1134))</f>
        <v/>
      </c>
    </row>
  </sheetData>
  <autoFilter ref="A1:O1134"/>
  <conditionalFormatting sqref="B2:B1134">
    <cfRule type="cellIs" priority="2" operator="equal" aboveAverage="0" equalAverage="0" bottom="0" percent="0" rank="0" text="" dxfId="9">
      <formula>1</formula>
    </cfRule>
    <cfRule type="cellIs" priority="3" operator="equal" aboveAverage="0" equalAverage="0" bottom="0" percent="0" rank="0" text="" dxfId="10">
      <formula>2</formula>
    </cfRule>
    <cfRule type="cellIs" priority="4" operator="equal" aboveAverage="0" equalAverage="0" bottom="0" percent="0" rank="0" text="" dxfId="11">
      <formula>3</formula>
    </cfRule>
  </conditionalFormatting>
  <hyperlinks>
    <hyperlink ref="K2" r:id="rId1" display="https://superi.ge/ag-10m/"/>
    <hyperlink ref="K3" r:id="rId2" display="https://superi.ge/bosch-kbn96add0/"/>
    <hyperlink ref="K4" r:id="rId3" display="https://superi.ge/dyson-sv30-v12-slim-absolute-grey/"/>
    <hyperlink ref="K5" r:id="rId4" display="https://superi.ge/sport/"/>
    <hyperlink ref="K6" r:id="rId5" display="https://superi.ge/ninja-af160eu/"/>
    <hyperlink ref="K7" r:id="rId6" display="https://superi.ge/beko-bdfn26430xc/"/>
    <hyperlink ref="K8" r:id="rId7" display="https://superi.ge/panasonic-kx-ts2350uab/"/>
    <hyperlink ref="K9" r:id="rId8" display="https://superi.ge/bosch-hxs59ai21q/"/>
    <hyperlink ref="K10" r:id="rId9" display="https://superi.ge/panasonic-kx-tg1611uar/"/>
    <hyperlink ref="K11" r:id="rId10" display="https://superi.ge/hisense-rd39wcwd-bi/"/>
    <hyperlink ref="K12" r:id="rId11" display="https://superi.ge/kugoo-m2-pro/"/>
    <hyperlink ref="K13" r:id="rId12" display="https://superi.ge/midea-fs40-21mrb/"/>
    <hyperlink ref="K14" r:id="rId13" display="https://superi.ge/cycling-1/"/>
    <hyperlink ref="K15" r:id="rId14" display="https://superi.ge/bosch-hbg536hb0r/"/>
    <hyperlink ref="K16" r:id="rId15" display="https://superi.ge/bosch-hbf534es0q/"/>
    <hyperlink ref="K17" r:id="rId16" display="https://superi.ge/royal-turbo-rtgt186fae/"/>
    <hyperlink ref="K18" r:id="rId17" display="https://superi.ge/gorenje-ac-rea53-kc/"/>
    <hyperlink ref="K19" r:id="rId18" display="https://superi.ge/ingco-gde30001-3/"/>
    <hyperlink ref="K20" r:id="rId19" display="https://superi.ge/zilan-zln1314/"/>
    <hyperlink ref="K21" r:id="rId20" display="https://superi.ge/gorenje-gi520e15x/"/>
    <hyperlink ref="K22" r:id="rId21" display="https://superi.ge/midea-mc-if7454aj1-a/"/>
    <hyperlink ref="K23" r:id="rId22" display="https://superi.ge/bosch-bcs711pet/"/>
    <hyperlink ref="K24" r:id="rId23" display="https://superi.ge/sony-playstation-5-slim-edition-disc-version-2023/"/>
    <hyperlink ref="K25" r:id="rId24" display="https://superi.ge/lg-gr-b459fqfw-aepqmer/"/>
    <hyperlink ref="K26" r:id="rId25" display="https://superi.ge/midea-l1pb28-c28wm-28-kw/"/>
    <hyperlink ref="K27" r:id="rId26" display="https://superi.ge/apple-vision-pro-256gb-7456/"/>
    <hyperlink ref="K28" r:id="rId27" display="https://superi.ge/5-ingco-gde50001/"/>
    <hyperlink ref="K29" r:id="rId28" display="https://superi.ge/zilan-zln4759-33/"/>
    <hyperlink ref="K30" r:id="rId29" display="https://superi.ge/bosch-msm6m821/"/>
    <hyperlink ref="K31" r:id="rId30" display="https://superi.ge/gorenje-rea35-kc-inverter-35-40/"/>
    <hyperlink ref="K32" r:id="rId31" display="https://superi.ge/arshia-15205/"/>
    <hyperlink ref="K33" r:id="rId32" display="https://superi.ge/vileda-turbo-smart-4023103208476/"/>
    <hyperlink ref="K34" r:id="rId33" display="https://superi.ge/midea-s8/"/>
    <hyperlink ref="K35" r:id="rId34" display="https://superi.ge/toshiba-43c350le/"/>
    <hyperlink ref="K36" r:id="rId35" display="https://superi.ge/midea-mfa01w70b-w-7/"/>
    <hyperlink ref="K37" r:id="rId36" display="https://superi.ge/ninja-k32006eu/"/>
    <hyperlink ref="K38" r:id="rId37" display="https://superi.ge/xiaomi-lydsto-xd-dgdcs101-s1/"/>
    <hyperlink ref="K39" r:id="rId38" display="https://superi.ge/toshiba-gr-rb449we-pmj-06/"/>
    <hyperlink ref="K40" r:id="rId39" display="https://superi.ge/midea-l1pb20-c28wm/"/>
    <hyperlink ref="K41" r:id="rId40" display="https://superi.ge/bosch-twk8613p/"/>
    <hyperlink ref="K42" r:id="rId41" display="https://superi.ge/midea-mfa01w80b-w-8/"/>
    <hyperlink ref="K43" r:id="rId42" display="https://superi.ge/falez-ex27/"/>
    <hyperlink ref="K44" r:id="rId43" display="https://superi.ge/cooper-and-hunter-ch-s18-xn8/"/>
    <hyperlink ref="K45" r:id="rId44" display="https://superi.ge/bosch-asx18vw30u-55-60/"/>
    <hyperlink ref="K46" r:id="rId45" display="https://superi.ge/hotpoint-ariston-nm11-845-ws-a-eu-n/"/>
    <hyperlink ref="K47" r:id="rId46" display="https://superi.ge/smeg-klf03rdeu-red/"/>
    <hyperlink ref="K48" r:id="rId47" display="https://superi.ge/electrolux-ew6t4rf061/"/>
    <hyperlink ref="K49" r:id="rId48" display="https://superi.ge/ninja-sp101eu-8in1/"/>
    <hyperlink ref="K50" r:id="rId49" display="https://superi.ge/midea-mh60an895gb/"/>
    <hyperlink ref="K51" r:id="rId50" display="https://superi.ge/gorenje-cwsa08hc/"/>
    <hyperlink ref="K52" r:id="rId51" display="https://superi.ge/smeg-smf03pgeu/"/>
    <hyperlink ref="K53" r:id="rId52" display="https://superi.ge/janome-artdecor-724a/"/>
    <hyperlink ref="K54" r:id="rId53" display="https://superi.ge/singer-start-1306/"/>
    <hyperlink ref="K55" r:id="rId54" display="https://superi.ge/fujiyama-fhs-11000-f-brown/"/>
    <hyperlink ref="K56" r:id="rId55" display="https://superi.ge/hisense-rd-23dc-silver/"/>
    <hyperlink ref="K57" r:id="rId56" display="https://superi.ge/hisense-db35dcur-inox/"/>
    <hyperlink ref="K58" r:id="rId57" display="https://superi.ge/hisense-rd-33wcrwd-inox/"/>
    <hyperlink ref="K59" r:id="rId58" display="https://superi.ge/bosch-wqg1420ame-9/"/>
    <hyperlink ref="K60" r:id="rId59" display="https://superi.ge/sc-025/"/>
    <hyperlink ref="K61" r:id="rId60" display="https://superi.ge/franko-faf-1218/"/>
    <hyperlink ref="K62" r:id="rId61" display="https://superi.ge/bosch-asx12vw30u/"/>
    <hyperlink ref="K63" r:id="rId62" display="https://superi.ge/hisense-rs-16drq/"/>
    <hyperlink ref="K64" r:id="rId63" display="https://superi.ge/hyundai-esaf-24hfn8-80/"/>
    <hyperlink ref="K65" r:id="rId64" display="https://superi.ge/hisense-rd-31dr4sa/"/>
    <hyperlink ref="K66" r:id="rId65" display="https://superi.ge/bosch-wga24400me-9/"/>
    <hyperlink ref="K67" r:id="rId66" display="https://superi.ge/gorenje-w1d2a164ads-10-6/"/>
    <hyperlink ref="K68" r:id="rId67" display="https://superi.ge/sport-g-207/"/>
    <hyperlink ref="K69" r:id="rId68" display="https://superi.ge/lg-gr-x267cqes-side-by-side/"/>
    <hyperlink ref="K70" r:id="rId69" display="https://superi.ge/samsung-galaxy-watch-6-sm-r960-47mm/"/>
    <hyperlink ref="K71" r:id="rId70" display="https://superi.ge/hyundai-ac-esaf-12hn8/"/>
    <hyperlink ref="K72" r:id="rId71" display="https://superi.ge/franko-fcf-198dw-198/"/>
    <hyperlink ref="K73" r:id="rId72" display="https://superi.ge/alneo-s13ow01-400/"/>
    <hyperlink ref="K74" r:id="rId73" display="https://superi.ge/lg-f2v5hylyj-ambpmer-7/"/>
    <hyperlink ref="K75" r:id="rId74" display="https://superi.ge/lg-f4j3vyg6j-9/"/>
    <hyperlink ref="K76" r:id="rId75" display="https://superi.ge/midea-msaf-24hrn8-w/"/>
    <hyperlink ref="K77" r:id="rId76" display="https://superi.ge/gorenje-f492pw/"/>
    <hyperlink ref="K78" r:id="rId77" display="https://superi.ge/hitachi-r-wb720vuc0-gbk/"/>
    <hyperlink ref="K79" r:id="rId78" display="https://superi.ge/gilan-gds-301-120-beige/"/>
    <hyperlink ref="K80" r:id="rId79" display="https://superi.ge/ingco-ge30005/"/>
    <hyperlink ref="K81" r:id="rId80" display="https://superi.ge/hisense-rd-43wrn-inox/"/>
    <hyperlink ref="K82" r:id="rId81" display="https://superi.ge/gorenje-svc216gfw/"/>
    <hyperlink ref="K83" r:id="rId82" display="https://superi.ge/gorenje-hbc806qw/"/>
    <hyperlink ref="K84" r:id="rId83" display="https://superi.ge/gorenje-nrki517e42/"/>
    <hyperlink ref="K85" r:id="rId84" display="https://superi.ge/shinever-ld1032-100kw/"/>
    <hyperlink ref="K86" r:id="rId85" display="https://superi.ge/notebook-lenovo-legion-legion-5-15-1-oled-165hz-i7-13650hx-16gb-512gb-ssd-rtx-5050-8gb-eclipse-black-win-11-home-eng/"/>
    <hyperlink ref="K87" r:id="rId86" display="https://superi.ge/haier-hwd100-bd14397u1-11/"/>
    <hyperlink ref="K88" r:id="rId87" display="https://superi.ge/lg-dfb325hm-abmpara-14pcs/"/>
    <hyperlink ref="K89" r:id="rId88" display="https://superi.ge/dryer-aeg-promo-aeg-tr838p4je/"/>
    <hyperlink ref="K90" r:id="rId89" display="https://superi.ge/haier-hw110-bd14397u1-11/"/>
    <hyperlink ref="K91" r:id="rId90" display="https://superi.ge/midea-md210h100wb-w-10/"/>
    <hyperlink ref="K92" r:id="rId91" display="https://superi.ge/bosch-smi4iks50t-13pcs/"/>
    <hyperlink ref="K93" r:id="rId92" display="https://superi.ge/vs70h25wft-ev/"/>
    <hyperlink ref="K94" r:id="rId93" display="https://superi.ge/lg-f2v7gwl1w-abwpmer-white-8-5/"/>
    <hyperlink ref="K95" r:id="rId94" display="https://superi.ge/gorenje-apd35-40/"/>
    <hyperlink ref="K96" r:id="rId95" display="https://superi.ge/thomson-55ug4s14-140/"/>
    <hyperlink ref="K97" r:id="rId96" display="https://superi.ge/gorenje-gtw641eb/"/>
    <hyperlink ref="K98" r:id="rId97" display="https://superi.ge/thomson-43ug4s14-109/"/>
    <hyperlink ref="K99" r:id="rId98" display="https://superi.ge/bhcb66641bbbhs-b300/"/>
    <hyperlink ref="K100" r:id="rId99" display="https://superi.ge/kitchen-machine-kenwood-kmx750ard/"/>
    <hyperlink ref="K101" r:id="rId100" display="https://superi.ge/midea-mdrc211fze01-143l/"/>
    <hyperlink ref="K102" r:id="rId101" display="https://superi.ge/gorenje-imdw1200w/"/>
    <hyperlink ref="K103" r:id="rId102" display="https://superi.ge/beko-bmo45eab/"/>
    <hyperlink ref="K104" r:id="rId103" display="https://superi.ge/midea-ndk20-21af/"/>
    <hyperlink ref="K105" r:id="rId104" display="https://superi.ge/hyundai-esaf-09hn8-25-30/"/>
    <hyperlink ref="K106" r:id="rId105" display="https://superi.ge/bosch-mfw45020/"/>
    <hyperlink ref="K107" r:id="rId106" display="https://superi.ge/bosch-climate-2000-on-off-12000-btu/"/>
    <hyperlink ref="K108" r:id="rId107" display="https://superi.ge/bosch-asx24vw30u-75-80/"/>
    <hyperlink ref="K109" r:id="rId108" display="https://superi.ge/samsung-rl4362rbasl-wt/"/>
    <hyperlink ref="K110" r:id="rId109" display="https://superi.ge/bosch-rdw1576/"/>
    <hyperlink ref="K111" r:id="rId110" display="https://superi.ge/hisense-rd49wr-inox/"/>
    <hyperlink ref="K112" r:id="rId111" display="https://superi.ge/ninja-sl400euwh-9-5-l/"/>
    <hyperlink ref="K113" r:id="rId112" display="https://superi.ge/aux-asw-h18a4-qcr1-55-60/"/>
    <hyperlink ref="K114" r:id="rId113" display="https://superi.ge/tefal-h852sa56-10pcs/"/>
    <hyperlink ref="K115" r:id="rId114" display="https://superi.ge/beko-rho-8323-bt/"/>
    <hyperlink ref="K116" r:id="rId115" display="https://superi.ge/varta-blue-60-ah-d-24/"/>
    <hyperlink ref="K117" r:id="rId116" display="https://superi.ge/ardesto-frm-290e-295/"/>
    <hyperlink ref="K118" r:id="rId117" display="https://superi.ge/tefal-g720s674-18-10/"/>
    <hyperlink ref="K119" r:id="rId118" display="https://superi.ge/gorenje-nrk6192abk4/"/>
    <hyperlink ref="K120" r:id="rId119" display="https://superi.ge/korkmaz-a2863-set-6pcs/"/>
    <hyperlink ref="K121" r:id="rId120" display="https://superi.ge/samsung-nk24m1030is-ur/"/>
    <hyperlink ref="K122" r:id="rId121" display="https://superi.ge/aux-asw-h18a4-qfr3di-inverter-55-60/"/>
    <hyperlink ref="K123" r:id="rId122" display="https://superi.ge/smeg-klf04pkeu/"/>
    <hyperlink ref="K124" r:id="rId123" display="https://superi.ge/total-tg103512-350w/"/>
    <hyperlink ref="K125" r:id="rId124" display="https://superi.ge/hyundai-ac-esaf-12hn8-g/"/>
    <hyperlink ref="K126" r:id="rId125" display="https://superi.ge/ingco-hpwr20008-150bar/"/>
    <hyperlink ref="K127" r:id="rId126" display="https://superi.ge/ecoflow-delta-mini/"/>
    <hyperlink ref="K128" r:id="rId127" display="https://superi.ge/dixi-byz1171/"/>
    <hyperlink ref="K129" r:id="rId128" display="https://superi.ge/toshiba-mw3-em20pe-bm/"/>
    <hyperlink ref="K130" r:id="rId129" display="https://superi.ge/janome-1522bl/"/>
    <hyperlink ref="K131" r:id="rId130" display="https://superi.ge/bosch-kgn49xwea/"/>
    <hyperlink ref="K132" r:id="rId131" display="https://superi.ge/bosch-rdw1571/"/>
    <hyperlink ref="K133" r:id="rId132" display="https://superi.ge/xerox-phaser-3020-3025-1500-pages/"/>
    <hyperlink ref="K134" r:id="rId133" display="https://superi.ge/bosch-kgn86ai32u/"/>
    <hyperlink ref="K135" r:id="rId134" display="https://superi.ge/aux-asw-h18a4-qcr3di-inverter-55-60/"/>
    <hyperlink ref="K136" r:id="rId135" display="https://superi.ge/bosch-climate-2000-on-off-24000-btu/"/>
    <hyperlink ref="K137" r:id="rId136" display="https://superi.ge/hoffmann-eiac-12k-35-40-inverter/"/>
    <hyperlink ref="K138" r:id="rId137" display="https://superi.ge/hisense-ss67wsn-inox/"/>
    <hyperlink ref="K139" r:id="rId138" display="https://superi.ge/skyworth-smfh07b-1a1a1na/"/>
    <hyperlink ref="K140" r:id="rId139" display="https://superi.ge/trinx-m600-elite-27-5x16-2020/"/>
    <hyperlink ref="K141" r:id="rId140" display="https://superi.ge/bosch-climate-3000i-inverter-18000-btu/"/>
    <hyperlink ref="K142" r:id="rId141" display="https://superi.ge/bosch-climate-2000-on-off-8000-btu/"/>
    <hyperlink ref="K143" r:id="rId142" display="https://superi.ge/arshia-fa128-2579/"/>
    <hyperlink ref="K144" r:id="rId143" display="https://superi.ge/riken-215-60r16-99h-snow/"/>
    <hyperlink ref="K145" r:id="rId144" display="https://superi.ge/hisense-40a4k-smart-102/"/>
    <hyperlink ref="K146" r:id="rId145" display="https://superi.ge/la-sommeliere-cigar-cellar-cig251/"/>
    <hyperlink ref="K147" r:id="rId146" display="https://superi.ge/3/"/>
    <hyperlink ref="K148" r:id="rId147" display="https://superi.ge/akog-2h-20-graphite/"/>
    <hyperlink ref="K149" r:id="rId148" display="https://superi.ge/janome-homedecor-2077/"/>
    <hyperlink ref="K150" r:id="rId149" display="https://superi.ge/franko-fcf-142dw-139/"/>
    <hyperlink ref="K151" r:id="rId150" display="https://superi.ge/graetz-gtn43nw/"/>
    <hyperlink ref="K152" r:id="rId151" display="https://superi.ge/tcl-tac-24chsa-tpg11i-70-80-inventer/"/>
    <hyperlink ref="K153" r:id="rId152" display="https://superi.ge/riken-225-55r17-101v-snow/"/>
    <hyperlink ref="K154" r:id="rId153" display="https://superi.ge/janome-1225s/"/>
    <hyperlink ref="K155" r:id="rId154" display="https://superi.ge/panasonic-kx-ts2388uab-black/"/>
    <hyperlink ref="K156" r:id="rId155" display="https://superi.ge/2e-2e-spps-l-gr-sigma-98l-suitcase-graphite/"/>
    <hyperlink ref="K157" r:id="rId156" display="https://superi.ge/blackview-tab-a6-kids-lte-10-1-4-128gb-ocean-blue/"/>
    <hyperlink ref="K158" r:id="rId157" display="https://superi.ge/janome-hd1023/"/>
    <hyperlink ref="K159" r:id="rId158" display="https://superi.ge/tcl-50p745-127/"/>
    <hyperlink ref="K160" r:id="rId159" display="https://superi.ge/gorenje-gv673c62/"/>
    <hyperlink ref="K161" r:id="rId160" display="https://superi.ge/remeza-sb4-s-100-lb30/"/>
    <hyperlink ref="K162" r:id="rId161" display="https://superi.ge/samsung-vc07m2110sr/"/>
    <hyperlink ref="K163" r:id="rId162" display="https://superi.ge/brother-innov-is-f460/"/>
    <hyperlink ref="K164" r:id="rId163" display="https://superi.ge/mitsubishi-msz-ef35ve3s-er2/"/>
    <hyperlink ref="K165" r:id="rId164" display="https://superi.ge/product-14040/"/>
    <hyperlink ref="K166" r:id="rId165" display="https://superi.ge/lg-55qned70b6c-55-139/"/>
    <hyperlink ref="K167" r:id="rId166" display="https://superi.ge/vox-cf-200-e/"/>
    <hyperlink ref="K168" r:id="rId167" display="https://superi.ge/remeza-sb4-f-500-lt100-11/"/>
    <hyperlink ref="K169" r:id="rId168" display="https://superi.ge/ecoflow-delta-pro/"/>
    <hyperlink ref="K170" r:id="rId169" display="https://superi.ge/bosch-kad93vbfp/"/>
    <hyperlink ref="K171" r:id="rId170" display="https://superi.ge/remeza-sb4-f-500-lt100/"/>
    <hyperlink ref="K172" r:id="rId171" display="https://superi.ge/mitsubishi-msz-ef50ve3w-er2-muz-ef50ve-er3/"/>
    <hyperlink ref="K173" r:id="rId172" display="https://superi.ge/konner-and-sohnen-ks-9100hde-1-3-atsr-7-5-kw/"/>
    <hyperlink ref="K174" r:id="rId173" display="https://superi.ge/mitsubishi-msz-ln35vgr-muz-ln35vg/"/>
    <hyperlink ref="K175" r:id="rId174" display="https://superi.ge/konner-and-sohnen-ks-8100hde-1-3-atsr-6-5kw/"/>
    <hyperlink ref="K176" r:id="rId175" display="https://superi.ge/aux-asf-h60a5-apar1-155-180/"/>
    <hyperlink ref="K177" r:id="rId176" display="https://superi.ge/notebook-asustek-tuf-a16-16-fhd-165hz-ryzen-9-8940hx-16gb-512gb-ssd-rtx-5060-8gb-win-11-home-jaeger-gray/"/>
    <hyperlink ref="K178" r:id="rId177" display="https://superi.ge/sony-kd-75x75wl-191/"/>
    <hyperlink ref="K179" r:id="rId178" display="https://superi.ge/aeg-rmb76121nx/"/>
    <hyperlink ref="K180" r:id="rId179" display="https://superi.ge/bosch-kfn96vpea/"/>
    <hyperlink ref="K181" r:id="rId180" display="https://superi.ge/remeza-sb4-f-500-lb75/"/>
    <hyperlink ref="K182" r:id="rId181" display="https://superi.ge/notebook-asustek-asus-tuf-gaming-f16-16-fhd-165hz-i7-14650hx-16gb-512gb-rtx-5060-win-11-home-jaeger-gray/"/>
    <hyperlink ref="K183" r:id="rId182" display="https://superi.ge/bosch-hbg974lb1/"/>
    <hyperlink ref="K184" r:id="rId183" display="https://superi.ge/bosch-hbg8764c1/"/>
    <hyperlink ref="K185" r:id="rId184" display="https://superi.ge/mitsubishi-msz-dm60va-er1-muz-dm60va-er1/"/>
    <hyperlink ref="K186" r:id="rId185" display="https://superi.ge/bosch-wkd28543eu-7-4/"/>
    <hyperlink ref="K187" r:id="rId186" display="https://superi.ge/remeza-sb4-s-270-av858/"/>
    <hyperlink ref="K188" r:id="rId187" display="https://superi.ge/mitsubishi-msz-ln25vgr-muz-ln25vg/"/>
    <hyperlink ref="K189" r:id="rId188" display="https://superi.ge/notebook-asustek-asus-tuf-gaming-f16-16-fhd-144hz-i7-14650hx-16gb-512gb-rtx-5050-win-11-home-jaeger-gray/"/>
    <hyperlink ref="K190" r:id="rId189" display="https://superi.ge/tcl-75c845-191/"/>
    <hyperlink ref="K191" r:id="rId190" display="https://superi.ge/bosch-kgn56lb31u/"/>
    <hyperlink ref="K192" r:id="rId191" display="https://superi.ge/electrolux-enp7td75s/"/>
    <hyperlink ref="K193" r:id="rId192" display="https://superi.ge/remeza-sb4-f-270-lb75/"/>
    <hyperlink ref="K194" r:id="rId193" display="https://superi.ge/samsung-ue75cu8000uxru-75/"/>
    <hyperlink ref="K195" r:id="rId194" display="https://superi.ge/gree-gwh24audxf-k6dna1a-inverter-75-80/"/>
    <hyperlink ref="K196" r:id="rId195" display="https://superi.ge/samsung-rs64r5331b4-wt/"/>
    <hyperlink ref="K197" r:id="rId196" display="https://superi.ge/toshiba-gr-rf532we-pmj-06/"/>
    <hyperlink ref="K198" r:id="rId197" display="https://superi.ge/beko-gn-1416231-jxn/"/>
    <hyperlink ref="K199" r:id="rId198" display="https://superi.ge/bosch-kgn56lw31u/"/>
    <hyperlink ref="K200" r:id="rId199" display="https://superi.ge/bosch-kis87af30u/"/>
    <hyperlink ref="K201" r:id="rId200" display="https://superi.ge/bosch-kgd86aw31u/"/>
    <hyperlink ref="K202" r:id="rId201" display="https://superi.ge/bosch-kgn56ci30u/"/>
    <hyperlink ref="K203" r:id="rId202" display="https://superi.ge/bosch-kgn86aw32u/"/>
    <hyperlink ref="K204" r:id="rId203" display="https://superi.ge/remeza-sb4-f-270-lb50/"/>
    <hyperlink ref="K205" r:id="rId204" display="https://superi.ge/samsung-rb38c7b6d39-wt-beige/"/>
    <hyperlink ref="K206" r:id="rId205" display="https://superi.ge/midea-mfya-24fn1d0-inverter-80/"/>
    <hyperlink ref="K207" r:id="rId206" display="https://superi.ge/beko-gn1406223px/"/>
    <hyperlink ref="K208" r:id="rId207" display="https://superi.ge/bosch-kgn76ci30u/"/>
    <hyperlink ref="K209" r:id="rId208" display="https://superi.ge/bosch-wgb256a0me-10/"/>
    <hyperlink ref="K210" r:id="rId209" display="https://superi.ge/tcl-85p745-216-r51mg8s-eu-ge/"/>
    <hyperlink ref="K211" r:id="rId210" display="https://superi.ge/mitsubishi-msz-dm50va-er1-muz-dm50va-er/"/>
    <hyperlink ref="K212" r:id="rId211" display="https://superi.ge/royal-turbo-rt190f-15hp/"/>
    <hyperlink ref="K213" r:id="rId212" display="https://superi.ge/al-ko-6500-d-c/"/>
    <hyperlink ref="K214" r:id="rId213" display="https://superi.ge/gree-gwh28age-k3nna1a-90-100/"/>
    <hyperlink ref="K215" r:id="rId214" display="https://superi.ge/bosch-kdd86ai304/"/>
    <hyperlink ref="K216" r:id="rId215" display="https://superi.ge/lg-65qned816ra-165/"/>
    <hyperlink ref="K217" r:id="rId216" display="https://superi.ge/bosch-gin81aef0u/"/>
    <hyperlink ref="K218" r:id="rId217" display="https://superi.ge/remeza-sb4-s-200-av515/"/>
    <hyperlink ref="K219" r:id="rId218" display="https://superi.ge/gree-gwh24agd-k6dna1c-inverter-75-80/"/>
    <hyperlink ref="K220" r:id="rId219" display="https://superi.ge/tcl-75c745-191/"/>
    <hyperlink ref="K221" r:id="rId220" display="https://superi.ge/hyundai-hy1100c-6-7-hp/"/>
    <hyperlink ref="K222" r:id="rId221" display="https://superi.ge/bosch-kgn56xw30u/"/>
    <hyperlink ref="K223" r:id="rId222" display="https://superi.ge/bosch-wgb2440xme-9/"/>
    <hyperlink ref="K224" r:id="rId223" display="https://superi.ge/bosch-wgb2560xme-10kg/"/>
    <hyperlink ref="K225" r:id="rId224" display="https://superi.ge/canon-eos-r10-rf-s-18-45mm-is-stm-5331c047aa-black/"/>
    <hyperlink ref="K226" r:id="rId225" display="https://superi.ge/bosch-smv6ecx51e/"/>
    <hyperlink ref="K227" r:id="rId226" display="https://superi.ge/remeza-sb4-s-100-lb40/"/>
    <hyperlink ref="K228" r:id="rId227" display="https://superi.ge/notebook-asustek-asus-tuf-gaming-a15-15-6-fhd-144hz-ryzen-7-8845hs-8gb-512gb-ssd-rtx-3050-win-11-home-graphite-black/"/>
    <hyperlink ref="K229" r:id="rId228" display="https://superi.ge/samsung-qe55q70dauxru/"/>
    <hyperlink ref="K230" r:id="rId229" display="https://superi.ge/bosch-kgn49lb30u/"/>
    <hyperlink ref="K231" r:id="rId230" display="https://superi.ge/bosch-wav28mx0me-9/"/>
    <hyperlink ref="K232" r:id="rId231" display="https://superi.ge/lg-75nu850b6la-75-189/"/>
    <hyperlink ref="K233" r:id="rId232" display="https://superi.ge/tcl-85c655-tc80g1t-ap-217/"/>
    <hyperlink ref="K234" r:id="rId233" display="https://superi.ge/royal-2-r2-190f-15hp/"/>
    <hyperlink ref="K235" r:id="rId234" display="https://superi.ge/gree-gwh18acd-k6dna1i-inverter-55-60/"/>
    <hyperlink ref="K236" r:id="rId235" display="https://superi.ge/bosch-kgn39lb30u/"/>
    <hyperlink ref="K237" r:id="rId236" display="https://superi.ge/gorenje-nrm818fmb/"/>
    <hyperlink ref="K238" r:id="rId237" display="https://superi.ge/bosch-kgn55vl20u/"/>
    <hyperlink ref="K239" r:id="rId238" display="https://superi.ge/gorenje-nrs918emb/"/>
    <hyperlink ref="K240" r:id="rId239" display="https://superi.ge/hitachi-r-wb710puc9-gbw/"/>
    <hyperlink ref="K241" r:id="rId240" display="https://superi.ge/samsung-rb38c7b6d12-wt-white/"/>
    <hyperlink ref="K242" r:id="rId241" display="https://superi.ge/samsung-ww12tp84dsh-lp/"/>
    <hyperlink ref="K243" r:id="rId242" display="https://superi.ge/bosch-sms4hmc65q/"/>
    <hyperlink ref="K244" r:id="rId243" display="https://superi.ge/product-8934/"/>
    <hyperlink ref="K245" r:id="rId244" display="https://superi.ge/midea-ag-24n8do-inverter-ioniser-black-75-80/"/>
    <hyperlink ref="K246" r:id="rId245" display="https://superi.ge/bosch-kgn49xl30u/"/>
    <hyperlink ref="K247" r:id="rId246" display="https://superi.ge/hisense-rq72wc-inox/"/>
    <hyperlink ref="K248" r:id="rId247" display="https://superi.ge/hitachi-r-w660puc7-gbk/"/>
    <hyperlink ref="K249" r:id="rId248" display="https://superi.ge/bosch-sms4hmb62t/"/>
    <hyperlink ref="K250" r:id="rId249" display="https://superi.ge/bosch-wav28m80me/"/>
    <hyperlink ref="K251" r:id="rId250" display="https://superi.ge/bosch-wgb24400me-9/"/>
    <hyperlink ref="K252" r:id="rId251" display="https://superi.ge/samsung-wf18t8000gv-lp/"/>
    <hyperlink ref="K253" r:id="rId252" display="https://superi.ge/aux-asw-h24a4-qfr3di-inverter-75-80/"/>
    <hyperlink ref="K254" r:id="rId253" display="https://superi.ge/bosch-kdn76xl30u-542l/"/>
    <hyperlink ref="K255" r:id="rId254" display="https://superi.ge/samsung-qe65q60cauxru-2023-165/"/>
    <hyperlink ref="K256" r:id="rId255" display="https://superi.ge/kettler-axos-nova-m-grey/"/>
    <hyperlink ref="K257" r:id="rId256" display="https://superi.ge/mitsubishi-msz-dm35va-er1-muz-dm35va-er1/"/>
    <hyperlink ref="K258" r:id="rId257" display="https://superi.ge/hyundai-ac-esaf-24hn8-g/"/>
    <hyperlink ref="K259" r:id="rId258" display="https://superi.ge/bosch-kgn39xi30u/"/>
    <hyperlink ref="K260" r:id="rId259" display="https://superi.ge/bosch-kgn49xw30u/"/>
    <hyperlink ref="K261" r:id="rId260" display="https://superi.ge/samsung-wd12tp34dsh-lp/"/>
    <hyperlink ref="K262" r:id="rId261" display="https://superi.ge/bosch-spv6emx76q/"/>
    <hyperlink ref="K263" r:id="rId262" display="https://superi.ge/midea-gaia-18hrfn8-inverter-55-60/"/>
    <hyperlink ref="K264" r:id="rId263" display="https://superi.ge/tolsen-tol1763-79992-5-5kw/"/>
    <hyperlink ref="K265" r:id="rId264" display="https://superi.ge/hyundai-gm115fqe-7hp/"/>
    <hyperlink ref="K266" r:id="rId265" display="https://superi.ge/samsung-rb50dg602es9-wt/"/>
    <hyperlink ref="K267" r:id="rId266" display="https://superi.ge/konner-and-sohnen-ks-7000-5-5kw/"/>
    <hyperlink ref="K268" r:id="rId267" display="https://superi.ge/gree-gwh24agd-k3nna1a-75-80/"/>
    <hyperlink ref="K269" r:id="rId268" display="https://superi.ge/royal-turbo-rt177/"/>
    <hyperlink ref="K270" r:id="rId269" display="https://superi.ge/panama-6/"/>
    <hyperlink ref="K271" r:id="rId270" display="https://superi.ge/4-jha-1075/"/>
    <hyperlink ref="K272" r:id="rId271" display="https://superi.ge/bosch-kgn39xw30u/"/>
    <hyperlink ref="K273" r:id="rId272" display="https://superi.ge/samsung-rl4353ebasl-wt/"/>
    <hyperlink ref="K274" r:id="rId273" display="https://superi.ge/epson-l14150-c11ch96404/"/>
    <hyperlink ref="K275" r:id="rId274" display="https://superi.ge/product-8924/"/>
    <hyperlink ref="K276" r:id="rId275" display="https://superi.ge/gree-gwh12aucxb-k6dna1a-inverter-35-40/"/>
    <hyperlink ref="K277" r:id="rId276" display="https://superi.ge/beko-gno5322xpn-b300/"/>
    <hyperlink ref="K278" r:id="rId277" display="https://superi.ge/toorx-516gawpp-ultra-compact-walkingpad-wp-p-candy-rose/"/>
    <hyperlink ref="K279" r:id="rId278" display="https://superi.ge/gorenje-rea70-kc-inverter-75-80/"/>
    <hyperlink ref="K280" r:id="rId279" display="https://superi.ge/midea-vp-12n8d6-inverter/"/>
    <hyperlink ref="K281" r:id="rId280" display="https://superi.ge/midea-xt-18n8d6-black-55-60/"/>
    <hyperlink ref="K282" r:id="rId281" display="https://superi.ge/beko-rcne560e40zxbrn/"/>
    <hyperlink ref="K283" r:id="rId282" display="https://superi.ge/midea-mdrf692mie28-side-by-side/"/>
    <hyperlink ref="K284" r:id="rId283" display="https://superi.ge/bosch-wga25400me-10/"/>
    <hyperlink ref="K285" r:id="rId284" display="https://superi.ge/bosch-smi46ks00t/"/>
    <hyperlink ref="K286" r:id="rId285" display="https://superi.ge/midea-xt-18n8d6-gold-55-60/"/>
    <hyperlink ref="K287" r:id="rId286" display="https://superi.ge/midea-xt-18n8d6-silver-55-60/"/>
    <hyperlink ref="K288" r:id="rId287" display="https://superi.ge/beko-rcne560e40zxpn-superia/"/>
    <hyperlink ref="K289" r:id="rId288" display="https://superi.ge/midea-mdrs723myf28/"/>
    <hyperlink ref="K290" r:id="rId289" display="https://superi.ge/midea-ag-18n8do-inverter-ioniser-black-55-60/"/>
    <hyperlink ref="K291" r:id="rId290" display="https://superi.ge/samsung-ww12tp84dsx-lp/"/>
    <hyperlink ref="K292" r:id="rId291" display="https://superi.ge/samsung-ue55au8000uxtk/"/>
    <hyperlink ref="K293" r:id="rId292" display="https://superi.ge/gree-gwh12acc-k6dna1f-inverter-35-40/"/>
    <hyperlink ref="K294" r:id="rId293" display="https://superi.ge/midea-gaia-09hrfn8/"/>
    <hyperlink ref="K295" r:id="rId294" display="https://superi.ge/midea-mscb-18hrfn8-55-60-inventer/"/>
    <hyperlink ref="K296" r:id="rId295" display="https://superi.ge/hisense-rq-51wcd/"/>
    <hyperlink ref="K297" r:id="rId296" display="https://superi.ge/hitachi-r-vgx470puc9-gbk/"/>
    <hyperlink ref="K298" r:id="rId297" display="https://superi.ge/lg-grfb587pqam-ahsqmea/"/>
    <hyperlink ref="K299" r:id="rId298" display="https://superi.ge/treadmill-fortis-3-ultra/"/>
    <hyperlink ref="K300" r:id="rId299" display="https://superi.ge/bosch-wga244a0me-9kg/"/>
    <hyperlink ref="K301" r:id="rId300" display="https://superi.ge/bosch-wds28460me-8-5/"/>
    <hyperlink ref="K302" r:id="rId301" display="https://superi.ge/lg-65ur81006lj-165/"/>
    <hyperlink ref="K303" r:id="rId302" display="https://superi.ge/samsung-qe55q60cauxru-2023-140/"/>
    <hyperlink ref="K304" r:id="rId303" display="https://superi.ge/vestel-rm700bf3el/"/>
    <hyperlink ref="K305" r:id="rId304" display="https://superi.ge/cooper-and-hunter-s-18-ftxf-wi-fi-ng/"/>
    <hyperlink ref="K306" r:id="rId305" display="https://superi.ge/bosch-kgn36xi30u/"/>
    <hyperlink ref="K307" r:id="rId306" display="https://superi.ge/midea-l1pb36-c28wl/"/>
    <hyperlink ref="K308" r:id="rId307" display="https://superi.ge/samsung-ww11bb744cge-lp/"/>
    <hyperlink ref="K309" r:id="rId308" display="https://superi.ge/ingco-ge65006-6-5/"/>
    <hyperlink ref="K310" r:id="rId309" display="https://superi.ge/2-jha-16010/"/>
    <hyperlink ref="K311" r:id="rId310" display="https://superi.ge/gree-gwh09aucxb-k6dna1a-inverter-25-30/"/>
    <hyperlink ref="K312" r:id="rId311" display="https://superi.ge/beko-rcne560e35zxb/"/>
    <hyperlink ref="K313" r:id="rId312" display="https://superi.ge/bosch-ksv36vw31u/"/>
    <hyperlink ref="K314" r:id="rId313" display="https://superi.ge/bosch-pry6a6b70q/"/>
    <hyperlink ref="K315" r:id="rId314" display="https://superi.ge/bosch-spv4hmx55q/"/>
    <hyperlink ref="K316" r:id="rId315" display="https://superi.ge/bosch-sms45dw10q/"/>
    <hyperlink ref="K317" r:id="rId316" display="https://superi.ge/bosch-smv25cx10q/"/>
    <hyperlink ref="K318" r:id="rId317" display="https://superi.ge/samsung-ue65cu7100uxru-165/"/>
    <hyperlink ref="K319" r:id="rId318" display="https://superi.ge/bosch-kgn36xw30u/"/>
    <hyperlink ref="K320" r:id="rId319" display="https://superi.ge/bosch-kgn39uw3/"/>
    <hyperlink ref="K321" r:id="rId320" display="https://superi.ge/hyundai-gm105fqs-7hp/"/>
    <hyperlink ref="K322" r:id="rId321" display="https://superi.ge/california-chaise-longue-grnw-cg-03-std/"/>
    <hyperlink ref="K323" r:id="rId322" display="https://superi.ge/midea-ag-18n8do-ioniser/"/>
    <hyperlink ref="K324" r:id="rId323" display="https://superi.ge/bosch-kgn36xl30u/"/>
    <hyperlink ref="K325" r:id="rId324" display="https://superi.ge/hisense-rc-67ws-bi/"/>
    <hyperlink ref="K326" r:id="rId325" display="https://superi.ge/hisense-rd-62wc-inox/"/>
    <hyperlink ref="K327" r:id="rId326" display="https://superi.ge/ecoflow-river-2-pro/"/>
    <hyperlink ref="K328" r:id="rId327" display="https://superi.ge/gorenje-bos67372cli/"/>
    <hyperlink ref="K329" r:id="rId328" display="https://superi.ge/bosch-sms45di10q/"/>
    <hyperlink ref="K330" r:id="rId329" display="https://superi.ge/product-8916/"/>
    <hyperlink ref="K331" r:id="rId330" display="https://superi.ge/product-8917/"/>
    <hyperlink ref="K332" r:id="rId331" display="https://superi.ge/gree-gwh18agc-k3nna1a-55-60/"/>
    <hyperlink ref="K333" r:id="rId332" display="https://superi.ge/haier-tibio-inverter-24000-75-80/"/>
    <hyperlink ref="K334" r:id="rId333" display="https://superi.ge/270-2223-270/"/>
    <hyperlink ref="K335" r:id="rId334" display="https://superi.ge/bosch-bel554ms0/"/>
    <hyperlink ref="K336" r:id="rId335" display="https://superi.ge/bosch-climate-3000i-inverter-12000-btu/"/>
    <hyperlink ref="K337" r:id="rId336" display="https://superi.ge/gree-gwh09acc-k6dna1f-inverter-25-30/"/>
    <hyperlink ref="K338" r:id="rId337" display="https://superi.ge/samsung-rt47cg6442s9wt/"/>
    <hyperlink ref="K339" r:id="rId338" display="https://superi.ge/173x102x75-6-60x62x91-jm-ps-t726/"/>
    <hyperlink ref="K340" r:id="rId339" display="https://superi.ge/dyson-sv28-v11-absolute-extra-nickel-red/"/>
    <hyperlink ref="K341" r:id="rId340" display="https://superi.ge/dyson-v12-dt-slim-absolute-gray/"/>
    <hyperlink ref="K342" r:id="rId341" display="https://superi.ge/all-in-one-acer-aspire-c22-1700-dq-bjpmc-002/"/>
    <hyperlink ref="K343" r:id="rId342" display="https://superi.ge/bosch-dwk97hm61t/"/>
    <hyperlink ref="K344" r:id="rId343" display="https://superi.ge/tcl-c521cdib-side-by-side-silver/"/>
    <hyperlink ref="K345" r:id="rId344" display="https://superi.ge/bosch-wga244zrme-9/"/>
    <hyperlink ref="K346" r:id="rId345" display="https://superi.ge/grundig-65-ggu-8960/"/>
    <hyperlink ref="K347" r:id="rId346" display="https://superi.ge/hisense-70a6bg/"/>
    <hyperlink ref="K348" r:id="rId347" display="https://superi.ge/bosch-hij517yb0r/"/>
    <hyperlink ref="K349" r:id="rId348" display="https://superi.ge/midea-l1pb32-c28wl/"/>
    <hyperlink ref="K350" r:id="rId349" display="https://superi.ge/6-sl-003/"/>
    <hyperlink ref="K351" r:id="rId350" display="https://superi.ge/konner-and-sohnen-ksb-6500c-5500w/"/>
    <hyperlink ref="K352" r:id="rId351" display="https://superi.ge/midea-mae-12n8d6-inverter/"/>
    <hyperlink ref="K353" r:id="rId352" display="https://superi.ge/bosch-climate-2000-on-off-18000-btu/"/>
    <hyperlink ref="K354" r:id="rId353" display="https://superi.ge/hoffmann-eiac-24k-75-80-inverter/"/>
    <hyperlink ref="K355" r:id="rId354" display="https://superi.ge/lg-gbb62dshec/"/>
    <hyperlink ref="K356" r:id="rId355" display="https://superi.ge/gorenje-fn619few5/"/>
    <hyperlink ref="K357" r:id="rId356" display="https://superi.ge/samsung-ue55bu8072uxxh/"/>
    <hyperlink ref="K358" r:id="rId357" display="https://superi.ge/remeza-sb4-s-100-av360-a/"/>
    <hyperlink ref="K359" r:id="rId358" display="https://superi.ge/bosch-climate-3000i-inverter-9000-btu/"/>
    <hyperlink ref="K360" r:id="rId359" display="https://superi.ge/bauma-premium-bm1000n-7-hp/"/>
    <hyperlink ref="K361" r:id="rId360" display="https://superi.ge/royal-turbo-rt1000bg/"/>
    <hyperlink ref="K362" r:id="rId361" display="https://superi.ge/bosch-dwk67cm60/"/>
    <hyperlink ref="K363" r:id="rId362" display="https://superi.ge/midea-xt-09n8d6-inverter-black-25-30/"/>
    <hyperlink ref="K364" r:id="rId363" display="https://superi.ge/midea-xt-12n8d6-inverter-gold-35-40/"/>
    <hyperlink ref="K365" r:id="rId364" display="https://superi.ge/bosch-sms43d08me/"/>
    <hyperlink ref="K366" r:id="rId365" display="https://superi.ge/bosch-smv25bx02r/"/>
    <hyperlink ref="K367" r:id="rId366" display="https://superi.ge/remeza-sb4-s-100-lb30-a/"/>
    <hyperlink ref="K368" r:id="rId367" display="https://superi.ge/samsung-qe50q60cauxxh-2023-127/"/>
    <hyperlink ref="K369" r:id="rId368" display="https://superi.ge/midea-mdrs619fgf46/"/>
    <hyperlink ref="K370" r:id="rId369" display="https://superi.ge/gree-gwh12agb-k6dna1a-inverter-35-40/"/>
    <hyperlink ref="K371" r:id="rId370" display="https://superi.ge/hitachi-r-vx440puc9-bsl/"/>
    <hyperlink ref="K372" r:id="rId371" display="https://superi.ge/midea-mdrs619fgf25/"/>
    <hyperlink ref="K373" r:id="rId372" display="https://superi.ge/samsung-bespoke-nv7b5645tak/"/>
    <hyperlink ref="K374" r:id="rId373" display="https://superi.ge/acer-mr-jtw11-001/"/>
    <hyperlink ref="K375" r:id="rId374" display="https://superi.ge/aux-asw-h24a4-qcr1-75-80/"/>
    <hyperlink ref="K376" r:id="rId375" display="https://superi.ge/beko-b3drcnk402hxbr/"/>
    <hyperlink ref="K377" r:id="rId376" display="https://superi.ge/bosch-kdn43nw20u/"/>
    <hyperlink ref="K378" r:id="rId377" display="https://superi.ge/lg-f2v5gg2s/"/>
    <hyperlink ref="K379" r:id="rId378" display="https://superi.ge/tcl-65c655/"/>
    <hyperlink ref="K380" r:id="rId379" display="https://superi.ge/bosch-hbg517es0r/"/>
    <hyperlink ref="K381" r:id="rId380" display="https://superi.ge/gorenje-gv663d60/"/>
    <hyperlink ref="K382" r:id="rId381" display="https://superi.ge/bosch-smi50d05tr/"/>
    <hyperlink ref="K383" r:id="rId382" display="https://superi.ge/bosch-sms44dw01t/"/>
    <hyperlink ref="K384" r:id="rId383" display="https://superi.ge/haier-tibio-inverter-18000-55-60/"/>
    <hyperlink ref="K385" r:id="rId384" display="https://superi.ge/remeza-sb4-s-50-lb30-a/"/>
    <hyperlink ref="K386" r:id="rId385" display="https://superi.ge/konner-and-sohnen-ks-3000e-3kw/"/>
    <hyperlink ref="K387" r:id="rId386" display="https://superi.ge/hoffmann-eoac-24k-80/"/>
    <hyperlink ref="K388" r:id="rId387" display="https://superi.ge/lg-gr-c639hlcl/"/>
    <hyperlink ref="K389" r:id="rId388" display="https://superi.ge/lg-55up76703lb/"/>
    <hyperlink ref="K390" r:id="rId389" display="https://superi.ge/intex-26790-400x200x122/"/>
    <hyperlink ref="K391" r:id="rId390" display="https://superi.ge/intex-26726-457h122/"/>
    <hyperlink ref="K392" r:id="rId391" display="https://superi.ge/bosch-dwf95aj60t/"/>
    <hyperlink ref="K393" r:id="rId392" display="https://superi.ge/bosch-dwk67cm20/"/>
    <hyperlink ref="K394" r:id="rId393" display="https://superi.ge/midea-mscb-12hrfn8-35-40-inventer/"/>
    <hyperlink ref="K395" r:id="rId394" display="https://superi.ge/bosch-kgv39vw30u/"/>
    <hyperlink ref="K396" r:id="rId395" display="https://superi.ge/hisense-rd-43wc4s-bg/"/>
    <hyperlink ref="K397" r:id="rId396" display="https://superi.ge/lg-gn-b472pqmb-adsqmea/"/>
    <hyperlink ref="K398" r:id="rId397" display="https://superi.ge/bosch-bel653mb3/"/>
    <hyperlink ref="K399" r:id="rId398" display="https://superi.ge/lg-f4v5vs0w/"/>
    <hyperlink ref="K400" r:id="rId399" display="https://superi.ge/samsung-ww11bga047aelp/"/>
    <hyperlink ref="K401" r:id="rId400" display="https://superi.ge/toshiba-tw-bk110g4uz-wk/"/>
    <hyperlink ref="K402" r:id="rId401" display="https://superi.ge/samsung-ue43au8072uxxh/"/>
    <hyperlink ref="K403" r:id="rId402" display="https://superi.ge/bosch-hbg536hw0r/"/>
    <hyperlink ref="K404" r:id="rId403" display="https://superi.ge/gorenje-bos6727syb/"/>
    <hyperlink ref="K405" r:id="rId404" display="https://superi.ge/bosch-sms2htw72e/"/>
    <hyperlink ref="K406" r:id="rId405" display="https://superi.ge/ingco-ac301008/"/>
    <hyperlink ref="K407" r:id="rId406" display="https://superi.ge/lg-50nano783qa/"/>
    <hyperlink ref="K408" r:id="rId407" display="https://superi.ge/samsung-ue55au7172uxxh/"/>
    <hyperlink ref="K409" r:id="rId408" display="https://superi.ge/beko-b5df-t-510447-m/"/>
    <hyperlink ref="K410" r:id="rId409" display="https://superi.ge/al-ko-2500-c-8041420/"/>
    <hyperlink ref="K411" r:id="rId410" display="https://superi.ge/lg-lbb509eqyw-aepqmer/"/>
    <hyperlink ref="K412" r:id="rId411" display="https://superi.ge/vestel-iacha-25fmdn/"/>
    <hyperlink ref="K413" r:id="rId412" display="https://superi.ge/2-ka-3/"/>
    <hyperlink ref="K414" r:id="rId413" display="https://superi.ge/gree-gwh09aga-k6dna1a-inverter-25-30/"/>
    <hyperlink ref="K415" r:id="rId414" display="https://superi.ge/lg-gbp31dstzr/"/>
    <hyperlink ref="K416" r:id="rId415" display="https://superi.ge/bosch-wan2420xme-8/"/>
    <hyperlink ref="K417" r:id="rId416" display="https://superi.ge/toshiba-55c450ke-140/"/>
    <hyperlink ref="K418" r:id="rId417" display="https://superi.ge/samsung-ue55tu7092uxxh/"/>
    <hyperlink ref="K419" r:id="rId418" display="https://superi.ge/brother-modern-210e/"/>
    <hyperlink ref="K420" r:id="rId419" display="https://superi.ge/lg-43up7550pvg/"/>
    <hyperlink ref="K421" r:id="rId420" display="https://superi.ge/dyson-airwrap-multi-styler-complete-long-hs05-lb-copper-blue/"/>
    <hyperlink ref="K422" r:id="rId421" display="https://superi.ge/midea-xt-09n8d6-inverter-silver-25-30/"/>
    <hyperlink ref="K423" r:id="rId422" display="https://superi.ge/tcl-tac-18chsa-tpg11i-50-60-inventer/"/>
    <hyperlink ref="K424" r:id="rId423" display="https://superi.ge/bosch-kdn30nw20u/"/>
    <hyperlink ref="K425" r:id="rId424" display="https://superi.ge/bosch-kgn33nw21u/"/>
    <hyperlink ref="K426" r:id="rId425" display="https://superi.ge/graetz-gtn43ns/"/>
    <hyperlink ref="K427" r:id="rId426" display="https://superi.ge/hitachi-r-b410puc6-pwh/"/>
    <hyperlink ref="K428" r:id="rId427" display="https://superi.ge/samsung-rt32k5132s8-wt/"/>
    <hyperlink ref="K429" r:id="rId428" display="https://superi.ge/bosch-wan24200me-8/"/>
    <hyperlink ref="K430" r:id="rId429" display="https://superi.ge/gorenje-wnei14as-10/"/>
    <hyperlink ref="K431" r:id="rId430" display="https://superi.ge/lg-f4v5vs2s/"/>
    <hyperlink ref="K432" r:id="rId431" display="https://superi.ge/toshiba-tw-bk100g4uz-sk/"/>
    <hyperlink ref="K433" r:id="rId432" display="https://superi.ge/grundig-55-ggu-8960/"/>
    <hyperlink ref="K434" r:id="rId433" display="https://superi.ge/gorenje-bos6747a01x/"/>
    <hyperlink ref="K435" r:id="rId434" display="https://superi.ge/bosch-hbj558ys3q/"/>
    <hyperlink ref="K436" r:id="rId435" display="https://superi.ge/bosch-sms43d02me/"/>
    <hyperlink ref="K437" r:id="rId436" display="https://superi.ge/lg-f4x5eypy8-agwqme3-11/"/>
    <hyperlink ref="K438" r:id="rId437" display="https://superi.ge/hagen-hrsbs1743x/"/>
    <hyperlink ref="K439" r:id="rId438" display="https://superi.ge/philips-43pus8007-12/"/>
    <hyperlink ref="K440" r:id="rId439" display="https://superi.ge/franko-fcf-400dw-400l/"/>
    <hyperlink ref="K441" r:id="rId440" display="https://superi.ge/bosch-kgv36vwea/"/>
    <hyperlink ref="K442" r:id="rId441" display="https://superi.ge/vox-nf-3735-ixf/"/>
    <hyperlink ref="K443" r:id="rId442" display="https://superi.ge/bosch-bfl524mw0/"/>
    <hyperlink ref="K444" r:id="rId443" display="https://superi.ge/rowenta-qu5030f0-48m/"/>
    <hyperlink ref="K445" r:id="rId444" display="https://superi.ge/asus-rog-strix-z890-f-gaming-wifi/"/>
    <hyperlink ref="K446" r:id="rId445" display="https://superi.ge/product-8935/"/>
    <hyperlink ref="K447" r:id="rId446" display="https://superi.ge/bestway-56721/"/>
    <hyperlink ref="K448" r:id="rId447" display="https://superi.ge/midea-l1pb24-c28wm/"/>
    <hyperlink ref="K449" r:id="rId448" display="https://superi.ge/137x72x63-5-65x65x37-5/"/>
    <hyperlink ref="K450" r:id="rId449" display="https://superi.ge/beko-fsm-62320-sac/"/>
    <hyperlink ref="K451" r:id="rId450" display="https://superi.ge/bosch-dwk65ad30r/"/>
    <hyperlink ref="K452" r:id="rId451" display="https://superi.ge/hoffmann-eiac-18k-55-60-inverter/"/>
    <hyperlink ref="K453" r:id="rId452" display="https://superi.ge/midea-af-12n1c2/"/>
    <hyperlink ref="K454" r:id="rId453" display="https://superi.ge/vox-sfe18-aa-set/"/>
    <hyperlink ref="K455" r:id="rId454" display="https://superi.ge/beko-rdse500m20w-superia/"/>
    <hyperlink ref="K456" r:id="rId455" display="https://superi.ge/samsung-ww70ta046ae-le/"/>
    <hyperlink ref="K457" r:id="rId456" display="https://superi.ge/hitachi-bd-d802hvow/"/>
    <hyperlink ref="K458" r:id="rId457" display="https://superi.ge/gorenje-d2hna92w-c/"/>
    <hyperlink ref="K459" r:id="rId458" display="https://superi.ge/sharp-scf-k520h-wh3-380l/"/>
    <hyperlink ref="K460" r:id="rId459" display="https://superi.ge/bosch-ppp6a6b10/"/>
    <hyperlink ref="K461" r:id="rId460" display="https://superi.ge/bosch-hbf534ew0q/"/>
    <hyperlink ref="K462" r:id="rId461" display="https://superi.ge/bosch-hbg517eb1r/"/>
    <hyperlink ref="K463" r:id="rId462" display="https://superi.ge/gree-gwh12agb-k3nna1a-35-40/"/>
    <hyperlink ref="K464" r:id="rId463" display="https://superi.ge/lg-lbb459eqyw-aepqmer/"/>
    <hyperlink ref="K465" r:id="rId464" display="https://superi.ge/tcl-tac-24chsa-xa73-75-80/"/>
    <hyperlink ref="K466" r:id="rId465" display="https://superi.ge/alneo-18chsa-xac1-55-60/"/>
    <hyperlink ref="K467" r:id="rId466" display="https://superi.ge/epson-v11ha86340-co-wx02/"/>
    <hyperlink ref="K468" r:id="rId467" display="https://superi.ge/royal-turbo-rt1000-170f-7hp/"/>
    <hyperlink ref="K469" r:id="rId468" display="https://superi.ge/electrolux-lkk520211w/"/>
    <hyperlink ref="K470" r:id="rId469" display="https://superi.ge/midea-mscb-09hrfn8-25-30-inventer/"/>
    <hyperlink ref="K471" r:id="rId470" display="https://superi.ge/franko-fcf-350dw-347l/"/>
    <hyperlink ref="K472" r:id="rId471" display="https://superi.ge/beko-fse-63330-dx-superia/"/>
    <hyperlink ref="K473" r:id="rId472" display="https://superi.ge/philips-hd9870-20-white/"/>
    <hyperlink ref="K474" r:id="rId473" display="https://superi.ge/refrigerator-promo-lbb389fldm-apyqmer/"/>
    <hyperlink ref="K475" r:id="rId474" display="https://superi.ge/bestway-5612x/"/>
    <hyperlink ref="K476" r:id="rId475" display="https://superi.ge/bosch-pnh6b6o92r/"/>
    <hyperlink ref="K477" r:id="rId476" display="https://superi.ge/130x90/"/>
    <hyperlink ref="K478" r:id="rId477" display="https://superi.ge/beko-fsm-62330-dxs-b300/"/>
    <hyperlink ref="K479" r:id="rId478" display="https://superi.ge/hoffmann-eoac-18k-55-60/"/>
    <hyperlink ref="K480" r:id="rId479" display="https://superi.ge/midea-af-09n1c2/"/>
    <hyperlink ref="K481" r:id="rId480" display="https://superi.ge/ardesto-dnf-m378gl200/"/>
    <hyperlink ref="K482" r:id="rId481" display="https://superi.ge/beko-rcnk270k20w/"/>
    <hyperlink ref="K483" r:id="rId482" display="https://superi.ge/hitachi-r-h330puc7-bsl/"/>
    <hyperlink ref="K484" r:id="rId483" display="https://superi.ge/bosch-bcs712xxl/"/>
    <hyperlink ref="K485" r:id="rId484" display="https://superi.ge/ecoflow-river-2-max/"/>
    <hyperlink ref="K486" r:id="rId485" display="https://superi.ge/acer-x1226ah-mr-juj11-001/"/>
    <hyperlink ref="K487" r:id="rId486" display="https://superi.ge/beko-htv-7736-xsht-b300/"/>
    <hyperlink ref="K488" r:id="rId487" display="https://superi.ge/graetz-wd8614w-8/"/>
    <hyperlink ref="K489" r:id="rId488" display="https://superi.ge/lg-f2v9gw9p/"/>
    <hyperlink ref="K490" r:id="rId489" display="https://superi.ge/gorenje-fh50bpw-500l/"/>
    <hyperlink ref="K491" r:id="rId490" display="https://superi.ge/sharp-scf-k440h-wh3-316l/"/>
    <hyperlink ref="K492" r:id="rId491" display="https://superi.ge/samsung-ue50cu7100uxru-127/"/>
    <hyperlink ref="K493" r:id="rId492" display="https://superi.ge/midea-mdre306fzf01-212-l/"/>
    <hyperlink ref="K494" r:id="rId493" display="https://superi.ge/bosch-hbf534eb0q/"/>
    <hyperlink ref="K495" r:id="rId494" display="https://superi.ge/gorenje-bosb6737e03x/"/>
    <hyperlink ref="K496" r:id="rId495" display="https://superi.ge/4-slx-5/"/>
    <hyperlink ref="K497" r:id="rId496" display="https://superi.ge/lg-43up78003lb/"/>
    <hyperlink ref="K498" r:id="rId497" display="https://superi.ge/aeg-l6se47sre/"/>
    <hyperlink ref="K499" r:id="rId498" display="https://superi.ge/bosch-dwk65aj80r/"/>
    <hyperlink ref="K500" r:id="rId499" display="https://superi.ge/bosch-bgs7pow1/"/>
    <hyperlink ref="K501" r:id="rId500" display="https://superi.ge/toshiba-tw-bk90g4uz-wk/"/>
    <hyperlink ref="K502" r:id="rId501" display="https://superi.ge/toshiba-tw-bl100a4uz-wk/"/>
    <hyperlink ref="K503" r:id="rId502" display="https://superi.ge/vestel-rn270fr3ei-w/"/>
    <hyperlink ref="K504" r:id="rId503" display="https://superi.ge/beko-b55m-d-790-b-55/"/>
    <hyperlink ref="K505" r:id="rId504" display="https://superi.ge/toshiba-gr-rt559we-pmj-06/"/>
    <hyperlink ref="K506" r:id="rId505" display="https://superi.ge/indesit-its-4200-w/"/>
    <hyperlink ref="K507" r:id="rId506" display="https://superi.ge/beko-wtv-9612-xs-nova/"/>
    <hyperlink ref="K508" r:id="rId507" display="https://superi.ge/lg-43up76703lb/"/>
    <hyperlink ref="K509" r:id="rId508" display="https://superi.ge/samsung-ue43tu7092uxxh/"/>
    <hyperlink ref="K510" r:id="rId509" display="https://superi.ge/bauma-premium-bm3500e-m/"/>
    <hyperlink ref="K511" r:id="rId510" display="https://superi.ge/cooper-and-hunter-ch-s12-xz3-universal-pro/"/>
    <hyperlink ref="K512" r:id="rId511" display="https://superi.ge/bestway-56950/"/>
    <hyperlink ref="K513" r:id="rId512" display="https://superi.ge/bosch-dwf65aj60t-649/"/>
    <hyperlink ref="K514" r:id="rId513" display="https://superi.ge/bosch-dwk65aj90r/"/>
    <hyperlink ref="K515" r:id="rId514" display="https://superi.ge/midea-mppd-12crn7/"/>
    <hyperlink ref="K516" r:id="rId515" display="https://superi.ge/beko-rdne43w-superia/"/>
    <hyperlink ref="K517" r:id="rId516" display="https://superi.ge/bosch-bcs711xxl/"/>
    <hyperlink ref="K518" r:id="rId517" display="https://superi.ge/gorenje-wnei84sds/"/>
    <hyperlink ref="K519" r:id="rId518" display="https://superi.ge/lg-f2t2tym1s/"/>
    <hyperlink ref="K520" r:id="rId519" display="https://superi.ge/bosch-pci6b1b90r/"/>
    <hyperlink ref="K521" r:id="rId520" display="https://superi.ge/midea-mo82170gb/"/>
    <hyperlink ref="K522" r:id="rId521" display="https://superi.ge/electrolux-eea913100l/"/>
    <hyperlink ref="K523" r:id="rId522" display="https://superi.ge/gorenje-gv561d10/"/>
    <hyperlink ref="K524" r:id="rId523" display="https://superi.ge/gorenje-gs541d10x/"/>
    <hyperlink ref="K525" r:id="rId524" display="https://superi.ge/bosch-bel653mw3/"/>
    <hyperlink ref="K526" r:id="rId525" display="https://superi.ge/vestel-rm-400tfzm-bg/"/>
    <hyperlink ref="K527" r:id="rId526" display="https://superi.ge/gree-gwh09aga-k3nna1a-25-30/"/>
    <hyperlink ref="K528" r:id="rId527" display="https://superi.ge/beko-wspe7612a/"/>
    <hyperlink ref="K529" r:id="rId528" display="https://superi.ge/dingqi-10080105/"/>
    <hyperlink ref="K530" r:id="rId529" display="https://superi.ge/indesit-its-4180-w/"/>
    <hyperlink ref="K531" r:id="rId530" display="https://superi.ge/midea-m6/"/>
    <hyperlink ref="K532" r:id="rId531" display="https://superi.ge/beko-fse-62320-dx-b300/"/>
    <hyperlink ref="K533" r:id="rId532" display="https://superi.ge/ninja-oo101eu-8in1/"/>
    <hyperlink ref="K534" r:id="rId533" display="https://superi.ge/dixi-mg-12b-inverter-35-40/"/>
    <hyperlink ref="K535" r:id="rId534" display="https://superi.ge/zellmer-tac-12chsd-xa/"/>
    <hyperlink ref="K536" r:id="rId535" display="https://superi.ge/graetz-gtn36ndxw/"/>
    <hyperlink ref="K537" r:id="rId536" display="https://superi.ge/electrolux-ew6f4r28b/"/>
    <hyperlink ref="K538" r:id="rId537" display="https://superi.ge/oz-obig90x60b5e/"/>
    <hyperlink ref="K539" r:id="rId538" display="https://superi.ge/bosch-hbf113br0q/"/>
    <hyperlink ref="K540" r:id="rId539" display="https://superi.ge/midea-mo58100rgb-b/"/>
    <hyperlink ref="K541" r:id="rId540" display="https://superi.ge/gorenje-gv531e10/"/>
    <hyperlink ref="K542" r:id="rId541" display="https://superi.ge/6-hy-009/"/>
    <hyperlink ref="K543" r:id="rId542" display="https://superi.ge/canon-eos-4000d-blacklens-ef-s-18-55-dc-iii-3011c004aa/"/>
    <hyperlink ref="K544" r:id="rId543" display="https://superi.ge/beko-rspe78612s/"/>
    <hyperlink ref="K545" r:id="rId544" display="https://superi.ge/samsung-ww65ag4s20cxlp/"/>
    <hyperlink ref="K546" r:id="rId545" display="https://superi.ge/vestel-w9b12tb/"/>
    <hyperlink ref="K547" r:id="rId546" display="https://superi.ge/bosch-bch86hyg1/"/>
    <hyperlink ref="K548" r:id="rId547" display="https://superi.ge/bosch-bwd421pet/"/>
    <hyperlink ref="K549" r:id="rId548" display="https://superi.ge/samsung-ar09bqhqasiner/"/>
    <hyperlink ref="K550" r:id="rId549" display="https://superi.ge/samsung-ww70agas25axlp-7kg/"/>
    <hyperlink ref="K551" r:id="rId550" display="https://superi.ge/gorenje-whi6syb/"/>
    <hyperlink ref="K552" r:id="rId551" display="https://superi.ge/gorenje-kam26-php/"/>
    <hyperlink ref="K553" r:id="rId552" display="https://superi.ge/gorenje-rea26-kc-inverter-25-30/"/>
    <hyperlink ref="K554" r:id="rId553" display="https://superi.ge/midea-msaf-12hrn8-w/"/>
    <hyperlink ref="K555" r:id="rId554" display="https://superi.ge/graetz-gtn36nw/"/>
    <hyperlink ref="K556" r:id="rId555" display="https://superi.ge/bosch-bgs7pet/"/>
    <hyperlink ref="K557" r:id="rId556" display="https://superi.ge/fitnes/"/>
    <hyperlink ref="K558" r:id="rId557" display="https://superi.ge/gorenje-w2nhai94aps-c/"/>
    <hyperlink ref="K559" r:id="rId558" display="https://superi.ge/gorenje-wnei72sb-7/"/>
    <hyperlink ref="K560" r:id="rId559" display="https://superi.ge/gorenje-wnhai1x4aps-c-10-5/"/>
    <hyperlink ref="K561" r:id="rId560" display="https://superi.ge/lg-f-2j3ns0w/"/>
    <hyperlink ref="K562" r:id="rId561" display="https://superi.ge/gorenje-w1d2a854adps-8-5/"/>
    <hyperlink ref="K563" r:id="rId562" display="https://superi.ge/samsung-ue43au7172uxxh/"/>
    <hyperlink ref="K564" r:id="rId563" display="https://superi.ge/samsung-ue43cu7100uxru-109/"/>
    <hyperlink ref="K565" r:id="rId564" display="https://superi.ge/gorenje-gce691bsc/"/>
    <hyperlink ref="K566" r:id="rId565" display="https://superi.ge/bosch-hbf113ba0q/"/>
    <hyperlink ref="K567" r:id="rId566" display="https://superi.ge/gorenje-gv62040/"/>
    <hyperlink ref="K568" r:id="rId567" display="https://superi.ge/vox-nf-3830-ixf/"/>
    <hyperlink ref="K569" r:id="rId568" display="https://superi.ge/franko-fcf-294dw-295/"/>
    <hyperlink ref="K570" r:id="rId569" display="https://superi.ge/tcl-p315bf-silver/"/>
    <hyperlink ref="K571" r:id="rId570" display="https://superi.ge/beko-wtv-8712-xw-b100/"/>
    <hyperlink ref="K572" r:id="rId571" display="https://superi.ge/toshiba-tw-bl90a4uz-wk/"/>
    <hyperlink ref="K573" r:id="rId572" display="https://superi.ge/janome-718a/"/>
    <hyperlink ref="K574" r:id="rId573" display="https://superi.ge/vestfrost-gt-n3664mgks-a-ix/"/>
    <hyperlink ref="K575" r:id="rId574" display="https://superi.ge/haier-tibio-inverter-12000-35-40/"/>
    <hyperlink ref="K576" r:id="rId575" display="https://superi.ge/samsung-ww80t3040bs-lp/"/>
    <hyperlink ref="K577" r:id="rId576" display="https://superi.ge/beko-fse-63320-dx/"/>
    <hyperlink ref="K578" r:id="rId577" display="https://superi.ge/beko-fsgt-62110-dxo-b100/"/>
    <hyperlink ref="K579" r:id="rId578" display="https://superi.ge/ingco-ge35006-3-5/"/>
    <hyperlink ref="K580" r:id="rId579" display="https://superi.ge/lenovo-ideacentre-aio-3-22itl6-f0g500alrk-white/"/>
    <hyperlink ref="K581" r:id="rId580" display="https://superi.ge/canon-i-sensys-mf264dw-ii-5938c017aa/"/>
    <hyperlink ref="K582" r:id="rId581" display="https://superi.ge/bosch-bgs412234a/"/>
    <hyperlink ref="K583" r:id="rId582" display="https://superi.ge/canon-maxify-gx5040-5550c009aa5550c009ab/"/>
    <hyperlink ref="K584" r:id="rId583" display="https://superi.ge/daewoo-wm914t3wb0ge-9/"/>
    <hyperlink ref="K585" r:id="rId584" display="https://superi.ge/vox-wm1410-sat15abldc/"/>
    <hyperlink ref="K586" r:id="rId585" display="https://superi.ge/tcl-tac-18chsa-xa73-55-60/"/>
    <hyperlink ref="K587" r:id="rId586" display="https://superi.ge/samsung-ar07bqhqasiner/"/>
    <hyperlink ref="K588" r:id="rId587" display="https://superi.ge/beko-dvn05320s/"/>
    <hyperlink ref="K589" r:id="rId588" display="https://superi.ge/janome-dc3900/"/>
    <hyperlink ref="K590" r:id="rId589" display="https://superi.ge/asus-tuf-gaming-z890-pro-wifi-intel-z890-ddr5-eatx/"/>
    <hyperlink ref="K591" r:id="rId590" display="https://superi.ge/trinx-n600-nana/"/>
    <hyperlink ref="K592" r:id="rId591" display="https://superi.ge/beko-fset-62111-gss-superia/"/>
    <hyperlink ref="K593" r:id="rId592" display="https://superi.ge/aston-martin-5db11/"/>
    <hyperlink ref="K594" r:id="rId593" display="https://superi.ge/aux-asw-h12a4-qcr1-35-40/"/>
    <hyperlink ref="K595" r:id="rId594" display="https://superi.ge/vox-iva1-9ir-inv-set/"/>
    <hyperlink ref="K596" r:id="rId595" display="https://superi.ge/hagen-hrbf1828x-silver/"/>
    <hyperlink ref="K597" r:id="rId596" display="https://superi.ge/hisense-rd-32wrn/"/>
    <hyperlink ref="K598" r:id="rId597" display="https://superi.ge/vestel-rs-390-silver/"/>
    <hyperlink ref="K599" r:id="rId598" display="https://superi.ge/vox-pmf12ch/"/>
    <hyperlink ref="K600" r:id="rId599" display="https://superi.ge/canon-ink-maxify-mb5140-0960c007aa/"/>
    <hyperlink ref="K601" r:id="rId600" display="https://superi.ge/lg-f2j3hs2w/"/>
    <hyperlink ref="K602" r:id="rId601" display="https://superi.ge/toshiba-tw-bl80a2uz-wk/"/>
    <hyperlink ref="K603" r:id="rId602" display="https://superi.ge/vox-wm1288-sat2t15d/"/>
    <hyperlink ref="K604" r:id="rId603" display="https://superi.ge/sharp-scf-k350h-wh3-251l/"/>
    <hyperlink ref="K605" r:id="rId604" display="https://superi.ge/blaupunkt-55ugc6000-139/"/>
    <hyperlink ref="K606" r:id="rId605" display="https://superi.ge/lg-43ur78006lk-109/"/>
    <hyperlink ref="K607" r:id="rId606" display="https://superi.ge/beko-dvn05321b/"/>
    <hyperlink ref="K608" r:id="rId607" display="https://superi.ge/gorenje-gs62040w/"/>
    <hyperlink ref="K609" r:id="rId608" display="https://superi.ge/toshiba-dw-14f1cis-w/"/>
    <hyperlink ref="K610" r:id="rId609" display="https://superi.ge/remeza-sb4-c-50-j1048b/"/>
    <hyperlink ref="K611" r:id="rId610" display="https://superi.ge/bosch-bch86sil1/"/>
    <hyperlink ref="K612" r:id="rId611" display="https://superi.ge/remeza-sb4-c-50-j1047b/"/>
    <hyperlink ref="K613" r:id="rId612" display="https://superi.ge/franko-fcf-249dw-245/"/>
    <hyperlink ref="K614" r:id="rId613" display="https://superi.ge/hecht-752/"/>
    <hyperlink ref="K615" r:id="rId614" display="https://superi.ge/akog-100-sp-110-grafite-sit/"/>
    <hyperlink ref="K616" r:id="rId615" display="https://superi.ge/vox-50a11u314b/"/>
    <hyperlink ref="K617" r:id="rId616" display="https://superi.ge/vox-50adwd1b/"/>
    <hyperlink ref="K618" r:id="rId617" display="https://superi.ge/trinx-majestic-m600-elite/"/>
    <hyperlink ref="K619" r:id="rId618" display="https://superi.ge/270-2355-210/"/>
    <hyperlink ref="K620" r:id="rId619" display="https://superi.ge/vox-wm1490-sat2t15d/"/>
    <hyperlink ref="K621" r:id="rId620" display="https://superi.ge/brother-st55e/"/>
    <hyperlink ref="K622" r:id="rId621" display="https://superi.ge/vestfrost-tm343w/"/>
    <hyperlink ref="K623" r:id="rId622" display="https://superi.ge/dixi-mg-09b-inverter-25-30/"/>
    <hyperlink ref="K624" r:id="rId623" display="https://superi.ge/hagen-hrbf1828w-no-frost/"/>
    <hyperlink ref="K625" r:id="rId624" display="https://superi.ge/bosch-bch85n/"/>
    <hyperlink ref="K626" r:id="rId625" display="https://superi.ge/electrolux-ew6s5r06w/"/>
    <hyperlink ref="K627" r:id="rId626" display="https://superi.ge/gorenje-wnhei84as-r-8/"/>
    <hyperlink ref="K628" r:id="rId627" display="https://superi.ge/samsung-ww60ag4s00celp/"/>
    <hyperlink ref="K629" r:id="rId628" display="https://superi.ge/vox-wm1280-sat2t15d/"/>
    <hyperlink ref="K630" r:id="rId629" display="https://superi.ge/samsung-ue43t5300auxce/"/>
    <hyperlink ref="K631" r:id="rId630" display="https://superi.ge/midea-mo69110gb/"/>
    <hyperlink ref="K632" r:id="rId631" display="https://superi.ge/gorenje-gs541d10w/"/>
    <hyperlink ref="K633" r:id="rId632" display="https://superi.ge/lego-city-rocket-launch-center/"/>
    <hyperlink ref="K634" r:id="rId633" display="https://superi.ge/cooper-and-hunter-ch-s09-xz3-universal-pro/"/>
    <hyperlink ref="K635" r:id="rId634" display="https://superi.ge/vestel-rs455tf3m-w/"/>
    <hyperlink ref="K636" r:id="rId635" display="https://superi.ge/beko-dvn05320w/"/>
    <hyperlink ref="K637" r:id="rId636" display="https://superi.ge/janome-clio-325/"/>
    <hyperlink ref="K638" r:id="rId637" display="https://superi.ge/midea-mo78101cgw/"/>
    <hyperlink ref="K639" r:id="rId638" display="https://superi.ge/vestel-bo-8786b/"/>
    <hyperlink ref="K640" r:id="rId639" display="https://superi.ge/janome-hd6130/"/>
    <hyperlink ref="K641" r:id="rId640" display="https://superi.ge/hyperx-367522-ruby/"/>
    <hyperlink ref="K642" r:id="rId641" display="https://superi.ge/trinx-m500-pro-17-2020/"/>
    <hyperlink ref="K643" r:id="rId642" display="https://superi.ge/haier-tibio-inverter-9000-25-30/"/>
    <hyperlink ref="K644" r:id="rId643" display="https://superi.ge/brother-elite-45/"/>
    <hyperlink ref="K645" r:id="rId644" display="https://superi.ge/bosch-dwk66pj20t/"/>
    <hyperlink ref="K646" r:id="rId645" display="https://superi.ge/vox-wm1495-t14qd/"/>
    <hyperlink ref="K647" r:id="rId646" display="https://superi.ge/grundig-43-gfu-7800b/"/>
    <hyperlink ref="K648" r:id="rId647" display="https://superi.ge/bosch-mmbh6p6b/"/>
    <hyperlink ref="K649" r:id="rId648" display="https://superi.ge/vestel-dwa1b3bow/"/>
    <hyperlink ref="K650" r:id="rId649" display="https://superi.ge/2e-55a06l-140/"/>
    <hyperlink ref="K651" r:id="rId650" display="https://superi.ge/106-6x74-4-73-5x59-8x108-jm-ps-t720/"/>
    <hyperlink ref="K652" r:id="rId651" display="https://superi.ge/alneo-12chsa-xac1-35-40/"/>
    <hyperlink ref="K653" r:id="rId652" display="https://superi.ge/midea-mppd-09crn7/"/>
    <hyperlink ref="K654" r:id="rId653" display="https://superi.ge/midea-msaf-09hrn8-w/"/>
    <hyperlink ref="K655" r:id="rId654" display="https://superi.ge/vox-kg-3330-f/"/>
    <hyperlink ref="K656" r:id="rId655" display="https://superi.ge/vox-kk-3600-f/"/>
    <hyperlink ref="K657" r:id="rId656" display="https://superi.ge/samsung-ww70t3020bw-lp/"/>
    <hyperlink ref="K658" r:id="rId657" display="https://superi.ge/daewoo-50dm72ua-127/"/>
    <hyperlink ref="K659" r:id="rId658" display="https://superi.ge/samsung-ue32t5300auxua/"/>
    <hyperlink ref="K660" r:id="rId659" display="https://superi.ge/electrolux-ege6182nok/"/>
    <hyperlink ref="K661" r:id="rId660" display="https://superi.ge/beko-oim-27201-a/"/>
    <hyperlink ref="K662" r:id="rId661" display="https://superi.ge/bosch-hbf011br0q/"/>
    <hyperlink ref="K663" r:id="rId662" display="https://superi.ge/bosch-hbf011bv0q/"/>
    <hyperlink ref="K664" r:id="rId663" display="https://superi.ge/graetz-bo6504s01/"/>
    <hyperlink ref="K665" r:id="rId664" display="https://superi.ge/beko-wsre7512prw/"/>
    <hyperlink ref="K666" r:id="rId665" display="https://superi.ge/janome-clio-320/"/>
    <hyperlink ref="K667" r:id="rId666" display="https://superi.ge/mayer-esaf-12mn1-35-40/"/>
    <hyperlink ref="K668" r:id="rId667" display="https://superi.ge/chigo-cfd285-230/"/>
    <hyperlink ref="K669" r:id="rId668" display="https://superi.ge/beko-rdsa240k30wn/"/>
    <hyperlink ref="K670" r:id="rId669" display="https://superi.ge/indesit-bwse-81293x-wsv-ru/"/>
    <hyperlink ref="K671" r:id="rId670" display="https://superi.ge/ardesto-frm-250ecm-249/"/>
    <hyperlink ref="K672" r:id="rId671" display="https://superi.ge/tcl-tac-09chsa-tpg11i-25-30/"/>
    <hyperlink ref="K673" r:id="rId672" display="https://superi.ge/vox-sfe09-aa-set/"/>
    <hyperlink ref="K674" r:id="rId673" display="https://superi.ge/ardesto-swmg-7121w/"/>
    <hyperlink ref="K675" r:id="rId674" display="https://superi.ge/philips-32pfs6805-12/"/>
    <hyperlink ref="K676" r:id="rId675" display="https://superi.ge/beko-fse-62110-dw-superia/"/>
    <hyperlink ref="K677" r:id="rId676" display="https://superi.ge/hoffmann-eoac-12k-35-40/"/>
    <hyperlink ref="K678" r:id="rId677" display="https://superi.ge/vox-vsa7-9be-set/"/>
    <hyperlink ref="K679" r:id="rId678" display="https://superi.ge/skytech-stv50n9100/"/>
    <hyperlink ref="K680" r:id="rId679" display="https://superi.ge/vox-55a11u314b/"/>
    <hyperlink ref="K681" r:id="rId680" display="https://superi.ge/vox-wm1290-t14d/"/>
    <hyperlink ref="K682" r:id="rId681" display="https://superi.ge/sharp-scf-k270h-wh3-200l/"/>
    <hyperlink ref="K683" r:id="rId682" display="https://superi.ge/indesit-bwsd-61051-wwv-ru/"/>
    <hyperlink ref="K684" r:id="rId683" display="https://superi.ge/electrolux-gpe363nk/"/>
    <hyperlink ref="K685" r:id="rId684" display="https://superi.ge/brother-elite-55/"/>
    <hyperlink ref="K686" r:id="rId685" display="https://superi.ge/lg-32lm6370pla/"/>
    <hyperlink ref="K687" r:id="rId686" display="https://superi.ge/210-22sn1323-210/"/>
    <hyperlink ref="K688" r:id="rId687" display="https://superi.ge/dell-lcd-p2722he-210-azzb/"/>
    <hyperlink ref="K689" r:id="rId688" display="https://superi.ge/gorenje-whe72sfs-7/"/>
    <hyperlink ref="K690" r:id="rId689" display="https://superi.ge/franko-fih-1180/"/>
    <hyperlink ref="K691" r:id="rId690" display="https://superi.ge/aux-asw-h09a4-qcr1-25-30/"/>
    <hyperlink ref="K692" r:id="rId691" display="https://superi.ge/beko-bbfda-070-071/"/>
    <hyperlink ref="K693" r:id="rId692" display="https://superi.ge/tcl-tac-12chsa-xa73-35-40/"/>
    <hyperlink ref="K694" r:id="rId693" display="https://superi.ge/bosch-fel053ms2/"/>
    <hyperlink ref="K695" r:id="rId694" display="https://superi.ge/beko-wsre-6512-prs/"/>
    <hyperlink ref="K696" r:id="rId695" display="https://superi.ge/vestfrost-vw810ff4s-8/"/>
    <hyperlink ref="K697" r:id="rId696" display="https://superi.ge/ninja-c35000eu-5-pcs/"/>
    <hyperlink ref="K698" r:id="rId697" display="https://superi.ge/zilan-zln4681/"/>
    <hyperlink ref="K699" r:id="rId698" display="https://superi.ge/beko-bbim13300xm-superia/"/>
    <hyperlink ref="K700" r:id="rId699" display="https://superi.ge/vestfrost-vfa2wfs60sd6/"/>
    <hyperlink ref="K701" r:id="rId700" display="https://superi.ge/2-xb-4/"/>
    <hyperlink ref="K702" r:id="rId701" display="https://superi.ge/trinx-m116-pro/"/>
    <hyperlink ref="K703" r:id="rId702" display="https://superi.ge/janome-se-7519/"/>
    <hyperlink ref="K704" r:id="rId703" display="https://superi.ge/ersel-ehs1200ks/"/>
    <hyperlink ref="K705" r:id="rId704" display="https://superi.ge/byintek-moon-k25-basic/"/>
    <hyperlink ref="K706" r:id="rId705" display="https://superi.ge/janome-1522dg/"/>
    <hyperlink ref="K707" r:id="rId706" display="https://superi.ge/janome-1522pg/"/>
    <hyperlink ref="K708" r:id="rId707" display="https://superi.ge/chigo-cs-25h3a-b150ay8d-25-30/"/>
    <hyperlink ref="K709" r:id="rId708" display="https://superi.ge/bosch-bgs41hyg1/"/>
    <hyperlink ref="K710" r:id="rId709" display="https://superi.ge/samsung-curved-gaming-odyssey-g5-ls32cg550eixci-32/"/>
    <hyperlink ref="K711" r:id="rId710" display="https://superi.ge/beko-bbim12300xm/"/>
    <hyperlink ref="K712" r:id="rId711" display="https://superi.ge/hosseven-hdu-10-100-black/"/>
    <hyperlink ref="K713" r:id="rId712" display="https://superi.ge/hosseven-hdu-10-100-beige/"/>
    <hyperlink ref="K714" r:id="rId713" display="https://superi.ge/hyundai-hcb-c4205-1800w/"/>
    <hyperlink ref="K715" r:id="rId714" display="https://superi.ge/bestway-56418/"/>
    <hyperlink ref="K716" r:id="rId715" display="https://superi.ge/intex-26716/"/>
    <hyperlink ref="K717" r:id="rId716" display="https://superi.ge/ninja-af400eu/"/>
    <hyperlink ref="K718" r:id="rId717" display="https://superi.ge/ninja-ag551eu-2in1/"/>
    <hyperlink ref="K719" r:id="rId718" display="https://superi.ge/hagen-hrbf1825w/"/>
    <hyperlink ref="K720" r:id="rId719" display="https://superi.ge/dell-s2721hgf-curved/"/>
    <hyperlink ref="K721" r:id="rId720" display="https://superi.ge/lg-a9n-prime-bbwqcis/"/>
    <hyperlink ref="K722" r:id="rId721" display="https://superi.ge/midea-m3s/"/>
    <hyperlink ref="K723" r:id="rId722" display="https://superi.ge/gorenje-gs520e15w/"/>
    <hyperlink ref="K724" r:id="rId723" display="https://superi.ge/gorenje-whe60sfs/"/>
    <hyperlink ref="K725" r:id="rId724" display="https://superi.ge/sharp-scf-k200hl-wh3-145l/"/>
    <hyperlink ref="K726" r:id="rId725" display="https://superi.ge/tcl-43p745/"/>
    <hyperlink ref="K727" r:id="rId726" display="https://superi.ge/hosseven-hhs-9-80/"/>
    <hyperlink ref="K728" r:id="rId727" display="https://superi.ge/chigo-cwf704g-7/"/>
    <hyperlink ref="K729" r:id="rId728" display="https://superi.ge/ninja-af451eu-9-5-l/"/>
    <hyperlink ref="K730" r:id="rId729" display="https://superi.ge/akog-4-sp-45-graphit/"/>
    <hyperlink ref="K731" r:id="rId730" display="https://superi.ge/vestel-sd220w/"/>
    <hyperlink ref="K732" r:id="rId731" display="https://superi.ge/brother-artwork-37a/"/>
    <hyperlink ref="K733" r:id="rId732" display="https://superi.ge/bestway-15428/"/>
    <hyperlink ref="K734" r:id="rId733" display="https://superi.ge/hyperx-367502-blast/"/>
    <hyperlink ref="K735" r:id="rId734" display="https://superi.ge/bosch-dwb64bc52/"/>
    <hyperlink ref="K736" r:id="rId735" display="https://superi.ge/product-12106/"/>
    <hyperlink ref="K737" r:id="rId736" display="https://superi.ge/bmw-5ft-968/"/>
    <hyperlink ref="K738" r:id="rId737" display="https://superi.ge/totem-bernard-27-5/"/>
    <hyperlink ref="K739" r:id="rId738" display="https://superi.ge/alneo-09chsa-xac1-25-30/"/>
    <hyperlink ref="K740" r:id="rId739" display="https://superi.ge/midea-gmcc-mwf-09crn8-25-30/"/>
    <hyperlink ref="K741" r:id="rId740" display="https://superi.ge/samsung-mc32db7746kcbw/"/>
    <hyperlink ref="K742" r:id="rId741" display="https://superi.ge/bosch-bgs21pow2/"/>
    <hyperlink ref="K743" r:id="rId742" display="https://superi.ge/indesit-win610s-6kg/"/>
    <hyperlink ref="K744" r:id="rId743" display="https://superi.ge/regal-regal-ty7454w-7/"/>
    <hyperlink ref="K745" r:id="rId744" display="https://superi.ge/toshiba-tw-bl70a2uz-ss-6/"/>
    <hyperlink ref="K746" r:id="rId745" display="https://superi.ge/vestfrost-vw712ft2w/"/>
    <hyperlink ref="K747" r:id="rId746" display="https://superi.ge/hisense-fc-26dd4sa/"/>
    <hyperlink ref="K748" r:id="rId747" display="https://superi.ge/midea-mo-37001-gb/"/>
    <hyperlink ref="K749" r:id="rId748" display="https://superi.ge/dingqi-108010/"/>
    <hyperlink ref="K750" r:id="rId749" display="https://superi.ge/bestway-56424/"/>
    <hyperlink ref="K751" r:id="rId750" display="https://superi.ge/evii-rk-1237-retro-black/"/>
    <hyperlink ref="K752" r:id="rId751" display="https://superi.ge/samsung-sm-a085f-galaxy-a08-6gb-128gb-lte-duos-dark-blue/"/>
    <hyperlink ref="K753" r:id="rId752" display="https://superi.ge/product-8896/"/>
    <hyperlink ref="K754" r:id="rId753" display="https://superi.ge/vestel-w610t2ds/"/>
    <hyperlink ref="K755" r:id="rId754" display="https://superi.ge/tcl-43s5400a-2023-109/"/>
    <hyperlink ref="K756" r:id="rId755" display="https://superi.ge/smeg-tsf01bleu-black/"/>
    <hyperlink ref="K757" r:id="rId756" display="https://superi.ge/guswing-17051234/"/>
    <hyperlink ref="K758" r:id="rId757" display="https://superi.ge/vox-kg-2500-bf/"/>
    <hyperlink ref="K759" r:id="rId758" display="https://superi.ge/vestfrost-vw510ff4w/"/>
    <hyperlink ref="K760" r:id="rId759" display="https://superi.ge/brother-artwork-33a/"/>
    <hyperlink ref="K761" r:id="rId760" display="https://superi.ge/brother-vitrage-m77/"/>
    <hyperlink ref="K762" r:id="rId761" display="https://superi.ge/hecht-2026/"/>
    <hyperlink ref="K763" r:id="rId762" display="https://superi.ge/akog-4-sp-40-black/"/>
    <hyperlink ref="K764" r:id="rId763" display="https://superi.ge/trenton-balcony-capc-nw-oat-008-std/"/>
    <hyperlink ref="K765" r:id="rId764" display="https://superi.ge/akog-3-sp-35-beige/"/>
    <hyperlink ref="K766" r:id="rId765" display="https://superi.ge/akog-3-sp-35-graphite/"/>
    <hyperlink ref="K767" r:id="rId766" display="https://superi.ge/akog-5-h-60-beige/"/>
    <hyperlink ref="K768" r:id="rId767" display="https://superi.ge/intex-28273/"/>
    <hyperlink ref="K769" r:id="rId768" display="https://superi.ge/ronix-rc-5010/"/>
    <hyperlink ref="K770" r:id="rId769" display="https://superi.ge/hoffmann-eoac-9k-20-30/"/>
    <hyperlink ref="K771" r:id="rId770" display="https://superi.ge/samsung-ms23a7118aw-bw/"/>
    <hyperlink ref="K772" r:id="rId771" display="https://superi.ge/super-270-vc-270/"/>
    <hyperlink ref="K773" r:id="rId772" display="https://superi.ge/daewoo-wm610t1wu0ge-6/"/>
    <hyperlink ref="K774" r:id="rId773" display="https://superi.ge/vestel-w508t1/"/>
    <hyperlink ref="K775" r:id="rId774" display="https://superi.ge/patio-tora-h031-05pb-17050907/"/>
    <hyperlink ref="K776" r:id="rId775" display="https://superi.ge/midea-mg631gab/"/>
    <hyperlink ref="K777" r:id="rId776" display="https://superi.ge/vox-ebb6505/"/>
    <hyperlink ref="K778" r:id="rId777" display="https://superi.ge/vestfrost-vw48ff2w/"/>
    <hyperlink ref="K779" r:id="rId778" display="https://superi.ge/ersel-ehs-5000-ks-60-80-black/"/>
    <hyperlink ref="K780" r:id="rId779" display="https://superi.ge/beko-cwb-6410-cr/"/>
    <hyperlink ref="K781" r:id="rId780" display="https://superi.ge/smeg-klf03bleu-black/"/>
    <hyperlink ref="K782" r:id="rId781" display="https://superi.ge/bosch-bgc21hyg1/"/>
    <hyperlink ref="K783" r:id="rId782" display="https://superi.ge/marazzi-wm701fl22-s-dg/"/>
    <hyperlink ref="K784" r:id="rId783" display="https://superi.ge/ardesto-frm-200ecm-195/"/>
    <hyperlink ref="K785" r:id="rId784" display="https://superi.ge/smeg-tsf01pgeu-pastel-green/"/>
    <hyperlink ref="K786" r:id="rId785" display="https://superi.ge/beko-hinw-64229-s/"/>
    <hyperlink ref="K787" r:id="rId786" display="https://superi.ge/trinx-junior-3-0/"/>
    <hyperlink ref="K788" r:id="rId787" display="https://superi.ge/janome-1547/"/>
    <hyperlink ref="K789" r:id="rId788" display="https://superi.ge/akog-2-sp-25-beige/"/>
    <hyperlink ref="K790" r:id="rId789" display="https://superi.ge/akog-2sp-25-black/"/>
    <hyperlink ref="K791" r:id="rId790" display="https://superi.ge/millen-ft6400gbzb/"/>
    <hyperlink ref="K792" r:id="rId791" display="https://superi.ge/vox-gtr-6400w/"/>
    <hyperlink ref="K793" r:id="rId792" display="https://superi.ge/electrolux-egs6436sx/"/>
    <hyperlink ref="K794" r:id="rId793" display="https://superi.ge/hp-laser-mfp-137fnw-4zb84a/"/>
    <hyperlink ref="K795" r:id="rId794" display="https://superi.ge/singer-standard-smc-8280-00/"/>
    <hyperlink ref="K796" r:id="rId795" display="https://superi.ge/franko-fig-9002/"/>
    <hyperlink ref="K797" r:id="rId796" display="https://superi.ge/philips-hd9252-90-4-1-l/"/>
    <hyperlink ref="K798" r:id="rId797" display="https://superi.ge/tefal-ey501d15-4-2/"/>
    <hyperlink ref="K799" r:id="rId798" display="https://superi.ge/beko-adv-5160-ran/"/>
    <hyperlink ref="K800" r:id="rId799" display="https://superi.ge/bosch-dwp64cc20t/"/>
    <hyperlink ref="K801" r:id="rId800" display="https://superi.ge/millen-mac-09k-25-30/"/>
    <hyperlink ref="K802" r:id="rId801" display="https://superi.ge/gorenje-rb491pw/"/>
    <hyperlink ref="K803" r:id="rId802" display="https://superi.ge/ecoflow-river-2/"/>
    <hyperlink ref="K804" r:id="rId803" display="https://superi.ge/skytech-stv43n9100/"/>
    <hyperlink ref="K805" r:id="rId804" display="https://superi.ge/midea-mg684tgw/"/>
    <hyperlink ref="K806" r:id="rId805" display="https://superi.ge/midea-mg696tgb/"/>
    <hyperlink ref="K807" r:id="rId806" display="https://superi.ge/ardesto-frm-145ecm-142/"/>
    <hyperlink ref="K808" r:id="rId807" display="https://superi.ge/hisense-dt27dr4-silver/"/>
    <hyperlink ref="K809" r:id="rId808" display="https://superi.ge/ersel-ehs-4000-ks-40-60-black/"/>
    <hyperlink ref="K810" r:id="rId809" display="https://superi.ge/bestway-56405/"/>
    <hyperlink ref="K811" r:id="rId810" display="https://superi.ge/bosch-mes25a0/"/>
    <hyperlink ref="K812" r:id="rId811" display="https://superi.ge/fujiyama-fhs-4000-k-40-white/"/>
    <hyperlink ref="K813" r:id="rId812" display="https://superi.ge/ilife-h70-cordless-stick-vacuum-cleaner/"/>
    <hyperlink ref="K814" r:id="rId813" display="https://superi.ge/janome-high-style-1818/"/>
    <hyperlink ref="K815" r:id="rId814" display="https://superi.ge/samsung-na64h3010as-wt/"/>
    <hyperlink ref="K816" r:id="rId815" display="https://superi.ge/kenwood-mg520/"/>
    <hyperlink ref="K817" r:id="rId816" display="https://superi.ge/electrolux-efc226r/"/>
    <hyperlink ref="K818" r:id="rId817" display="https://superi.ge/ugreen-sc200-200w/"/>
    <hyperlink ref="K819" r:id="rId818" display="https://superi.ge/beko-bss-4600-tt-set/"/>
    <hyperlink ref="K820" r:id="rId819" display="https://superi.ge/ardesto-urm-85m90-83/"/>
    <hyperlink ref="K821" r:id="rId820" display="https://superi.ge/allibert-rosario-graphite-ka/"/>
    <hyperlink ref="K822" r:id="rId821" display="https://superi.ge/midea-mh60c785x/"/>
    <hyperlink ref="K823" r:id="rId822" display="https://superi.ge/tefal-k232s574-5pcs/"/>
    <hyperlink ref="K824" r:id="rId823" display="https://superi.ge/vestel-rs200lr3m-w/"/>
    <hyperlink ref="K825" r:id="rId824" display="https://superi.ge/rowenta-ro3786ea/"/>
    <hyperlink ref="K826" r:id="rId825" display="https://superi.ge/midea-mg631sas/"/>
    <hyperlink ref="K827" r:id="rId826" display="https://superi.ge/bosch-bbhf214r/"/>
    <hyperlink ref="K828" r:id="rId827" display="https://superi.ge/harman-kardon-fly-tws/"/>
    <hyperlink ref="K829" r:id="rId828" display="https://superi.ge/akog-3-h-sit-35-beige/"/>
    <hyperlink ref="K830" r:id="rId829" display="https://superi.ge/skytech-stv40n9100/"/>
    <hyperlink ref="K831" r:id="rId830" display="https://superi.ge/fakir-torque-pro-2000/"/>
    <hyperlink ref="K832" r:id="rId831" display="https://superi.ge/gred-star-10-blue/"/>
    <hyperlink ref="K833" r:id="rId832" display="https://superi.ge/210-23sn2675-210/"/>
    <hyperlink ref="K834" r:id="rId833" display="https://superi.ge/burio-electric-screen-200x200cm-br8484e/"/>
    <hyperlink ref="K835" r:id="rId834" display="https://superi.ge/allscreen-cmp-8080b-with/"/>
    <hyperlink ref="K836" r:id="rId835" display="https://superi.ge/bestway-56416/"/>
    <hyperlink ref="K837" r:id="rId836" display="https://superi.ge/janome-2121/"/>
    <hyperlink ref="K838" r:id="rId837" display="https://superi.ge/janome-2252/"/>
    <hyperlink ref="K839" r:id="rId838" display="https://superi.ge/ingco-ac20248/"/>
    <hyperlink ref="K840" r:id="rId839" display="https://superi.ge/samsung-mg23t5018ap-bw/"/>
    <hyperlink ref="K841" r:id="rId840" display="https://superi.ge/janome-artstyle-4045/"/>
    <hyperlink ref="K842" r:id="rId841" display="https://superi.ge/janome-mx55/"/>
    <hyperlink ref="K843" r:id="rId842" display="https://superi.ge/gred-star-8-colorful/"/>
    <hyperlink ref="K844" r:id="rId843" display="https://superi.ge/beko-frl-5388b-air-fryer/"/>
    <hyperlink ref="K845" r:id="rId844" display="https://superi.ge/iowa-balcony-grap-cus-cl-gr-008-std/"/>
    <hyperlink ref="K846" r:id="rId845" display="https://superi.ge/bosch-dft63ca60q/"/>
    <hyperlink ref="K847" r:id="rId846" display="https://superi.ge/bosch-ffl020mw0/"/>
    <hyperlink ref="K848" r:id="rId847" display="https://superi.ge/samsung-ms20a7013ab-bw/"/>
    <hyperlink ref="K849" r:id="rId848" display="https://superi.ge/gorenje-vce03sprcy/"/>
    <hyperlink ref="K850" r:id="rId849" display="https://superi.ge/blaupunkt-32fbg5010s-81/"/>
    <hyperlink ref="K851" r:id="rId850" display="https://superi.ge/midea-60sk005/"/>
    <hyperlink ref="K852" r:id="rId851" display="https://superi.ge/al-ko-classic-3-82-se-1400-w/"/>
    <hyperlink ref="K853" r:id="rId852" display="https://superi.ge/ingco-ac25508/"/>
    <hyperlink ref="K854" r:id="rId853" display="https://superi.ge/gorenje-svc252fmbk/"/>
    <hyperlink ref="K855" r:id="rId854" display="https://superi.ge/vox-em2101/"/>
    <hyperlink ref="K856" r:id="rId855" display="https://superi.ge/bosch-mfw2520w/"/>
    <hyperlink ref="K857" r:id="rId856" display="https://superi.ge/allx-sk8825/"/>
    <hyperlink ref="K858" r:id="rId857" display="https://superi.ge/brother-okinawa/"/>
    <hyperlink ref="K859" r:id="rId858" display="https://superi.ge/yenkee-ygc-100rd-sabotage/"/>
    <hyperlink ref="K860" r:id="rId859" display="https://superi.ge/dingqi-108005/"/>
    <hyperlink ref="K861" r:id="rId860" display="https://superi.ge/bosch-bchf2mx20/"/>
    <hyperlink ref="K862" r:id="rId861" display="https://superi.ge/bosch-rdw1276/"/>
    <hyperlink ref="K863" r:id="rId862" display="https://superi.ge/brother-js27/"/>
    <hyperlink ref="K864" r:id="rId863" display="https://superi.ge/intex-28202/"/>
    <hyperlink ref="K865" r:id="rId864" display="https://superi.ge/beko-bss-2210-set/"/>
    <hyperlink ref="K866" r:id="rId865" display="https://superi.ge/camry-cr8073/"/>
    <hyperlink ref="K867" r:id="rId866" display="https://superi.ge/dixi-byb110-3-silver/"/>
    <hyperlink ref="K868" r:id="rId867" display="https://superi.ge/jifa-jfs1601-120-w/"/>
    <hyperlink ref="K869" r:id="rId868" display="https://superi.ge/hecht-3690-bluesea/"/>
    <hyperlink ref="K870" r:id="rId869" display="https://superi.ge/hilton-set-sps-h010-119x67x82-70x66x81-96x59x40/"/>
    <hyperlink ref="K871" r:id="rId870" display="https://superi.ge/ninja-bn750eu/"/>
    <hyperlink ref="K872" r:id="rId871" display="https://superi.ge/midea-60j72/"/>
    <hyperlink ref="K873" r:id="rId872" display="https://superi.ge/toshiba-rwf-w1766tge-w/"/>
    <hyperlink ref="K874" r:id="rId873" display="https://superi.ge/vox-ks-1200-f/"/>
    <hyperlink ref="K875" r:id="rId874" display="https://superi.ge/gorenje-vcea03gapracy/"/>
    <hyperlink ref="K876" r:id="rId875" display="https://superi.ge/karcher-vc-3-1-198-053-0/"/>
    <hyperlink ref="K877" r:id="rId876" display="https://superi.ge/dingqi-13010113-350w-13mm/"/>
    <hyperlink ref="K878" r:id="rId877" display="https://superi.ge/sencor-sbu-7878bk/"/>
    <hyperlink ref="K879" r:id="rId878" display="https://superi.ge/gorenje-vc2303galbkcy/"/>
    <hyperlink ref="K880" r:id="rId879" display="https://superi.ge/ingco-1800-mx218008/"/>
    <hyperlink ref="K881" r:id="rId880" display="https://superi.ge/millen-ty-lwyr87w/"/>
    <hyperlink ref="K882" r:id="rId881" display="https://superi.ge/nikai-nrf125ss1-silver/"/>
    <hyperlink ref="K883" r:id="rId882" display="https://superi.ge/beko-ctb-6250-b/"/>
    <hyperlink ref="K884" r:id="rId883" display="https://superi.ge/samsung-vc15k4130hb/"/>
    <hyperlink ref="K885" r:id="rId884" display="https://superi.ge/bestway-56408/"/>
    <hyperlink ref="K886" r:id="rId885" display="https://superi.ge/intex-28142-84-x-396/"/>
    <hyperlink ref="K887" r:id="rId886" display="https://superi.ge/canon-c-exv34-cyan-3783b002aa/"/>
    <hyperlink ref="K888" r:id="rId887" display="https://superi.ge/canon-c-exv34-magenta-3784b002aa/"/>
    <hyperlink ref="K889" r:id="rId888" display="https://superi.ge/canon-c-exv34-yellow-3785b002aa/"/>
    <hyperlink ref="K890" r:id="rId889" display="https://superi.ge/lego-jurassic-worlf-t-rex-and-atrociraptor-dinosaur/"/>
    <hyperlink ref="K891" r:id="rId890" display="https://superi.ge/alneo-ylr2-88b/"/>
    <hyperlink ref="K892" r:id="rId891" display="https://superi.ge/nexus/"/>
    <hyperlink ref="K893" r:id="rId892" display="https://superi.ge/sc-094-sc-092/"/>
    <hyperlink ref="K894" r:id="rId893" display="https://superi.ge/beko-cwb-6441-bna/"/>
    <hyperlink ref="K895" r:id="rId894" display="https://superi.ge/bosch-dft63ca50q/"/>
    <hyperlink ref="K896" r:id="rId895" display="https://superi.ge/graetz-3420-pb-black/"/>
    <hyperlink ref="K897" r:id="rId896" display="https://superi.ge/midea-60m77/"/>
    <hyperlink ref="K898" r:id="rId897" display="https://superi.ge/midea-mh60c355rb/"/>
    <hyperlink ref="K899" r:id="rId898" display="https://superi.ge/arshia-k106-1556-10pcs/"/>
    <hyperlink ref="K900" r:id="rId899" display="https://superi.ge/1300w-sds-hex-pdb130018-ingco/"/>
    <hyperlink ref="K901" r:id="rId900" display="https://superi.ge/bosch-twk8611p/"/>
    <hyperlink ref="K902" r:id="rId901" display="https://superi.ge/intex-28210/"/>
    <hyperlink ref="K903" r:id="rId902" display="https://superi.ge/intex-26710/"/>
    <hyperlink ref="K904" r:id="rId903" display="https://superi.ge/hisense-rs13dr-silver/"/>
    <hyperlink ref="K905" r:id="rId904" display="https://superi.ge/lenovo-67bckac6eu-23-8/"/>
    <hyperlink ref="K906" r:id="rId905" display="https://superi.ge/cansus-300-00-00018338/"/>
    <hyperlink ref="K907" r:id="rId906" display="https://superi.ge/marshall-major-v-black/"/>
    <hyperlink ref="K908" r:id="rId907" display="https://superi.ge/gred-star-6-5-colorful/"/>
    <hyperlink ref="K909" r:id="rId908" display="https://superi.ge/gred-star-6-5-purple-blue/"/>
    <hyperlink ref="K910" r:id="rId909" display="https://superi.ge/smart-falcon-6-5/"/>
    <hyperlink ref="K911" r:id="rId910" display="https://superi.ge/smart-wheel-8/"/>
    <hyperlink ref="K912" r:id="rId911" display="https://superi.ge/ingco-cagli271532/"/>
    <hyperlink ref="K913" r:id="rId912" display="https://superi.ge/karcher-wd-3s-1-628-135-0/"/>
    <hyperlink ref="K914" r:id="rId913" display="https://superi.ge/ardesto-go-e865b/"/>
    <hyperlink ref="K915" r:id="rId914" display="https://superi.ge/bestway-56706/"/>
    <hyperlink ref="K916" r:id="rId915" display="https://superi.ge/bosch-bgs05a222/"/>
    <hyperlink ref="K917" r:id="rId916" display="https://superi.ge/samsung-nk24m3050ps-u1/"/>
    <hyperlink ref="K918" r:id="rId917" display="https://superi.ge/allx-sk8817/"/>
    <hyperlink ref="K919" r:id="rId918" display="https://superi.ge/beko-bss-2201-tt/"/>
    <hyperlink ref="K920" r:id="rId919" display="https://superi.ge/franko-fvc-1157/"/>
    <hyperlink ref="K921" r:id="rId920" display="https://superi.ge/haier-le32f6000s/"/>
    <hyperlink ref="K922" r:id="rId921" display="https://superi.ge/polaroid-now-generation-2-black/"/>
    <hyperlink ref="K923" r:id="rId922" display="https://superi.ge/trinx-princess-2-0/"/>
    <hyperlink ref="K924" r:id="rId923" display="https://superi.ge/millen-ty-lyr39w/"/>
    <hyperlink ref="K925" r:id="rId924" display="https://superi.ge/samsung-mg23dg4524agbw/"/>
    <hyperlink ref="K926" r:id="rId925" display="https://superi.ge/franko-fvc-1156/"/>
    <hyperlink ref="K927" r:id="rId926" display="https://superi.ge/bestway-56985/"/>
    <hyperlink ref="K928" r:id="rId927" display="https://superi.ge/samsung-ms23j5133ak-ba/"/>
    <hyperlink ref="K929" r:id="rId928" display="https://superi.ge/bosch-mmb6141b/"/>
    <hyperlink ref="K930" r:id="rId929" display="https://superi.ge/hp-203a-cf543a/"/>
    <hyperlink ref="K931" r:id="rId930" display="https://superi.ge/ninja-af100eu/"/>
    <hyperlink ref="K932" r:id="rId931" display="https://superi.ge/bestway-56404-300x201x66/"/>
    <hyperlink ref="K933" r:id="rId932" display="https://superi.ge/product-8913/"/>
    <hyperlink ref="K934" r:id="rId933" display="https://superi.ge/2-ka/"/>
    <hyperlink ref="K935" r:id="rId934" display="https://superi.ge/hamso/"/>
    <hyperlink ref="K936" r:id="rId935" display="https://superi.ge/millen-ty-lyr801w/"/>
    <hyperlink ref="K937" r:id="rId936" display="https://superi.ge/gorenje-vc1801sfabkr/"/>
    <hyperlink ref="K938" r:id="rId937" display="https://superi.ge/samsung-vcc8836v36-xev/"/>
    <hyperlink ref="K939" r:id="rId938" display="https://superi.ge/xerox-phaser-3020bi/"/>
    <hyperlink ref="K940" r:id="rId939" display="https://superi.ge/tcl-32d3400-2024/"/>
    <hyperlink ref="K941" r:id="rId940" display="https://superi.ge/zilan-zln1177/"/>
    <hyperlink ref="K942" r:id="rId941" display="https://superi.ge/samsung-nk24m1030ib-ur/"/>
    <hyperlink ref="K943" r:id="rId942" display="https://superi.ge/nutribullet-nba081b-8-l/"/>
    <hyperlink ref="K944" r:id="rId943" display="https://superi.ge/intex-26700-305-x-76/"/>
    <hyperlink ref="K945" r:id="rId944" display="https://superi.ge/samsung-me83xr/"/>
    <hyperlink ref="K946" r:id="rId945" display="https://superi.ge/ingco-lm385/"/>
    <hyperlink ref="K947" r:id="rId946" display="https://superi.ge/samsung-mg23k3515ak-bw/"/>
    <hyperlink ref="K948" r:id="rId947" display="https://superi.ge/trinx-smile-tx1410/"/>
    <hyperlink ref="K949" r:id="rId948" display="https://superi.ge/bosch-maf462b0-6-1/"/>
    <hyperlink ref="K950" r:id="rId949" display="https://superi.ge/koopman-042280180-2/"/>
    <hyperlink ref="K951" r:id="rId950" display="https://superi.ge/franko-fco-1091/"/>
    <hyperlink ref="K952" r:id="rId951" display="https://superi.ge/braun-wk5115bk/"/>
    <hyperlink ref="K953" r:id="rId952" display="https://superi.ge/intex-28200/"/>
    <hyperlink ref="K954" r:id="rId953" display="https://superi.ge/cansus-240-00-00018337/"/>
    <hyperlink ref="K955" r:id="rId954" display="https://superi.ge/bestway-56677/"/>
    <hyperlink ref="K956" r:id="rId955" display="https://superi.ge/bestway-57274/"/>
    <hyperlink ref="K957" r:id="rId956" display="https://superi.ge/ingco-hpwr14008/"/>
    <hyperlink ref="K958" r:id="rId957" display="https://superi.ge/arzum-ar2076-s-7-5l/"/>
    <hyperlink ref="K959" r:id="rId958" display="https://superi.ge/zilan-zln2823/"/>
    <hyperlink ref="K960" r:id="rId959" display="https://superi.ge/sencor-soh-3209wh-oil-heater/"/>
    <hyperlink ref="K961" r:id="rId960" display="https://superi.ge/2e-powerclean-2e-vc2012ssd/"/>
    <hyperlink ref="K962" r:id="rId961" display="https://superi.ge/xiaomi-deerma-dem-kz130w/"/>
    <hyperlink ref="K963" r:id="rId962" display="https://superi.ge/arshia-vc150-2295/"/>
    <hyperlink ref="K964" r:id="rId963" display="https://superi.ge/sencor-soh-3309bk/"/>
    <hyperlink ref="K965" r:id="rId964" display="https://superi.ge/allx-sk8815/"/>
    <hyperlink ref="K966" r:id="rId965" display="https://superi.ge/midea-mf-cy75c-7-l/"/>
    <hyperlink ref="K967" r:id="rId966" display="https://superi.ge/80x70-4-53x58x74/"/>
    <hyperlink ref="K968" r:id="rId967" display="https://superi.ge/graetz-3461-60-black/"/>
    <hyperlink ref="K969" r:id="rId968" display="https://superi.ge/arnica-pika-et14411/"/>
    <hyperlink ref="K970" r:id="rId969" display="https://superi.ge/canyon-pb-2010-cne-cpb2010dg-27000mah/"/>
    <hyperlink ref="K971" r:id="rId970" display="https://superi.ge/xiaomi-amazfit-gtr-2-thunder-black/"/>
    <hyperlink ref="K972" r:id="rId971" display="https://superi.ge/hp-203a-cf540a/"/>
    <hyperlink ref="K973" r:id="rId972" display="https://superi.ge/intex-28118/"/>
    <hyperlink ref="K974" r:id="rId973" display="https://superi.ge/bestway-56403/"/>
    <hyperlink ref="K975" r:id="rId974" display="https://superi.ge/autopower-a74-l3-r-plus-74-a-h/"/>
    <hyperlink ref="K976" r:id="rId975" display="https://superi.ge/intex-28271/"/>
    <hyperlink ref="K977" r:id="rId976" display="https://superi.ge/alneo-ylr2-84a/"/>
    <hyperlink ref="K978" r:id="rId977" display="https://superi.ge/graetz-te50b20-50lt/"/>
    <hyperlink ref="K979" r:id="rId978" display="https://superi.ge/sencor-sfr-6550bk/"/>
    <hyperlink ref="K980" r:id="rId979" display="https://superi.ge/beko-ctb-6407-x/"/>
    <hyperlink ref="K981" r:id="rId980" display="https://superi.ge/luxell-da6-865-w/"/>
    <hyperlink ref="K982" r:id="rId981" display="https://superi.ge/bestway-56401/"/>
    <hyperlink ref="K983" r:id="rId982" display="https://superi.ge/gorenje-mo17e1s/"/>
    <hyperlink ref="K984" r:id="rId983" display="https://superi.ge/philips-221v8-00/"/>
    <hyperlink ref="K985" r:id="rId984" display="https://superi.ge/tp-link-archer-mr500-4g-cat6-ac1200-lte/"/>
    <hyperlink ref="K986" r:id="rId985" display="https://superi.ge/lego-ninjago-the-hulkbuster-the-battle-of-wakanda-76247/"/>
    <hyperlink ref="K987" r:id="rId986" display="https://superi.ge/kumtel-ko-40tahdf-b/"/>
    <hyperlink ref="K988" r:id="rId987" display="https://superi.ge/lenovo-go-usb-c-laptop-power-bank-20000-mah/"/>
    <hyperlink ref="K989" r:id="rId988" display="https://superi.ge/2/"/>
    <hyperlink ref="K990" r:id="rId989" display="https://superi.ge/gorenje-optiheat-2000ewp-20/"/>
    <hyperlink ref="K991" r:id="rId990" display="https://superi.ge/61x61x72-57x70x65/"/>
    <hyperlink ref="K992" r:id="rId991" display="https://superi.ge/sea-tide-hc-128/"/>
    <hyperlink ref="K993" r:id="rId992" display="https://superi.ge/midea-ag8p022et-b/"/>
    <hyperlink ref="K994" r:id="rId993" display="https://superi.ge/midea-am823a2at-b/"/>
    <hyperlink ref="K995" r:id="rId994" display="https://superi.ge/zilan-zln3185/"/>
    <hyperlink ref="K996" r:id="rId995" display="https://superi.ge/gorenje-vc2302galrcy/"/>
    <hyperlink ref="K997" r:id="rId996" display="https://superi.ge/samsung-vc18m21a0sb-ev/"/>
    <hyperlink ref="K998" r:id="rId997" display="https://superi.ge/blackview-tab-a6-kids-wi-fi-10-1-hd-4-128gb-rose-pink/"/>
    <hyperlink ref="K999" r:id="rId998" display="https://superi.ge/beko-hdcg-32220-fx/"/>
    <hyperlink ref="K1000" r:id="rId999" display="https://superi.ge/gorenje-h50w-20m/"/>
    <hyperlink ref="K1001" r:id="rId1000" display="https://superi.ge/pro-plan-elegant-cat-salmon-10kg-7613036529235/"/>
    <hyperlink ref="K1002" r:id="rId1001" display="https://superi.ge/gorenje-mo17e1wh/"/>
    <hyperlink ref="K1003" r:id="rId1002" display="https://superi.ge/korkmaz-prochef-a501-01/"/>
    <hyperlink ref="K1004" r:id="rId1003" display="https://superi.ge/sencor-sfn-4080wh/"/>
    <hyperlink ref="K1005" r:id="rId1004" display="https://superi.ge/bestway-57458-305-x-66/"/>
    <hyperlink ref="K1006" r:id="rId1005" display="https://superi.ge/royal-turbo-cg520g/"/>
    <hyperlink ref="K1007" r:id="rId1006" display="https://superi.ge/royal-turbo-rt-cg-520y-yellow/"/>
    <hyperlink ref="K1008" r:id="rId1007" display="https://superi.ge/graetz-1490-60-inox/"/>
    <hyperlink ref="K1009" r:id="rId1008" display="https://superi.ge/intex-57158/"/>
    <hyperlink ref="K1010" r:id="rId1009" display="https://superi.ge/gorenje-k17dwd/"/>
    <hyperlink ref="K1011" r:id="rId1010" display="https://superi.ge/nikai-noh946a/"/>
    <hyperlink ref="K1012" r:id="rId1011" display="https://superi.ge/intex-28270/"/>
    <hyperlink ref="K1013" r:id="rId1012" display="https://superi.ge/toshiba-mm-em23p-black/"/>
    <hyperlink ref="K1014" r:id="rId1013" display="https://superi.ge/bosch-bgc05aaa2/"/>
    <hyperlink ref="K1015" r:id="rId1014" display="https://superi.ge/goodyear-ch4a-4680218076170/"/>
    <hyperlink ref="K1016" r:id="rId1015" display="https://superi.ge/purina-pro-plan-optidigest-grain-free-7kg-7613036731256/"/>
    <hyperlink ref="K1017" r:id="rId1016" display="https://superi.ge/dia1-4m-4-5ft-red/"/>
    <hyperlink ref="K1018" r:id="rId1017" display="https://superi.ge/nikai-nt5501r1/"/>
    <hyperlink ref="K1019" r:id="rId1018" display="https://superi.ge/hagen-hrbar54w/"/>
    <hyperlink ref="K1020" r:id="rId1019" display="https://superi.ge/vox-sl307/"/>
    <hyperlink ref="K1021" r:id="rId1020" display="https://superi.ge/delonghi-kbov2001-bk/"/>
    <hyperlink ref="K1022" r:id="rId1021" display="https://superi.ge/bosch-mfq36460/"/>
    <hyperlink ref="K1023" r:id="rId1022" display="https://superi.ge/hp-44a-cf244a/"/>
    <hyperlink ref="K1024" r:id="rId1023" display="https://superi.ge/beko-frl-3374-b-7-6-l/"/>
    <hyperlink ref="K1025" r:id="rId1024" display="https://superi.ge/midea-am720c4e-s/"/>
    <hyperlink ref="K1026" r:id="rId1025" display="https://superi.ge/bosch-bgc05aaa1/"/>
    <hyperlink ref="K1027" r:id="rId1026" display="https://superi.ge/samsung-vcc5241s3k-xev/"/>
    <hyperlink ref="K1028" r:id="rId1027" display="https://superi.ge/aldridge-terry-fabric-dark-green-uk-green-53x54x75/"/>
    <hyperlink ref="K1029" r:id="rId1028" display="https://superi.ge/naturel-nt10pc-set1-gry/"/>
    <hyperlink ref="K1030" r:id="rId1029" display="https://superi.ge/blackview-tab-a5-kids-lte-8-1-3gb-64gb-pink/"/>
    <hyperlink ref="K1031" r:id="rId1030" display="https://superi.ge/gorenje-mo20a3x/"/>
    <hyperlink ref="K1032" r:id="rId1031" display="https://superi.ge/intex-28205/"/>
    <hyperlink ref="K1033" r:id="rId1032" display="https://superi.ge/bestway-56406-305-x-76/"/>
    <hyperlink ref="K1034" r:id="rId1033" display="https://superi.ge/llorens-martina-doll-40-cm-girl-8426265540303/"/>
    <hyperlink ref="K1035" r:id="rId1034" display="https://superi.ge/intex-candy-57149/"/>
    <hyperlink ref="K1036" r:id="rId1035" display="https://superi.ge/simfer-8502-black/"/>
    <hyperlink ref="K1037" r:id="rId1036" display="https://superi.ge/kenwood-zjm810rd/"/>
    <hyperlink ref="K1038" r:id="rId1037" display="https://superi.ge/intex-57135/"/>
    <hyperlink ref="K1039" r:id="rId1038" display="https://superi.ge/intex-57444/"/>
    <hyperlink ref="K1040" r:id="rId1039" display="https://superi.ge/bosch-mfq364v0/"/>
    <hyperlink ref="K1041" r:id="rId1040" display="https://superi.ge/bosch-mfq40304/"/>
    <hyperlink ref="K1042" r:id="rId1041" display="https://superi.ge/gorenje-t900rl/"/>
    <hyperlink ref="K1043" r:id="rId1042" display="https://superi.ge/llorens-nicole-doll-35-cm-girl-8426265535293/"/>
    <hyperlink ref="K1044" r:id="rId1043" display="https://superi.ge/arzum-ar2062-g-4l/"/>
    <hyperlink ref="K1045" r:id="rId1044" display="https://superi.ge/tv-blaupunkt-dv8535-2-8gb/"/>
    <hyperlink ref="K1046" r:id="rId1045" display="https://superi.ge/intex-rainbow-57453/"/>
    <hyperlink ref="K1047" r:id="rId1046" display="https://superi.ge/product-8910/"/>
    <hyperlink ref="K1048" r:id="rId1047" display="https://superi.ge/kumtel-mh-1800/"/>
    <hyperlink ref="K1049" r:id="rId1048" display="https://superi.ge/zilan-zln2069/"/>
    <hyperlink ref="K1050" r:id="rId1049" display="https://superi.ge/bosch-twk3p424/"/>
    <hyperlink ref="K1051" r:id="rId1050" display="https://superi.ge/zilan-zln1112/"/>
    <hyperlink ref="K1052" r:id="rId1051" display="https://superi.ge/beko-rho6320b/"/>
    <hyperlink ref="K1053" r:id="rId1052" display="https://superi.ge/zilan-zln8443/"/>
    <hyperlink ref="K1054" r:id="rId1053" display="https://superi.ge/itimat-i-09/"/>
    <hyperlink ref="K1055" r:id="rId1054" display="https://superi.ge/bestway-53052/"/>
    <hyperlink ref="K1056" r:id="rId1055" display="https://superi.ge/beko-frl-2244-b/"/>
    <hyperlink ref="K1057" r:id="rId1056" display="https://superi.ge/franko-faf-1217/"/>
    <hyperlink ref="K1058" r:id="rId1057" display="https://superi.ge/product-8912/"/>
    <hyperlink ref="K1059" r:id="rId1058" display="https://superi.ge/product-8914/"/>
    <hyperlink ref="K1060" r:id="rId1059" display="https://superi.ge/product-8915/"/>
    <hyperlink ref="K1061" r:id="rId1060" display="https://superi.ge/gorenje-k17gpd/"/>
    <hyperlink ref="K1062" r:id="rId1061" display="https://superi.ge/gorenje-mo17e1bh/"/>
    <hyperlink ref="K1063" r:id="rId1062" display="https://superi.ge/midea-mm7p012mz-b/"/>
    <hyperlink ref="K1064" r:id="rId1063" display="https://superi.ge/ardesto-ofh-09x1/"/>
    <hyperlink ref="K1065" r:id="rId1064" display="https://superi.ge/arnica-ih39010/"/>
    <hyperlink ref="K1066" r:id="rId1065" display="https://superi.ge/beko-frl-2242-b/"/>
    <hyperlink ref="K1067" r:id="rId1066" display="https://superi.ge/zilan-zln9984-5-l/"/>
    <hyperlink ref="K1068" r:id="rId1067" display="https://superi.ge/beko-tbn-81808-bx/"/>
    <hyperlink ref="K1069" r:id="rId1068" display="https://superi.ge/braun-mq535/"/>
    <hyperlink ref="K1070" r:id="rId1069" display="https://superi.ge/ardesto-black-mars-ar2020sw/"/>
    <hyperlink ref="K1071" r:id="rId1070" display="https://superi.ge/intex-28120-easy-set-76-x-305/"/>
    <hyperlink ref="K1072" r:id="rId1071" display="https://superi.ge/braun-wk300-white/"/>
    <hyperlink ref="K1073" r:id="rId1072" display="https://superi.ge/braun-wk5100bk/"/>
    <hyperlink ref="K1074" r:id="rId1073" display="https://superi.ge/llorens-crying-doll-aysel-33-cm-8426265333325/"/>
    <hyperlink ref="K1075" r:id="rId1074" display="https://superi.ge/sencor-scf-2101bk/"/>
    <hyperlink ref="K1076" r:id="rId1075" display="https://superi.ge/90x66x70/"/>
    <hyperlink ref="K1077" r:id="rId1076" display="https://superi.ge/bosch-twk3p423/"/>
    <hyperlink ref="K1078" r:id="rId1077" display="https://superi.ge/franko-fsf-1213/"/>
    <hyperlink ref="K1079" r:id="rId1078" display="https://superi.ge/beko-vcc-44824-aw/"/>
    <hyperlink ref="K1080" r:id="rId1079" display="https://superi.ge/nikai-naf209a-1-8/"/>
    <hyperlink ref="K1081" r:id="rId1080" display="https://superi.ge/beko-tbn-62608-w/"/>
    <hyperlink ref="K1082" r:id="rId1081" display="https://superi.ge/midea-mj-bh1001w/"/>
    <hyperlink ref="K1083" r:id="rId1082" display="https://superi.ge/nikai-nb3900ceb-3in1500w/"/>
    <hyperlink ref="K1084" r:id="rId1083" display="https://superi.ge/nikai-nkt1730s1/"/>
    <hyperlink ref="K1085" r:id="rId1084" display="https://superi.ge/ardesto-ekl-x53e/"/>
    <hyperlink ref="K1086" r:id="rId1085" display="https://superi.ge/150-zx-150/"/>
    <hyperlink ref="K1087" r:id="rId1086" display="https://superi.ge/luxell-ds6-905x-inox-450/"/>
    <hyperlink ref="K1088" r:id="rId1087" display="https://superi.ge/arnica-et13212/"/>
    <hyperlink ref="K1089" r:id="rId1088" display="https://superi.ge/lego-city-4x4-off-roader-adventures/"/>
    <hyperlink ref="K1090" r:id="rId1089" display="https://superi.ge/intex-56493/"/>
    <hyperlink ref="K1091" r:id="rId1090" display="https://superi.ge/logitech-k360-l920-003095-black/"/>
    <hyperlink ref="K1092" r:id="rId1091" display="https://superi.ge/bosch-tat3p421/"/>
    <hyperlink ref="K1093" r:id="rId1092" display="https://superi.ge/ugreen-pb502-nexode-10000mah/"/>
    <hyperlink ref="K1094" r:id="rId1093" display="https://superi.ge/bestway-57448/"/>
    <hyperlink ref="K1095" r:id="rId1094" display="https://superi.ge/tenda-ac8-ac1200-black/"/>
    <hyperlink ref="K1096" r:id="rId1095" display="https://superi.ge/ugreen-pb503-5000mah/"/>
    <hyperlink ref="K1097" r:id="rId1096" display="https://superi.ge/zilan-zln6258/"/>
    <hyperlink ref="K1098" r:id="rId1097" display="https://superi.ge/13547-brown/"/>
    <hyperlink ref="K1099" r:id="rId1098" display="https://superi.ge/midea-ndk20-21a/"/>
    <hyperlink ref="K1100" r:id="rId1099" display="https://superi.ge/total-tht141451/"/>
    <hyperlink ref="K1101" r:id="rId1100" display="https://superi.ge/kumtel-ks-2760/"/>
    <hyperlink ref="K1102" r:id="rId1101" display="https://superi.ge/ugreen-pb561-5000mah/"/>
    <hyperlink ref="K1103" r:id="rId1102" display="https://superi.ge/midea-mj-bl6006w/"/>
    <hyperlink ref="K1104" r:id="rId1103" display="https://superi.ge/braun-hm1010wh/"/>
    <hyperlink ref="K1105" r:id="rId1104" display="https://superi.ge/zilan-zln1001/"/>
    <hyperlink ref="K1106" r:id="rId1105" display="https://superi.ge/nba-2k23-game-for-ps5/"/>
    <hyperlink ref="K1107" r:id="rId1106" display="https://superi.ge/bofigo-60x90-29/"/>
    <hyperlink ref="K1108" r:id="rId1107" display="https://superi.ge/lego-jurrasic-pteranodon-chase/"/>
    <hyperlink ref="K1109" r:id="rId1108" display="https://superi.ge/midea-mj-bh4001w/"/>
    <hyperlink ref="K1110" r:id="rId1109" display="https://superi.ge/gorenje-k15dws/"/>
    <hyperlink ref="K1111" r:id="rId1110" display="https://superi.ge/cansus-150-00-00018334/"/>
    <hyperlink ref="K1112" r:id="rId1111" display="https://superi.ge/07020919/"/>
    <hyperlink ref="K1113" r:id="rId1112" display="https://superi.ge/kumtel-lx-2830-m-black/"/>
    <hyperlink ref="K1114" r:id="rId1113" display="https://superi.ge/bestway-54005/"/>
    <hyperlink ref="K1115" r:id="rId1114" display="https://superi.ge/bestway-57392/"/>
    <hyperlink ref="K1116" r:id="rId1115" display="https://superi.ge/hp-652-f6v25ae-black/"/>
    <hyperlink ref="K1117" r:id="rId1116" display="https://superi.ge/midea-17d19a2-black/"/>
    <hyperlink ref="K1118" r:id="rId1117" display="https://superi.ge/intex-57558/"/>
    <hyperlink ref="K1119" r:id="rId1118" display="https://superi.ge/hp-652-f6v24ae/"/>
    <hyperlink ref="K1120" r:id="rId1119" display="https://superi.ge/bofigo-65-5x60-23/"/>
    <hyperlink ref="K1121" r:id="rId1120" display="https://superi.ge/enchantimals/"/>
    <hyperlink ref="K1122" r:id="rId1121" display="https://superi.ge/bort-bvc-95/"/>
    <hyperlink ref="K1123" r:id="rId1122" display="https://superi.ge/intex-57433/"/>
    <hyperlink ref="K1124" r:id="rId1123" display="https://superi.ge/pro-plan-steril-1-5-kg-7613036499927/"/>
    <hyperlink ref="K1125" r:id="rId1124" display="https://superi.ge/purina-pro-plan-delic-1-5-kg-7613036510523/"/>
    <hyperlink ref="K1126" r:id="rId1125" display="https://superi.ge/intex-58894/"/>
    <hyperlink ref="K1127" r:id="rId1126" display="https://superi.ge/intex-28030-305/"/>
    <hyperlink ref="K1128" r:id="rId1127" display="https://superi.ge/ham-190x150r/"/>
    <hyperlink ref="K1129" r:id="rId1128" display="https://superi.ge/colorview-led-06st-23-55/"/>
    <hyperlink ref="K1130" r:id="rId1129" display="https://superi.ge/15-ingco-ah1151/"/>
    <hyperlink ref="K1131" r:id="rId1130" display="https://superi.ge/wokin-815025-10/"/>
    <hyperlink ref="K1132" r:id="rId1131" display="https://superi.ge/purina-pro-plan-delicate-turkey-7613036546959/"/>
    <hyperlink ref="K1133" r:id="rId1132" display="https://superi.ge/luminarc-carine-19/"/>
    <hyperlink ref="K1134" r:id="rId1133" display="https://superi.ge/ardesto-ar2919ggc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13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00"/>
    <col collapsed="false" customWidth="true" hidden="false" outlineLevel="0" max="3" min="3" style="1" width="12"/>
  </cols>
  <sheetData>
    <row r="1" customFormat="false" ht="17.25" hidden="false" customHeight="true" outlineLevel="0" collapsed="false">
      <c r="A1" s="11" t="s">
        <v>5727</v>
      </c>
      <c r="B1" s="12"/>
      <c r="C1" s="12"/>
    </row>
    <row r="2" customFormat="false" ht="15" hidden="false" customHeight="true" outlineLevel="0" collapsed="false">
      <c r="A2" s="12"/>
      <c r="B2" s="12"/>
      <c r="C2" s="12"/>
    </row>
    <row r="3" customFormat="false" ht="26.25" hidden="false" customHeight="true" outlineLevel="0" collapsed="false">
      <c r="A3" s="13" t="s">
        <v>5728</v>
      </c>
      <c r="B3" s="12"/>
      <c r="C3" s="12"/>
    </row>
    <row r="4" customFormat="false" ht="26.25" hidden="false" customHeight="true" outlineLevel="0" collapsed="false">
      <c r="A4" s="12" t="s">
        <v>5729</v>
      </c>
      <c r="B4" s="14" t="n">
        <v>100</v>
      </c>
      <c r="C4" s="12"/>
    </row>
    <row r="5" customFormat="false" ht="26.25" hidden="false" customHeight="true" outlineLevel="0" collapsed="false">
      <c r="A5" s="12" t="s">
        <v>5730</v>
      </c>
      <c r="B5" s="14" t="n">
        <v>1000</v>
      </c>
      <c r="C5" s="12"/>
    </row>
    <row r="6" customFormat="false" ht="15" hidden="false" customHeight="true" outlineLevel="0" collapsed="false">
      <c r="A6" s="12"/>
      <c r="B6" s="12"/>
      <c r="C6" s="12"/>
    </row>
    <row r="7" customFormat="false" ht="15" hidden="false" customHeight="true" outlineLevel="0" collapsed="false">
      <c r="A7" s="15" t="s">
        <v>1</v>
      </c>
      <c r="B7" s="15" t="s">
        <v>5731</v>
      </c>
      <c r="C7" s="15" t="s">
        <v>5732</v>
      </c>
    </row>
    <row r="8" customFormat="false" ht="26.25" hidden="false" customHeight="true" outlineLevel="0" collapsed="false">
      <c r="A8" s="16" t="s">
        <v>5733</v>
      </c>
      <c r="B8" s="12" t="s">
        <v>5734</v>
      </c>
      <c r="C8" s="12" t="n">
        <f aca="false">COUNTIF('მეტა აღწერები'!$B:$B,1)</f>
        <v>103</v>
      </c>
    </row>
    <row r="9" customFormat="false" ht="15" hidden="false" customHeight="true" outlineLevel="0" collapsed="false">
      <c r="A9" s="17" t="s">
        <v>5735</v>
      </c>
      <c r="B9" s="12" t="s">
        <v>5736</v>
      </c>
      <c r="C9" s="12" t="n">
        <f aca="false">COUNTIF('მეტა აღწერები'!$B:$B,2)</f>
        <v>63</v>
      </c>
    </row>
    <row r="10" customFormat="false" ht="15" hidden="false" customHeight="true" outlineLevel="0" collapsed="false">
      <c r="A10" s="18" t="s">
        <v>5737</v>
      </c>
      <c r="B10" s="12" t="s">
        <v>5738</v>
      </c>
      <c r="C10" s="12" t="n">
        <f aca="false">COUNTIF('მეტა აღწერები'!$B:$B,3)</f>
        <v>424</v>
      </c>
    </row>
    <row r="11" customFormat="false" ht="15" hidden="false" customHeight="true" outlineLevel="0" collapsed="false">
      <c r="A11" s="19" t="s">
        <v>5739</v>
      </c>
      <c r="B11" s="12" t="s">
        <v>5740</v>
      </c>
      <c r="C11" s="12" t="n">
        <f aca="false">COUNTIF('მეტა აღწერები'!$B:$B,4)</f>
        <v>543</v>
      </c>
    </row>
    <row r="12" customFormat="false" ht="15" hidden="false" customHeight="true" outlineLevel="0" collapsed="false">
      <c r="A12" s="15" t="s">
        <v>5741</v>
      </c>
      <c r="B12" s="12"/>
      <c r="C12" s="15" t="n">
        <f aca="false">SUM(C8:C11)</f>
        <v>1133</v>
      </c>
    </row>
    <row r="13" customFormat="false" ht="15" hidden="false" customHeight="true" outlineLevel="0" collapsed="false">
      <c r="A13" s="12"/>
      <c r="B13" s="12"/>
      <c r="C13" s="12"/>
    </row>
    <row r="14" customFormat="false" ht="15" hidden="false" customHeight="true" outlineLevel="0" collapsed="false">
      <c r="A14" s="13" t="s">
        <v>5742</v>
      </c>
      <c r="B14" s="12"/>
      <c r="C14" s="12"/>
    </row>
    <row r="15" customFormat="false" ht="26.25" hidden="false" customHeight="true" outlineLevel="0" collapsed="false">
      <c r="A15" s="12" t="s">
        <v>58</v>
      </c>
      <c r="B15" s="12" t="s">
        <v>5743</v>
      </c>
      <c r="C15" s="12"/>
    </row>
    <row r="16" customFormat="false" ht="15" hidden="false" customHeight="true" outlineLevel="0" collapsed="false">
      <c r="A16" s="12" t="s">
        <v>872</v>
      </c>
      <c r="B16" s="12" t="s">
        <v>5744</v>
      </c>
      <c r="C16" s="12"/>
    </row>
    <row r="17" customFormat="false" ht="26.25" hidden="false" customHeight="true" outlineLevel="0" collapsed="false">
      <c r="A17" s="12" t="s">
        <v>15</v>
      </c>
      <c r="B17" s="12" t="s">
        <v>5745</v>
      </c>
      <c r="C17" s="12"/>
    </row>
    <row r="18" customFormat="false" ht="15" hidden="false" customHeight="true" outlineLevel="0" collapsed="false">
      <c r="A18" s="12" t="s">
        <v>316</v>
      </c>
      <c r="B18" s="12" t="s">
        <v>5746</v>
      </c>
      <c r="C18" s="12"/>
    </row>
    <row r="19" customFormat="false" ht="15" hidden="false" customHeight="true" outlineLevel="0" collapsed="false">
      <c r="A19" s="12"/>
      <c r="B19" s="12"/>
      <c r="C19" s="12"/>
    </row>
    <row r="20" customFormat="false" ht="15" hidden="false" customHeight="true" outlineLevel="0" collapsed="false">
      <c r="A20" s="13" t="s">
        <v>5747</v>
      </c>
      <c r="B20" s="12"/>
      <c r="C20" s="12"/>
    </row>
    <row r="21" customFormat="false" ht="15" hidden="false" customHeight="true" outlineLevel="0" collapsed="false">
      <c r="A21" s="12" t="s">
        <v>5748</v>
      </c>
      <c r="B21" s="20" t="s">
        <v>5749</v>
      </c>
      <c r="C21" s="12"/>
    </row>
    <row r="22" customFormat="false" ht="26.25" hidden="false" customHeight="true" outlineLevel="0" collapsed="false">
      <c r="A22" s="12" t="s">
        <v>5750</v>
      </c>
      <c r="B22" s="12" t="s">
        <v>5751</v>
      </c>
      <c r="C22" s="12"/>
    </row>
    <row r="23" customFormat="false" ht="15" hidden="false" customHeight="true" outlineLevel="0" collapsed="false">
      <c r="A23" s="12" t="s">
        <v>5752</v>
      </c>
      <c r="B23" s="12" t="n">
        <f aca="false">LEN(B22)</f>
        <v>142</v>
      </c>
      <c r="C23" s="12"/>
    </row>
    <row r="24" customFormat="false" ht="15" hidden="false" customHeight="true" outlineLevel="0" collapsed="false">
      <c r="A24" s="12" t="s">
        <v>5753</v>
      </c>
      <c r="B24" s="12" t="s">
        <v>5754</v>
      </c>
      <c r="C24" s="12"/>
    </row>
    <row r="25" customFormat="false" ht="15" hidden="false" customHeight="true" outlineLevel="0" collapsed="false">
      <c r="A25" s="13"/>
      <c r="B25" s="12"/>
      <c r="C25" s="12"/>
    </row>
    <row r="26" customFormat="false" ht="15" hidden="false" customHeight="true" outlineLevel="0" collapsed="false">
      <c r="A26" s="13" t="s">
        <v>5755</v>
      </c>
      <c r="B26" s="12"/>
      <c r="C26" s="12"/>
    </row>
    <row r="27" customFormat="false" ht="26.25" hidden="false" customHeight="true" outlineLevel="0" collapsed="false">
      <c r="A27" s="12" t="s">
        <v>5756</v>
      </c>
      <c r="B27" s="12" t="s">
        <v>5757</v>
      </c>
      <c r="C27" s="12"/>
    </row>
    <row r="28" customFormat="false" ht="26.25" hidden="false" customHeight="true" outlineLevel="0" collapsed="false">
      <c r="A28" s="12" t="s">
        <v>5758</v>
      </c>
      <c r="B28" s="12" t="s">
        <v>5759</v>
      </c>
      <c r="C28" s="12"/>
    </row>
    <row r="29" customFormat="false" ht="15" hidden="false" customHeight="true" outlineLevel="0" collapsed="false">
      <c r="A29" s="12" t="s">
        <v>5760</v>
      </c>
      <c r="B29" s="12" t="s">
        <v>5761</v>
      </c>
      <c r="C29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2026-10-05T08:01:51Z</dcterms:created>
  <dc:creator>openpyxl</dc:creator>
  <dc:description/>
  <dc:language>en-US</dc:language>
  <cp:lastModifiedBy/>
  <dcterms:modified xsi:type="dcterms:W3CDTF">2026-10-05T08:16:13Z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